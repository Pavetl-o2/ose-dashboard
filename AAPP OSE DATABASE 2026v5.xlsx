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mirez\Desktop\OSE FINALES\FECHAS ENTREGA OSE AAPP PROVEEDORES\"/>
    </mc:Choice>
  </mc:AlternateContent>
  <xr:revisionPtr revIDLastSave="0" documentId="13_ncr:1_{BBF22B44-3DB6-4337-B53E-537EBE07A37E}" xr6:coauthVersionLast="47" xr6:coauthVersionMax="47" xr10:uidLastSave="{00000000-0000-0000-0000-000000000000}"/>
  <bookViews>
    <workbookView xWindow="-108" yWindow="-108" windowWidth="23256" windowHeight="13896" firstSheet="10" activeTab="16" xr2:uid="{39062DCA-9B0B-41C5-8362-CA264DEA0A16}"/>
  </bookViews>
  <sheets>
    <sheet name="5th Resident Lounge" sheetId="4" r:id="rId1"/>
    <sheet name="Banquet" sheetId="5" r:id="rId2"/>
    <sheet name="Beach Bar" sheetId="6" r:id="rId3"/>
    <sheet name="Cevicheria (2)" sheetId="22" r:id="rId4"/>
    <sheet name="Coffee Shop" sheetId="8" r:id="rId5"/>
    <sheet name="Drawing Room" sheetId="9" r:id="rId6"/>
    <sheet name="Employee Dinning" sheetId="10" r:id="rId7"/>
    <sheet name="In Room Dinning" sheetId="11" r:id="rId8"/>
    <sheet name="Lobby Lounge" sheetId="12" r:id="rId9"/>
    <sheet name="Main Kitchen" sheetId="13" r:id="rId10"/>
    <sheet name="Mexican Izakaya" sheetId="14" r:id="rId11"/>
    <sheet name="Owners Lounge" sheetId="15" r:id="rId12"/>
    <sheet name="Pool&amp;Beach" sheetId="16" r:id="rId13"/>
    <sheet name="SpeakEasy" sheetId="17" r:id="rId14"/>
    <sheet name="Specialty Italian" sheetId="18" r:id="rId15"/>
    <sheet name="SR BAR" sheetId="19" r:id="rId16"/>
    <sheet name="Three Meal" sheetId="2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3" i="6" l="1"/>
  <c r="O3" i="10" a="1"/>
  <c r="O3" i="10" s="1"/>
  <c r="O4" i="10" a="1"/>
  <c r="O4" i="10" s="1"/>
  <c r="O5" i="10" a="1"/>
  <c r="O5" i="10" s="1"/>
  <c r="O6" i="10" a="1"/>
  <c r="O6" i="10" s="1"/>
  <c r="O7" i="10" a="1"/>
  <c r="O7" i="10" s="1"/>
  <c r="O8" i="10" a="1"/>
  <c r="O8" i="10" s="1"/>
  <c r="O9" i="10" a="1"/>
  <c r="O9" i="10" s="1"/>
  <c r="O10" i="10" a="1"/>
  <c r="O10" i="10" s="1"/>
  <c r="O11" i="10" a="1"/>
  <c r="O11" i="10" s="1"/>
  <c r="O12" i="10" a="1"/>
  <c r="O12" i="10" s="1"/>
  <c r="O13" i="10" a="1"/>
  <c r="O13" i="10" s="1"/>
  <c r="O14" i="10" a="1"/>
  <c r="O14" i="10" s="1"/>
  <c r="O15" i="10" a="1"/>
  <c r="O15" i="10" s="1"/>
  <c r="D269" i="5" l="1"/>
  <c r="D256" i="5"/>
  <c r="D207" i="5"/>
  <c r="D206" i="5"/>
  <c r="D127" i="5"/>
  <c r="D112" i="5"/>
  <c r="D90" i="5"/>
  <c r="D85" i="5"/>
  <c r="D64" i="5"/>
  <c r="D62" i="5"/>
  <c r="D61" i="5"/>
  <c r="D57" i="5"/>
  <c r="D55" i="5"/>
  <c r="D51" i="5"/>
  <c r="D50" i="5"/>
  <c r="D48" i="5"/>
  <c r="D38" i="5"/>
  <c r="D37" i="5"/>
  <c r="D31" i="5"/>
  <c r="D27" i="5"/>
  <c r="D32" i="4"/>
  <c r="D21" i="4"/>
  <c r="D18" i="4"/>
  <c r="D141" i="22"/>
  <c r="D136" i="22"/>
  <c r="D126" i="22"/>
  <c r="D121" i="22"/>
  <c r="D81" i="22"/>
  <c r="D62" i="22"/>
  <c r="D61" i="22"/>
  <c r="D57" i="22"/>
  <c r="D55" i="22"/>
  <c r="D53" i="22"/>
  <c r="D33" i="22"/>
  <c r="D26" i="22"/>
  <c r="D24" i="22"/>
  <c r="D23" i="22"/>
  <c r="D22" i="22"/>
  <c r="D20" i="22"/>
  <c r="D13" i="22"/>
  <c r="D54" i="8"/>
  <c r="D48" i="8"/>
  <c r="D34" i="8"/>
  <c r="D20" i="8"/>
  <c r="D155" i="14"/>
  <c r="D154" i="14"/>
  <c r="D153" i="14"/>
  <c r="D152" i="14"/>
  <c r="D151" i="14"/>
  <c r="D150" i="14"/>
  <c r="D146" i="14"/>
  <c r="D142" i="14"/>
  <c r="D133" i="14"/>
  <c r="D129" i="14"/>
  <c r="D108" i="14"/>
  <c r="D94" i="14"/>
  <c r="D55" i="14"/>
  <c r="D5" i="14"/>
  <c r="D244" i="20"/>
  <c r="D243" i="20"/>
  <c r="D242" i="20"/>
  <c r="D238" i="20"/>
  <c r="D233" i="20"/>
  <c r="D222" i="20"/>
  <c r="D215" i="20"/>
  <c r="D205" i="20"/>
  <c r="D125" i="20"/>
  <c r="D210" i="20"/>
  <c r="D209" i="20"/>
  <c r="D202" i="20"/>
  <c r="D201" i="20"/>
  <c r="D194" i="20"/>
  <c r="D193" i="20"/>
  <c r="D192" i="20"/>
  <c r="D186" i="20"/>
  <c r="D178" i="20"/>
  <c r="D177" i="20"/>
  <c r="D176" i="20"/>
  <c r="D175" i="20"/>
  <c r="D174" i="20"/>
  <c r="D164" i="20"/>
  <c r="D161" i="20"/>
  <c r="D160" i="20"/>
  <c r="D156" i="20"/>
  <c r="D150" i="20"/>
  <c r="D138" i="20"/>
  <c r="D132" i="20"/>
  <c r="D128" i="20"/>
  <c r="D127" i="20"/>
  <c r="D123" i="20"/>
  <c r="D119" i="20"/>
  <c r="D117" i="20"/>
  <c r="D112" i="20"/>
  <c r="D111" i="20"/>
  <c r="D110" i="20"/>
  <c r="D109" i="20"/>
  <c r="D108" i="20"/>
  <c r="D106" i="20"/>
  <c r="D105" i="20"/>
  <c r="D104" i="20"/>
  <c r="D103" i="20"/>
  <c r="D102" i="20"/>
  <c r="D100" i="20"/>
  <c r="D99" i="20"/>
  <c r="D95" i="20"/>
  <c r="D92" i="20"/>
  <c r="D91" i="20"/>
  <c r="D89" i="20"/>
  <c r="D87" i="20"/>
  <c r="D86" i="20"/>
  <c r="D82" i="20"/>
  <c r="D81" i="20"/>
  <c r="D80" i="20"/>
  <c r="D79" i="20"/>
  <c r="D78" i="20"/>
  <c r="D77" i="20"/>
  <c r="D75" i="20"/>
  <c r="D74" i="20"/>
  <c r="D73" i="20"/>
  <c r="D72" i="20"/>
  <c r="D71" i="20"/>
  <c r="D68" i="20"/>
  <c r="D65" i="20"/>
  <c r="D62" i="20"/>
  <c r="D61" i="20"/>
  <c r="D60" i="20"/>
  <c r="D58" i="20"/>
  <c r="D57" i="20"/>
  <c r="D56" i="20"/>
  <c r="D55" i="20"/>
  <c r="D52" i="20"/>
  <c r="D50" i="20"/>
  <c r="D49" i="20"/>
  <c r="D48" i="20"/>
  <c r="D47" i="20"/>
  <c r="D44" i="20"/>
  <c r="D43" i="20"/>
  <c r="D41" i="20"/>
  <c r="D40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4" i="20"/>
  <c r="D20" i="19"/>
  <c r="D119" i="19"/>
  <c r="D115" i="19"/>
  <c r="D101" i="19"/>
  <c r="D94" i="19"/>
  <c r="D79" i="19"/>
  <c r="D58" i="19"/>
  <c r="D5" i="19"/>
  <c r="D84" i="19"/>
  <c r="D83" i="19"/>
  <c r="D77" i="19"/>
  <c r="D74" i="19"/>
  <c r="D73" i="19"/>
  <c r="D72" i="19"/>
  <c r="D70" i="19"/>
  <c r="D64" i="19"/>
  <c r="D62" i="19"/>
  <c r="D56" i="19"/>
  <c r="D55" i="19"/>
  <c r="D54" i="19"/>
  <c r="D53" i="19"/>
  <c r="D47" i="19"/>
  <c r="D46" i="19"/>
  <c r="D44" i="19"/>
  <c r="D43" i="19"/>
  <c r="D42" i="19"/>
  <c r="D41" i="19"/>
  <c r="D40" i="19"/>
  <c r="D23" i="19"/>
  <c r="D18" i="19"/>
  <c r="D17" i="19"/>
  <c r="D14" i="19"/>
  <c r="D13" i="19"/>
  <c r="D9" i="19"/>
  <c r="D7" i="19"/>
  <c r="D20" i="16"/>
  <c r="D8" i="16"/>
  <c r="D7" i="16"/>
  <c r="D3" i="16"/>
  <c r="D110" i="15"/>
  <c r="D106" i="15"/>
  <c r="D99" i="15"/>
  <c r="D88" i="15"/>
  <c r="D83" i="15"/>
  <c r="D75" i="15"/>
  <c r="D71" i="15"/>
  <c r="D34" i="15"/>
  <c r="D17" i="15"/>
  <c r="D74" i="15"/>
  <c r="D73" i="15"/>
  <c r="D68" i="15"/>
  <c r="D53" i="15"/>
  <c r="D52" i="15"/>
  <c r="D6" i="15"/>
  <c r="D117" i="14"/>
  <c r="D85" i="14"/>
  <c r="D58" i="14"/>
  <c r="D45" i="14"/>
  <c r="D42" i="14"/>
  <c r="D41" i="14"/>
  <c r="D40" i="14"/>
  <c r="D39" i="14"/>
  <c r="D29" i="14"/>
  <c r="D25" i="14"/>
  <c r="D17" i="14"/>
  <c r="D10" i="14"/>
  <c r="D29" i="12"/>
  <c r="D28" i="12"/>
  <c r="D27" i="12"/>
  <c r="D22" i="12"/>
  <c r="D12" i="12"/>
  <c r="D10" i="12"/>
  <c r="D9" i="12"/>
  <c r="D5" i="12"/>
  <c r="D4" i="12"/>
  <c r="D42" i="11"/>
  <c r="D19" i="11"/>
  <c r="D18" i="11"/>
  <c r="D13" i="11"/>
  <c r="D10" i="11"/>
  <c r="D9" i="11"/>
  <c r="D55" i="9"/>
  <c r="D27" i="9"/>
  <c r="D57" i="8"/>
  <c r="D47" i="8"/>
  <c r="D41" i="8"/>
  <c r="D38" i="8"/>
  <c r="D35" i="8"/>
  <c r="D33" i="8"/>
  <c r="D31" i="8"/>
  <c r="D30" i="8"/>
  <c r="D27" i="8"/>
  <c r="D25" i="8"/>
  <c r="D24" i="8"/>
  <c r="D23" i="8"/>
  <c r="D22" i="8"/>
  <c r="D16" i="8"/>
  <c r="D15" i="8"/>
  <c r="D14" i="8"/>
  <c r="D13" i="8"/>
  <c r="D7" i="8"/>
  <c r="D5" i="8"/>
  <c r="D4" i="8"/>
  <c r="D104" i="22"/>
  <c r="D103" i="22"/>
  <c r="D31" i="22"/>
  <c r="D29" i="22"/>
  <c r="D14" i="22"/>
  <c r="D12" i="22"/>
  <c r="D99" i="6" l="1"/>
  <c r="D94" i="6"/>
  <c r="D85" i="6"/>
  <c r="D81" i="6"/>
  <c r="D63" i="6"/>
  <c r="D55" i="6"/>
  <c r="D26" i="6"/>
  <c r="D25" i="6"/>
  <c r="D22" i="6"/>
  <c r="D14" i="6"/>
  <c r="D13" i="6"/>
  <c r="D12" i="6"/>
  <c r="D8" i="6"/>
  <c r="D4" i="6"/>
  <c r="D78" i="6"/>
  <c r="D77" i="6"/>
  <c r="D272" i="5"/>
  <c r="D271" i="5"/>
  <c r="D268" i="5"/>
  <c r="D266" i="5"/>
  <c r="D265" i="5"/>
  <c r="D264" i="5"/>
  <c r="D263" i="5"/>
  <c r="D262" i="5"/>
  <c r="D260" i="5"/>
  <c r="D252" i="5"/>
  <c r="D246" i="5"/>
  <c r="D228" i="5"/>
  <c r="D224" i="5"/>
  <c r="D217" i="5"/>
  <c r="D97" i="5"/>
  <c r="D82" i="5"/>
  <c r="D81" i="5"/>
  <c r="L72" i="5"/>
  <c r="N4" i="11" l="1"/>
  <c r="N4" i="13"/>
  <c r="N9" i="22" l="1"/>
  <c r="N17" i="22"/>
  <c r="N25" i="22"/>
  <c r="N33" i="22"/>
  <c r="N41" i="22"/>
  <c r="N49" i="22"/>
  <c r="N57" i="22"/>
  <c r="N65" i="22"/>
  <c r="N73" i="22"/>
  <c r="N81" i="22"/>
  <c r="N89" i="22"/>
  <c r="N97" i="22"/>
  <c r="N105" i="22"/>
  <c r="N113" i="22"/>
  <c r="N121" i="22"/>
  <c r="N129" i="22"/>
  <c r="N137" i="22"/>
  <c r="N10" i="22"/>
  <c r="N18" i="22"/>
  <c r="N26" i="22"/>
  <c r="N34" i="22"/>
  <c r="N42" i="22"/>
  <c r="N50" i="22"/>
  <c r="N58" i="22"/>
  <c r="N66" i="22"/>
  <c r="N74" i="22"/>
  <c r="N82" i="22"/>
  <c r="N90" i="22"/>
  <c r="N98" i="22"/>
  <c r="N106" i="22"/>
  <c r="N114" i="22"/>
  <c r="N122" i="22"/>
  <c r="N130" i="22"/>
  <c r="N138" i="22"/>
  <c r="N3" i="22"/>
  <c r="N11" i="22"/>
  <c r="N19" i="22"/>
  <c r="N27" i="22"/>
  <c r="N35" i="22"/>
  <c r="N43" i="22"/>
  <c r="N51" i="22"/>
  <c r="N59" i="22"/>
  <c r="N67" i="22"/>
  <c r="N75" i="22"/>
  <c r="N83" i="22"/>
  <c r="N91" i="22"/>
  <c r="N99" i="22"/>
  <c r="N107" i="22"/>
  <c r="N115" i="22"/>
  <c r="N123" i="22"/>
  <c r="N131" i="22"/>
  <c r="N139" i="22"/>
  <c r="N4" i="22"/>
  <c r="N12" i="22"/>
  <c r="N20" i="22"/>
  <c r="N28" i="22"/>
  <c r="N36" i="22"/>
  <c r="N44" i="22"/>
  <c r="N52" i="22"/>
  <c r="N60" i="22"/>
  <c r="N68" i="22"/>
  <c r="N76" i="22"/>
  <c r="N84" i="22"/>
  <c r="N92" i="22"/>
  <c r="N100" i="22"/>
  <c r="N108" i="22"/>
  <c r="N116" i="22"/>
  <c r="N124" i="22"/>
  <c r="N132" i="22"/>
  <c r="N140" i="22"/>
  <c r="N5" i="22"/>
  <c r="N13" i="22"/>
  <c r="N21" i="22"/>
  <c r="N29" i="22"/>
  <c r="N37" i="22"/>
  <c r="N45" i="22"/>
  <c r="N53" i="22"/>
  <c r="N61" i="22"/>
  <c r="N69" i="22"/>
  <c r="N77" i="22"/>
  <c r="N85" i="22"/>
  <c r="N93" i="22"/>
  <c r="N101" i="22"/>
  <c r="N109" i="22"/>
  <c r="N117" i="22"/>
  <c r="N125" i="22"/>
  <c r="N133" i="22"/>
  <c r="N141" i="22"/>
  <c r="N6" i="22"/>
  <c r="N14" i="22"/>
  <c r="N22" i="22"/>
  <c r="N30" i="22"/>
  <c r="N38" i="22"/>
  <c r="N46" i="22"/>
  <c r="N54" i="22"/>
  <c r="N62" i="22"/>
  <c r="N70" i="22"/>
  <c r="N78" i="22"/>
  <c r="N86" i="22"/>
  <c r="N94" i="22"/>
  <c r="N102" i="22"/>
  <c r="N110" i="22"/>
  <c r="N118" i="22"/>
  <c r="N126" i="22"/>
  <c r="N134" i="22"/>
  <c r="N142" i="22"/>
  <c r="N7" i="22"/>
  <c r="N15" i="22"/>
  <c r="N23" i="22"/>
  <c r="N31" i="22"/>
  <c r="N39" i="22"/>
  <c r="N47" i="22"/>
  <c r="N55" i="22"/>
  <c r="N63" i="22"/>
  <c r="N71" i="22"/>
  <c r="N79" i="22"/>
  <c r="N87" i="22"/>
  <c r="N95" i="22"/>
  <c r="N103" i="22"/>
  <c r="N111" i="22"/>
  <c r="N119" i="22"/>
  <c r="N127" i="22"/>
  <c r="N135" i="22"/>
  <c r="N143" i="22"/>
  <c r="N8" i="22"/>
  <c r="N16" i="22"/>
  <c r="N24" i="22"/>
  <c r="N32" i="22"/>
  <c r="N40" i="22"/>
  <c r="N48" i="22"/>
  <c r="N56" i="22"/>
  <c r="N64" i="22"/>
  <c r="N72" i="22"/>
  <c r="N80" i="22"/>
  <c r="N88" i="22"/>
  <c r="N96" i="22"/>
  <c r="N104" i="22"/>
  <c r="N112" i="22"/>
  <c r="N120" i="22"/>
  <c r="N128" i="22"/>
  <c r="N136" i="22"/>
  <c r="N10" i="17" l="1"/>
  <c r="N11" i="17"/>
  <c r="N17" i="17"/>
  <c r="N42" i="17"/>
  <c r="N49" i="17"/>
  <c r="N50" i="17"/>
  <c r="N29" i="17"/>
  <c r="N40" i="17"/>
  <c r="N47" i="17"/>
  <c r="N37" i="17"/>
  <c r="N3" i="17"/>
  <c r="N25" i="17"/>
  <c r="N48" i="17"/>
  <c r="N45" i="17"/>
  <c r="N38" i="17"/>
  <c r="N39" i="17"/>
  <c r="N54" i="17"/>
  <c r="N52" i="17"/>
  <c r="N34" i="17"/>
  <c r="N33" i="17"/>
  <c r="N55" i="17"/>
  <c r="N5" i="17"/>
  <c r="N44" i="17"/>
  <c r="N7" i="17"/>
  <c r="N8" i="17"/>
  <c r="N16" i="17"/>
  <c r="N12" i="17"/>
  <c r="N28" i="17"/>
  <c r="N51" i="17"/>
  <c r="N53" i="17"/>
  <c r="N46" i="17"/>
  <c r="N36" i="17"/>
  <c r="N32" i="17"/>
  <c r="N13" i="17"/>
  <c r="N4" i="17"/>
  <c r="N6" i="17"/>
  <c r="N18" i="17"/>
  <c r="N22" i="17"/>
  <c r="N24" i="17"/>
  <c r="N35" i="17"/>
  <c r="N9" i="17"/>
  <c r="N15" i="17"/>
  <c r="N23" i="17"/>
  <c r="N41" i="17"/>
  <c r="N19" i="17"/>
  <c r="N21" i="17"/>
  <c r="N20" i="17"/>
  <c r="N31" i="17"/>
  <c r="N30" i="17"/>
  <c r="N14" i="17"/>
  <c r="N51" i="5"/>
  <c r="N112" i="5"/>
  <c r="N85" i="5"/>
  <c r="N57" i="5"/>
  <c r="N61" i="5"/>
  <c r="N38" i="5"/>
  <c r="N50" i="5"/>
  <c r="N48" i="5"/>
  <c r="N55" i="5"/>
  <c r="N27" i="5"/>
  <c r="N37" i="5"/>
  <c r="N206" i="5"/>
  <c r="N207" i="5"/>
  <c r="N127" i="5"/>
  <c r="N139" i="5"/>
  <c r="N90" i="5"/>
  <c r="N260" i="5"/>
  <c r="N262" i="5"/>
  <c r="N264" i="5"/>
  <c r="N265" i="5"/>
  <c r="N266" i="5"/>
  <c r="N268" i="5"/>
  <c r="N81" i="5"/>
  <c r="N82" i="5"/>
  <c r="N166" i="5"/>
  <c r="N97" i="5"/>
  <c r="N225" i="5"/>
  <c r="N220" i="5"/>
  <c r="N64" i="5"/>
  <c r="N62" i="5"/>
  <c r="N30" i="5"/>
  <c r="N9" i="14" l="1"/>
  <c r="N243" i="5"/>
  <c r="N34" i="5"/>
  <c r="N189" i="5"/>
  <c r="N230" i="5"/>
  <c r="N239" i="5"/>
  <c r="N24" i="5"/>
  <c r="N136" i="5"/>
  <c r="N75" i="5"/>
  <c r="N141" i="5"/>
  <c r="N130" i="5"/>
  <c r="N232" i="5"/>
  <c r="N171" i="5"/>
  <c r="N159" i="5"/>
  <c r="N229" i="5"/>
  <c r="N156" i="5"/>
  <c r="N158" i="5"/>
  <c r="N68" i="5"/>
  <c r="N226" i="5"/>
  <c r="N63" i="5"/>
  <c r="N135" i="5"/>
  <c r="N26" i="5"/>
  <c r="N242" i="5"/>
  <c r="N83" i="5"/>
  <c r="N123" i="5"/>
  <c r="N172" i="5"/>
  <c r="N56" i="5"/>
  <c r="N238" i="5"/>
  <c r="N209" i="5"/>
  <c r="N142" i="5"/>
  <c r="N173" i="5"/>
  <c r="N46" i="5"/>
  <c r="N227" i="5"/>
  <c r="N80" i="5"/>
  <c r="N187" i="5"/>
  <c r="N79" i="5"/>
  <c r="N241" i="5"/>
  <c r="N186" i="5"/>
  <c r="N106" i="5"/>
  <c r="N192" i="5"/>
  <c r="N88" i="5"/>
  <c r="N99" i="5"/>
  <c r="N183" i="5"/>
  <c r="N58" i="5"/>
  <c r="N92" i="5"/>
  <c r="N4" i="5"/>
  <c r="N76" i="5"/>
  <c r="N257" i="5"/>
  <c r="N95" i="5"/>
  <c r="N9" i="5"/>
  <c r="N41" i="5"/>
  <c r="N169" i="5"/>
  <c r="N154" i="5"/>
  <c r="N52" i="5"/>
  <c r="N191" i="5"/>
  <c r="N216" i="5"/>
  <c r="N6" i="5"/>
  <c r="N89" i="5"/>
  <c r="N165" i="5"/>
  <c r="N109" i="5"/>
  <c r="N5" i="5"/>
  <c r="N78" i="5"/>
  <c r="N202" i="5"/>
  <c r="N16" i="5"/>
  <c r="N210" i="5"/>
  <c r="N168" i="5"/>
  <c r="N161" i="5"/>
  <c r="N167" i="5"/>
  <c r="N66" i="5"/>
  <c r="N160" i="5"/>
  <c r="N70" i="5"/>
  <c r="N28" i="5"/>
  <c r="N7" i="5"/>
  <c r="N140" i="5"/>
  <c r="N144" i="5"/>
  <c r="N198" i="5"/>
  <c r="N35" i="5"/>
  <c r="N19" i="5"/>
  <c r="N77" i="5"/>
  <c r="N47" i="5"/>
  <c r="N185" i="5"/>
  <c r="N249" i="5"/>
  <c r="N213" i="5"/>
  <c r="N270" i="5"/>
  <c r="N200" i="5"/>
  <c r="N199" i="5"/>
  <c r="N203" i="5"/>
  <c r="N72" i="5"/>
  <c r="N21" i="5"/>
  <c r="N74" i="5"/>
  <c r="N237" i="5"/>
  <c r="N255" i="5"/>
  <c r="N228" i="5"/>
  <c r="N101" i="5"/>
  <c r="N180" i="5"/>
  <c r="N86" i="5"/>
  <c r="N252" i="5"/>
  <c r="N13" i="5"/>
  <c r="N98" i="5"/>
  <c r="N124" i="5"/>
  <c r="N246" i="5"/>
  <c r="N222" i="5"/>
  <c r="N122" i="5"/>
  <c r="N263" i="5"/>
  <c r="N174" i="5"/>
  <c r="N91" i="5"/>
  <c r="N162" i="5"/>
  <c r="N14" i="5"/>
  <c r="N105" i="5"/>
  <c r="N132" i="5"/>
  <c r="N163" i="5"/>
  <c r="N254" i="5"/>
  <c r="N121" i="5"/>
  <c r="N29" i="5"/>
  <c r="N146" i="5"/>
  <c r="N94" i="5"/>
  <c r="N15" i="5"/>
  <c r="N71" i="5"/>
  <c r="N178" i="5"/>
  <c r="N125" i="5"/>
  <c r="N234" i="5"/>
  <c r="N175" i="5"/>
  <c r="N120" i="5"/>
  <c r="N20" i="5"/>
  <c r="N69" i="5"/>
  <c r="N11" i="5"/>
  <c r="N49" i="5"/>
  <c r="N134" i="5"/>
  <c r="N145" i="5"/>
  <c r="N96" i="5"/>
  <c r="N108" i="5"/>
  <c r="N67" i="5"/>
  <c r="N182" i="5"/>
  <c r="N179" i="5"/>
  <c r="N201" i="5"/>
  <c r="N119" i="5"/>
  <c r="N261" i="5"/>
  <c r="N3" i="5"/>
  <c r="N12" i="5"/>
  <c r="N111" i="5"/>
  <c r="N129" i="5"/>
  <c r="N87" i="5"/>
  <c r="N10" i="5"/>
  <c r="N31" i="5"/>
  <c r="N221" i="5"/>
  <c r="N138" i="5"/>
  <c r="N247" i="5"/>
  <c r="N251" i="5"/>
  <c r="N118" i="5"/>
  <c r="N23" i="5"/>
  <c r="N208" i="5"/>
  <c r="N60" i="5"/>
  <c r="N196" i="5"/>
  <c r="N152" i="5"/>
  <c r="N36" i="5"/>
  <c r="N43" i="5"/>
  <c r="N214" i="5"/>
  <c r="N131" i="5"/>
  <c r="N224" i="5"/>
  <c r="N117" i="5"/>
  <c r="N164" i="5"/>
  <c r="N259" i="5"/>
  <c r="N218" i="5"/>
  <c r="N151" i="5"/>
  <c r="N104" i="5"/>
  <c r="N143" i="5"/>
  <c r="N44" i="5"/>
  <c r="N205" i="5"/>
  <c r="N244" i="5"/>
  <c r="N116" i="5"/>
  <c r="N126" i="5"/>
  <c r="N211" i="5"/>
  <c r="N103" i="5"/>
  <c r="N84" i="5"/>
  <c r="N219" i="5"/>
  <c r="N170" i="5"/>
  <c r="N100" i="5"/>
  <c r="N190" i="5"/>
  <c r="N217" i="5"/>
  <c r="N235" i="5"/>
  <c r="N115" i="5"/>
  <c r="N59" i="5"/>
  <c r="N258" i="5"/>
  <c r="N128" i="5"/>
  <c r="N102" i="5"/>
  <c r="N65" i="5"/>
  <c r="N25" i="5"/>
  <c r="N33" i="5"/>
  <c r="N42" i="5"/>
  <c r="N272" i="5"/>
  <c r="N215" i="5"/>
  <c r="N114" i="5"/>
  <c r="N176" i="5"/>
  <c r="N250" i="5"/>
  <c r="N188" i="5"/>
  <c r="N133" i="5"/>
  <c r="N137" i="5"/>
  <c r="N177" i="5"/>
  <c r="N45" i="5"/>
  <c r="N40" i="5"/>
  <c r="N113" i="5"/>
  <c r="N54" i="5"/>
  <c r="N271" i="5"/>
  <c r="N231" i="5"/>
  <c r="N245" i="5"/>
  <c r="N195" i="5"/>
  <c r="N148" i="5"/>
  <c r="N155" i="5"/>
  <c r="N150" i="5"/>
  <c r="N157" i="5"/>
  <c r="N53" i="5"/>
  <c r="N110" i="5"/>
  <c r="N240" i="5"/>
  <c r="N147" i="5"/>
  <c r="N193" i="5"/>
  <c r="N22" i="5"/>
  <c r="N17" i="5"/>
  <c r="N73" i="5"/>
  <c r="N253" i="5"/>
  <c r="N194" i="5"/>
  <c r="N236" i="5"/>
  <c r="N248" i="5"/>
  <c r="N212" i="5"/>
  <c r="N107" i="5"/>
  <c r="N204" i="5"/>
  <c r="N197" i="5"/>
  <c r="N8" i="5"/>
  <c r="N18" i="5"/>
  <c r="N93" i="5"/>
  <c r="N39" i="5"/>
  <c r="N184" i="5"/>
  <c r="N233" i="5"/>
  <c r="N223" i="5"/>
  <c r="N149" i="5"/>
  <c r="N181" i="5"/>
  <c r="N153" i="5"/>
  <c r="N32" i="5"/>
  <c r="N10" i="16"/>
  <c r="N3" i="16"/>
  <c r="N36" i="16"/>
  <c r="N5" i="16"/>
  <c r="N41" i="16"/>
  <c r="N31" i="16"/>
  <c r="N7" i="16"/>
  <c r="N27" i="16"/>
  <c r="N16" i="16"/>
  <c r="N8" i="16"/>
  <c r="N24" i="16"/>
  <c r="N12" i="16"/>
  <c r="N39" i="16"/>
  <c r="N25" i="16"/>
  <c r="N28" i="16"/>
  <c r="N38" i="16"/>
  <c r="N40" i="16"/>
  <c r="N34" i="16"/>
  <c r="N11" i="16"/>
  <c r="N20" i="16"/>
  <c r="N21" i="16"/>
  <c r="N6" i="16"/>
  <c r="N4" i="16"/>
  <c r="N22" i="16"/>
  <c r="N14" i="16"/>
  <c r="N32" i="16"/>
  <c r="N26" i="16"/>
  <c r="N23" i="16"/>
  <c r="N17" i="16"/>
  <c r="N35" i="16"/>
  <c r="N9" i="16"/>
  <c r="N13" i="16"/>
  <c r="N33" i="16"/>
  <c r="N30" i="16"/>
  <c r="N18" i="16"/>
  <c r="N29" i="16"/>
  <c r="N15" i="16"/>
  <c r="N37" i="16"/>
  <c r="N19" i="16"/>
  <c r="N61" i="14"/>
  <c r="N66" i="14"/>
  <c r="N131" i="14"/>
  <c r="N80" i="14"/>
  <c r="N25" i="14"/>
  <c r="N64" i="14"/>
  <c r="N12" i="14"/>
  <c r="N67" i="14"/>
  <c r="N21" i="14"/>
  <c r="N148" i="14"/>
  <c r="N132" i="14"/>
  <c r="N88" i="14"/>
  <c r="N42" i="14"/>
  <c r="N11" i="14"/>
  <c r="N48" i="14"/>
  <c r="N13" i="14"/>
  <c r="N68" i="14"/>
  <c r="N136" i="14"/>
  <c r="N93" i="14"/>
  <c r="N114" i="14"/>
  <c r="N78" i="14"/>
  <c r="N105" i="14"/>
  <c r="N154" i="14"/>
  <c r="N40" i="14"/>
  <c r="N49" i="14"/>
  <c r="N82" i="14"/>
  <c r="N143" i="14"/>
  <c r="N89" i="14"/>
  <c r="N74" i="14"/>
  <c r="N71" i="14"/>
  <c r="N129" i="14"/>
  <c r="N155" i="14"/>
  <c r="N144" i="14"/>
  <c r="N96" i="14"/>
  <c r="N81" i="14"/>
  <c r="N24" i="14"/>
  <c r="N7" i="14"/>
  <c r="N34" i="14"/>
  <c r="N69" i="14"/>
  <c r="N153" i="14"/>
  <c r="N108" i="14"/>
  <c r="N26" i="14"/>
  <c r="N72" i="14"/>
  <c r="N141" i="14"/>
  <c r="N140" i="14"/>
  <c r="N97" i="14"/>
  <c r="N84" i="14"/>
  <c r="N31" i="14"/>
  <c r="N121" i="14"/>
  <c r="N16" i="14"/>
  <c r="N35" i="14"/>
  <c r="N127" i="14"/>
  <c r="N39" i="14"/>
  <c r="N29" i="14"/>
  <c r="N27" i="14"/>
  <c r="N73" i="14"/>
  <c r="N137" i="14"/>
  <c r="N139" i="14"/>
  <c r="N59" i="14"/>
  <c r="N77" i="14"/>
  <c r="N47" i="14"/>
  <c r="N106" i="14"/>
  <c r="N15" i="14"/>
  <c r="N36" i="14"/>
  <c r="N95" i="14"/>
  <c r="N90" i="14"/>
  <c r="N28" i="14"/>
  <c r="N38" i="14"/>
  <c r="N116" i="14"/>
  <c r="N103" i="14"/>
  <c r="N46" i="14"/>
  <c r="N60" i="14"/>
  <c r="N98" i="14"/>
  <c r="N10" i="14"/>
  <c r="N6" i="14"/>
  <c r="N37" i="14"/>
  <c r="N120" i="14"/>
  <c r="N152" i="14"/>
  <c r="N150" i="14"/>
  <c r="N58" i="14"/>
  <c r="N134" i="14"/>
  <c r="N128" i="14"/>
  <c r="N53" i="14"/>
  <c r="N91" i="14"/>
  <c r="N123" i="14"/>
  <c r="N32" i="14"/>
  <c r="N23" i="14"/>
  <c r="N151" i="14"/>
  <c r="N85" i="14"/>
  <c r="N126" i="14"/>
  <c r="N124" i="14"/>
  <c r="N94" i="14"/>
  <c r="N100" i="14"/>
  <c r="N92" i="14"/>
  <c r="N20" i="14"/>
  <c r="N22" i="14"/>
  <c r="N3" i="14"/>
  <c r="N147" i="14"/>
  <c r="N104" i="14"/>
  <c r="N119" i="14"/>
  <c r="N57" i="14"/>
  <c r="N110" i="14"/>
  <c r="N122" i="14"/>
  <c r="N33" i="14"/>
  <c r="N44" i="14"/>
  <c r="N142" i="14"/>
  <c r="N109" i="14"/>
  <c r="N70" i="14"/>
  <c r="N75" i="14"/>
  <c r="N135" i="14"/>
  <c r="N130" i="14"/>
  <c r="N125" i="14"/>
  <c r="N19" i="14"/>
  <c r="N107" i="14"/>
  <c r="N83" i="14"/>
  <c r="N30" i="14"/>
  <c r="N51" i="14"/>
  <c r="N18" i="14"/>
  <c r="N14" i="14"/>
  <c r="N56" i="14"/>
  <c r="N8" i="14"/>
  <c r="N5" i="14"/>
  <c r="N43" i="14"/>
  <c r="N145" i="14"/>
  <c r="N113" i="14"/>
  <c r="N118" i="14"/>
  <c r="N112" i="14"/>
  <c r="N111" i="14"/>
  <c r="N76" i="14"/>
  <c r="N45" i="14"/>
  <c r="N52" i="14"/>
  <c r="N87" i="14"/>
  <c r="N62" i="14"/>
  <c r="N138" i="14"/>
  <c r="N149" i="14"/>
  <c r="N115" i="14"/>
  <c r="N86" i="14"/>
  <c r="N102" i="14"/>
  <c r="N50" i="14"/>
  <c r="N41" i="14"/>
  <c r="N117" i="14"/>
  <c r="N54" i="14"/>
  <c r="N99" i="14"/>
  <c r="N17" i="14"/>
  <c r="N65" i="14"/>
  <c r="N146" i="14"/>
  <c r="N55" i="14"/>
  <c r="N133" i="14"/>
  <c r="N79" i="14"/>
  <c r="N101" i="14"/>
  <c r="N63" i="14"/>
  <c r="N4" i="14"/>
  <c r="N53" i="8"/>
  <c r="N24" i="8"/>
  <c r="N37" i="8"/>
  <c r="N36" i="8"/>
  <c r="N58" i="8"/>
  <c r="N49" i="8"/>
  <c r="N25" i="8"/>
  <c r="N26" i="8"/>
  <c r="N7" i="8"/>
  <c r="N4" i="8"/>
  <c r="N55" i="8"/>
  <c r="N18" i="8"/>
  <c r="N6" i="8"/>
  <c r="N38" i="8"/>
  <c r="N39" i="8"/>
  <c r="N10" i="8"/>
  <c r="N35" i="8"/>
  <c r="N22" i="8"/>
  <c r="N5" i="8"/>
  <c r="N40" i="8"/>
  <c r="N13" i="8"/>
  <c r="N47" i="8"/>
  <c r="N29" i="8"/>
  <c r="N52" i="8"/>
  <c r="N23" i="8"/>
  <c r="N21" i="8"/>
  <c r="N32" i="8"/>
  <c r="N14" i="8"/>
  <c r="N28" i="8"/>
  <c r="N17" i="8"/>
  <c r="N41" i="8"/>
  <c r="N15" i="8"/>
  <c r="N54" i="8"/>
  <c r="N3" i="8"/>
  <c r="N56" i="8"/>
  <c r="N30" i="8"/>
  <c r="N8" i="8"/>
  <c r="N34" i="8"/>
  <c r="N12" i="8"/>
  <c r="N50" i="8"/>
  <c r="N16" i="8"/>
  <c r="N48" i="8"/>
  <c r="N11" i="8"/>
  <c r="N19" i="8"/>
  <c r="N42" i="8"/>
  <c r="N33" i="8"/>
  <c r="N57" i="8"/>
  <c r="N44" i="8"/>
  <c r="N51" i="8"/>
  <c r="N27" i="8"/>
  <c r="N59" i="8"/>
  <c r="N20" i="8"/>
  <c r="N45" i="8"/>
  <c r="N43" i="8"/>
  <c r="N31" i="8"/>
  <c r="N9" i="8"/>
  <c r="N46" i="8"/>
  <c r="N74" i="4"/>
  <c r="N53" i="4"/>
  <c r="N13" i="4"/>
  <c r="N79" i="4"/>
  <c r="N68" i="4"/>
  <c r="N70" i="4"/>
  <c r="N3" i="4"/>
  <c r="N51" i="4"/>
  <c r="N9" i="4"/>
  <c r="N104" i="4"/>
  <c r="N66" i="4"/>
  <c r="N72" i="4"/>
  <c r="N19" i="4"/>
  <c r="N7" i="4"/>
  <c r="N48" i="4"/>
  <c r="N44" i="4"/>
  <c r="N101" i="4"/>
  <c r="N69" i="4"/>
  <c r="N71" i="4"/>
  <c r="N99" i="4"/>
  <c r="N73" i="4"/>
  <c r="N33" i="4"/>
  <c r="N25" i="4"/>
  <c r="N103" i="4"/>
  <c r="N26" i="4"/>
  <c r="N87" i="4"/>
  <c r="N49" i="4"/>
  <c r="N28" i="4"/>
  <c r="N47" i="4"/>
  <c r="N75" i="4"/>
  <c r="N24" i="4"/>
  <c r="N96" i="4"/>
  <c r="N82" i="4"/>
  <c r="N86" i="4"/>
  <c r="N59" i="4"/>
  <c r="N14" i="4"/>
  <c r="N10" i="4"/>
  <c r="N91" i="4"/>
  <c r="N54" i="4"/>
  <c r="N56" i="4"/>
  <c r="N15" i="4"/>
  <c r="N105" i="4"/>
  <c r="N43" i="4"/>
  <c r="N32" i="4"/>
  <c r="N46" i="4"/>
  <c r="N106" i="4"/>
  <c r="N6" i="4"/>
  <c r="N34" i="4"/>
  <c r="N97" i="4"/>
  <c r="N61" i="4"/>
  <c r="N42" i="4"/>
  <c r="N30" i="4"/>
  <c r="N8" i="4"/>
  <c r="N29" i="4"/>
  <c r="N65" i="4"/>
  <c r="N107" i="4"/>
  <c r="N41" i="4"/>
  <c r="N64" i="4"/>
  <c r="N78" i="4"/>
  <c r="N20" i="4"/>
  <c r="N93" i="4"/>
  <c r="N16" i="4"/>
  <c r="N45" i="4"/>
  <c r="N98" i="4"/>
  <c r="N102" i="4"/>
  <c r="N40" i="4"/>
  <c r="N27" i="4"/>
  <c r="N67" i="4"/>
  <c r="N23" i="4"/>
  <c r="N11" i="4"/>
  <c r="N63" i="4"/>
  <c r="N83" i="4"/>
  <c r="N94" i="4"/>
  <c r="N39" i="4"/>
  <c r="N85" i="4"/>
  <c r="N84" i="4"/>
  <c r="N4" i="4"/>
  <c r="N31" i="4"/>
  <c r="N100" i="4"/>
  <c r="N92" i="4"/>
  <c r="N38" i="4"/>
  <c r="N58" i="4"/>
  <c r="N35" i="4"/>
  <c r="N5" i="4"/>
  <c r="N17" i="4"/>
  <c r="N60" i="4"/>
  <c r="N90" i="4"/>
  <c r="N62" i="4"/>
  <c r="N37" i="4"/>
  <c r="N55" i="4"/>
  <c r="N89" i="4"/>
  <c r="N95" i="4"/>
  <c r="N22" i="4"/>
  <c r="N88" i="4"/>
  <c r="N52" i="4"/>
  <c r="N12" i="4"/>
  <c r="N57" i="4"/>
  <c r="N80" i="4"/>
  <c r="N81" i="4"/>
  <c r="N36" i="4"/>
  <c r="N50" i="4"/>
  <c r="N205" i="20"/>
  <c r="N91" i="20"/>
  <c r="N54" i="20"/>
  <c r="N132" i="20"/>
  <c r="N156" i="20"/>
  <c r="N149" i="20"/>
  <c r="N215" i="20"/>
  <c r="N231" i="20"/>
  <c r="N189" i="20"/>
  <c r="N93" i="20"/>
  <c r="N53" i="20"/>
  <c r="N194" i="20"/>
  <c r="N198" i="20"/>
  <c r="N79" i="20"/>
  <c r="N174" i="20"/>
  <c r="N175" i="20"/>
  <c r="N108" i="20"/>
  <c r="N122" i="20"/>
  <c r="N180" i="20"/>
  <c r="N110" i="20"/>
  <c r="N203" i="20"/>
  <c r="N226" i="20"/>
  <c r="N97" i="20"/>
  <c r="N131" i="20"/>
  <c r="N151" i="20"/>
  <c r="N208" i="20"/>
  <c r="N46" i="20"/>
  <c r="N75" i="20"/>
  <c r="N51" i="20"/>
  <c r="N137" i="20"/>
  <c r="N57" i="20"/>
  <c r="N109" i="20"/>
  <c r="N121" i="20"/>
  <c r="N184" i="20"/>
  <c r="N244" i="20"/>
  <c r="N223" i="20"/>
  <c r="N227" i="20"/>
  <c r="N96" i="20"/>
  <c r="N166" i="20"/>
  <c r="N136" i="20"/>
  <c r="N169" i="20"/>
  <c r="N135" i="20"/>
  <c r="N68" i="20"/>
  <c r="N206" i="20"/>
  <c r="N129" i="20"/>
  <c r="N94" i="20"/>
  <c r="N243" i="20"/>
  <c r="N211" i="20"/>
  <c r="N218" i="20"/>
  <c r="N168" i="20"/>
  <c r="N157" i="20"/>
  <c r="N159" i="20"/>
  <c r="N133" i="20"/>
  <c r="N78" i="20"/>
  <c r="N228" i="20"/>
  <c r="N185" i="20"/>
  <c r="N98" i="20"/>
  <c r="N239" i="20"/>
  <c r="N191" i="20"/>
  <c r="N219" i="20"/>
  <c r="N130" i="20"/>
  <c r="N199" i="20"/>
  <c r="N153" i="20"/>
  <c r="N172" i="20"/>
  <c r="N138" i="20"/>
  <c r="N181" i="20"/>
  <c r="N158" i="20"/>
  <c r="N112" i="20"/>
  <c r="N224" i="20"/>
  <c r="N216" i="20"/>
  <c r="N217" i="20"/>
  <c r="N84" i="20"/>
  <c r="N67" i="20"/>
  <c r="N70" i="20"/>
  <c r="N90" i="20"/>
  <c r="N82" i="20"/>
  <c r="N126" i="20"/>
  <c r="N116" i="20"/>
  <c r="N196" i="20"/>
  <c r="N39" i="20"/>
  <c r="N154" i="20"/>
  <c r="N141" i="20"/>
  <c r="N236" i="20"/>
  <c r="N200" i="20"/>
  <c r="N212" i="20"/>
  <c r="N83" i="20"/>
  <c r="N59" i="20"/>
  <c r="N173" i="20"/>
  <c r="N45" i="20"/>
  <c r="N105" i="20"/>
  <c r="N167" i="20"/>
  <c r="N102" i="20"/>
  <c r="N187" i="20"/>
  <c r="N142" i="20"/>
  <c r="N229" i="20"/>
  <c r="N241" i="20"/>
  <c r="N222" i="20"/>
  <c r="N115" i="20"/>
  <c r="N162" i="20"/>
  <c r="N113" i="20"/>
  <c r="N25" i="20"/>
  <c r="N61" i="20"/>
  <c r="N207" i="20"/>
  <c r="N56" i="20"/>
  <c r="N103" i="20"/>
  <c r="N171" i="20"/>
  <c r="N143" i="20"/>
  <c r="N238" i="20"/>
  <c r="N125" i="20"/>
  <c r="N221" i="20"/>
  <c r="N114" i="20"/>
  <c r="N120" i="20"/>
  <c r="N195" i="20"/>
  <c r="N99" i="20"/>
  <c r="N86" i="20"/>
  <c r="N232" i="20"/>
  <c r="N186" i="20"/>
  <c r="N155" i="20"/>
  <c r="N214" i="20"/>
  <c r="N89" i="20"/>
  <c r="N183" i="20"/>
  <c r="N144" i="20"/>
  <c r="N233" i="20"/>
  <c r="N213" i="20"/>
  <c r="N220" i="20"/>
  <c r="N188" i="20"/>
  <c r="N101" i="20"/>
  <c r="N163" i="20"/>
  <c r="N41" i="20"/>
  <c r="N74" i="20"/>
  <c r="N170" i="20"/>
  <c r="N176" i="20"/>
  <c r="N165" i="20"/>
  <c r="N145" i="20"/>
  <c r="N63" i="20"/>
  <c r="N240" i="20"/>
  <c r="N204" i="20"/>
  <c r="N76" i="20"/>
  <c r="N193" i="20"/>
  <c r="N88" i="20"/>
  <c r="N3" i="20"/>
  <c r="N209" i="20"/>
  <c r="N230" i="20"/>
  <c r="N177" i="20"/>
  <c r="N182" i="20"/>
  <c r="N146" i="20"/>
  <c r="N225" i="20"/>
  <c r="N179" i="20"/>
  <c r="N140" i="20"/>
  <c r="N118" i="20"/>
  <c r="N192" i="20"/>
  <c r="N66" i="20"/>
  <c r="N5" i="20"/>
  <c r="N202" i="20"/>
  <c r="N139" i="20"/>
  <c r="N128" i="20"/>
  <c r="N124" i="20"/>
  <c r="N147" i="20"/>
  <c r="N190" i="20"/>
  <c r="N197" i="20"/>
  <c r="N134" i="20"/>
  <c r="N152" i="20"/>
  <c r="N42" i="20"/>
  <c r="N242" i="20"/>
  <c r="N69" i="20"/>
  <c r="N127" i="20"/>
  <c r="N160" i="20"/>
  <c r="N161" i="20"/>
  <c r="N148" i="20"/>
  <c r="N234" i="20"/>
  <c r="N237" i="20"/>
  <c r="N235" i="20"/>
  <c r="N107" i="20"/>
  <c r="N64" i="20"/>
  <c r="N201" i="20"/>
  <c r="N85" i="20"/>
  <c r="N119" i="20"/>
  <c r="N37" i="20"/>
  <c r="N19" i="20"/>
  <c r="N40" i="20"/>
  <c r="N21" i="20"/>
  <c r="N71" i="20"/>
  <c r="N32" i="20"/>
  <c r="N7" i="20"/>
  <c r="N22" i="20"/>
  <c r="N38" i="20"/>
  <c r="N20" i="20"/>
  <c r="N77" i="20"/>
  <c r="N14" i="20"/>
  <c r="N30" i="20"/>
  <c r="N35" i="20"/>
  <c r="N11" i="20"/>
  <c r="N9" i="20"/>
  <c r="N15" i="20"/>
  <c r="N18" i="20"/>
  <c r="N26" i="20"/>
  <c r="N16" i="20"/>
  <c r="N52" i="20"/>
  <c r="N23" i="20"/>
  <c r="N12" i="20"/>
  <c r="N62" i="20"/>
  <c r="N55" i="20"/>
  <c r="N123" i="20"/>
  <c r="N36" i="20"/>
  <c r="N95" i="20"/>
  <c r="N24" i="20"/>
  <c r="N48" i="20"/>
  <c r="N72" i="20"/>
  <c r="N28" i="20"/>
  <c r="N6" i="20"/>
  <c r="N43" i="20"/>
  <c r="N73" i="20"/>
  <c r="N13" i="20"/>
  <c r="N29" i="20"/>
  <c r="N58" i="20"/>
  <c r="N80" i="20"/>
  <c r="N210" i="20"/>
  <c r="N117" i="20"/>
  <c r="N8" i="20"/>
  <c r="N44" i="20"/>
  <c r="N92" i="20"/>
  <c r="N31" i="20"/>
  <c r="N10" i="20"/>
  <c r="N87" i="20"/>
  <c r="N106" i="20"/>
  <c r="N27" i="20"/>
  <c r="N65" i="20"/>
  <c r="N60" i="20"/>
  <c r="N81" i="20"/>
  <c r="N33" i="20"/>
  <c r="N50" i="20"/>
  <c r="N17" i="20"/>
  <c r="N63" i="18"/>
  <c r="N118" i="18"/>
  <c r="N15" i="18"/>
  <c r="N3" i="18"/>
  <c r="N26" i="18"/>
  <c r="N29" i="18"/>
  <c r="N64" i="18"/>
  <c r="N124" i="18"/>
  <c r="N91" i="18"/>
  <c r="N107" i="18"/>
  <c r="N14" i="18"/>
  <c r="N28" i="18"/>
  <c r="N16" i="18"/>
  <c r="N57" i="18"/>
  <c r="N65" i="18"/>
  <c r="N105" i="18"/>
  <c r="N126" i="18"/>
  <c r="N8" i="18"/>
  <c r="N27" i="18"/>
  <c r="N19" i="18"/>
  <c r="N33" i="18"/>
  <c r="N66" i="18"/>
  <c r="N71" i="18"/>
  <c r="N13" i="18"/>
  <c r="N30" i="18"/>
  <c r="N54" i="18"/>
  <c r="N68" i="18"/>
  <c r="N95" i="18"/>
  <c r="N99" i="18"/>
  <c r="N87" i="18"/>
  <c r="N86" i="18"/>
  <c r="N45" i="18"/>
  <c r="N67" i="18"/>
  <c r="N22" i="18"/>
  <c r="N40" i="18"/>
  <c r="N76" i="18"/>
  <c r="N69" i="18"/>
  <c r="N114" i="18"/>
  <c r="N111" i="18"/>
  <c r="N92" i="18"/>
  <c r="N83" i="18"/>
  <c r="N106" i="18"/>
  <c r="N23" i="18"/>
  <c r="N31" i="18"/>
  <c r="N78" i="18"/>
  <c r="N5" i="18"/>
  <c r="N100" i="18"/>
  <c r="N113" i="18"/>
  <c r="N85" i="18"/>
  <c r="N90" i="18"/>
  <c r="N34" i="18"/>
  <c r="N24" i="18"/>
  <c r="N60" i="18"/>
  <c r="N82" i="18"/>
  <c r="N128" i="18"/>
  <c r="N89" i="18"/>
  <c r="N110" i="18"/>
  <c r="N79" i="18"/>
  <c r="N7" i="18"/>
  <c r="N120" i="18"/>
  <c r="N25" i="18"/>
  <c r="N77" i="18"/>
  <c r="N72" i="18"/>
  <c r="N115" i="18"/>
  <c r="N108" i="18"/>
  <c r="N109" i="18"/>
  <c r="N55" i="18"/>
  <c r="N35" i="18"/>
  <c r="N88" i="18"/>
  <c r="N36" i="18"/>
  <c r="N17" i="18"/>
  <c r="N51" i="18"/>
  <c r="N74" i="18"/>
  <c r="N125" i="18"/>
  <c r="N94" i="18"/>
  <c r="N102" i="18"/>
  <c r="N44" i="18"/>
  <c r="N75" i="18"/>
  <c r="N121" i="18"/>
  <c r="N117" i="18"/>
  <c r="N18" i="18"/>
  <c r="N56" i="18"/>
  <c r="N73" i="18"/>
  <c r="N119" i="18"/>
  <c r="N129" i="18"/>
  <c r="N98" i="18"/>
  <c r="N43" i="18"/>
  <c r="N70" i="18"/>
  <c r="N93" i="18"/>
  <c r="N96" i="18"/>
  <c r="N103" i="18"/>
  <c r="N21" i="18"/>
  <c r="N52" i="18"/>
  <c r="N59" i="18"/>
  <c r="N127" i="18"/>
  <c r="N53" i="18"/>
  <c r="N112" i="18"/>
  <c r="N4" i="18"/>
  <c r="N6" i="18"/>
  <c r="N32" i="18"/>
  <c r="N80" i="18"/>
  <c r="N38" i="18"/>
  <c r="N12" i="18"/>
  <c r="N47" i="18"/>
  <c r="N122" i="18"/>
  <c r="N104" i="18"/>
  <c r="N101" i="18"/>
  <c r="N11" i="18"/>
  <c r="N48" i="18"/>
  <c r="N84" i="18"/>
  <c r="N39" i="18"/>
  <c r="N50" i="18"/>
  <c r="N61" i="18"/>
  <c r="N42" i="18"/>
  <c r="N123" i="18"/>
  <c r="N97" i="18"/>
  <c r="N49" i="18"/>
  <c r="N37" i="18"/>
  <c r="N46" i="18"/>
  <c r="N20" i="18"/>
  <c r="N41" i="18"/>
  <c r="N62" i="18"/>
  <c r="N116" i="18"/>
  <c r="N81" i="18"/>
  <c r="N58" i="18"/>
  <c r="N9" i="18"/>
  <c r="N10" i="18"/>
  <c r="N27" i="17"/>
  <c r="N26" i="17"/>
  <c r="N43" i="17"/>
  <c r="N100" i="15"/>
  <c r="N65" i="15"/>
  <c r="N26" i="15"/>
  <c r="N63" i="15"/>
  <c r="N111" i="15"/>
  <c r="N49" i="15"/>
  <c r="N15" i="15"/>
  <c r="N56" i="15"/>
  <c r="N64" i="15"/>
  <c r="N20" i="15"/>
  <c r="N101" i="15"/>
  <c r="N105" i="15"/>
  <c r="N48" i="15"/>
  <c r="N53" i="15"/>
  <c r="N74" i="15"/>
  <c r="N59" i="15"/>
  <c r="N24" i="15"/>
  <c r="N62" i="15"/>
  <c r="N9" i="15"/>
  <c r="N14" i="15"/>
  <c r="N83" i="15"/>
  <c r="N97" i="15"/>
  <c r="N47" i="15"/>
  <c r="N33" i="15"/>
  <c r="N73" i="15"/>
  <c r="N11" i="15"/>
  <c r="N58" i="15"/>
  <c r="N103" i="15"/>
  <c r="N95" i="15"/>
  <c r="N46" i="15"/>
  <c r="N32" i="15"/>
  <c r="N4" i="15"/>
  <c r="N108" i="15"/>
  <c r="N50" i="15"/>
  <c r="N8" i="15"/>
  <c r="N57" i="15"/>
  <c r="N93" i="15"/>
  <c r="N78" i="15"/>
  <c r="N45" i="15"/>
  <c r="N55" i="15"/>
  <c r="N30" i="15"/>
  <c r="N13" i="15"/>
  <c r="N67" i="15"/>
  <c r="N77" i="15"/>
  <c r="N91" i="15"/>
  <c r="N44" i="15"/>
  <c r="N68" i="15"/>
  <c r="N28" i="15"/>
  <c r="N71" i="15"/>
  <c r="N90" i="15"/>
  <c r="N92" i="15"/>
  <c r="N43" i="15"/>
  <c r="N52" i="15"/>
  <c r="N6" i="15"/>
  <c r="N23" i="15"/>
  <c r="N110" i="15"/>
  <c r="N76" i="15"/>
  <c r="N89" i="15"/>
  <c r="N70" i="15"/>
  <c r="N17" i="15"/>
  <c r="N12" i="15"/>
  <c r="N61" i="15"/>
  <c r="N41" i="15"/>
  <c r="N27" i="15"/>
  <c r="N107" i="15"/>
  <c r="N66" i="15"/>
  <c r="N85" i="15"/>
  <c r="N72" i="15"/>
  <c r="N7" i="15"/>
  <c r="N37" i="15"/>
  <c r="N19" i="15"/>
  <c r="N98" i="15"/>
  <c r="N84" i="15"/>
  <c r="N81" i="15"/>
  <c r="N60" i="15"/>
  <c r="N5" i="15"/>
  <c r="N18" i="15"/>
  <c r="N31" i="15"/>
  <c r="N42" i="15"/>
  <c r="N21" i="15"/>
  <c r="N104" i="15"/>
  <c r="N69" i="15"/>
  <c r="N80" i="15"/>
  <c r="N102" i="15"/>
  <c r="N3" i="15"/>
  <c r="N36" i="15"/>
  <c r="N51" i="15"/>
  <c r="N22" i="15"/>
  <c r="N38" i="15"/>
  <c r="N10" i="15"/>
  <c r="N94" i="15"/>
  <c r="N109" i="15"/>
  <c r="N88" i="15"/>
  <c r="N96" i="15"/>
  <c r="N75" i="15"/>
  <c r="N82" i="15"/>
  <c r="N39" i="15"/>
  <c r="N106" i="15"/>
  <c r="N34" i="15"/>
  <c r="N86" i="15"/>
  <c r="N25" i="15"/>
  <c r="N54" i="15"/>
  <c r="N35" i="15"/>
  <c r="N40" i="15"/>
  <c r="N99" i="15"/>
  <c r="N79" i="15"/>
  <c r="N87" i="15"/>
  <c r="N16" i="15"/>
  <c r="N29" i="15"/>
  <c r="N137" i="13"/>
  <c r="N58" i="13"/>
  <c r="N196" i="13"/>
  <c r="N257" i="13"/>
  <c r="N408" i="13"/>
  <c r="N277" i="13"/>
  <c r="N65" i="13"/>
  <c r="N354" i="13"/>
  <c r="N270" i="13"/>
  <c r="N415" i="13"/>
  <c r="N209" i="13"/>
  <c r="N352" i="13"/>
  <c r="N295" i="13"/>
  <c r="N393" i="13"/>
  <c r="N456" i="13"/>
  <c r="N457" i="13"/>
  <c r="N139" i="13"/>
  <c r="N229" i="13"/>
  <c r="N344" i="13"/>
  <c r="N374" i="13"/>
  <c r="N8" i="13"/>
  <c r="N78" i="13"/>
  <c r="N341" i="13"/>
  <c r="N83" i="13"/>
  <c r="N261" i="13"/>
  <c r="N319" i="13"/>
  <c r="N121" i="13"/>
  <c r="N85" i="13"/>
  <c r="N25" i="13"/>
  <c r="N88" i="13"/>
  <c r="N179" i="13"/>
  <c r="N84" i="13"/>
  <c r="N336" i="13"/>
  <c r="N307" i="13"/>
  <c r="N401" i="13"/>
  <c r="N163" i="13"/>
  <c r="N54" i="13"/>
  <c r="N329" i="13"/>
  <c r="N379" i="13"/>
  <c r="N208" i="13"/>
  <c r="N385" i="13"/>
  <c r="N140" i="13"/>
  <c r="N384" i="13"/>
  <c r="N161" i="13"/>
  <c r="N333" i="13"/>
  <c r="N167" i="13"/>
  <c r="N248" i="13"/>
  <c r="N403" i="13"/>
  <c r="N362" i="13"/>
  <c r="N287" i="13"/>
  <c r="N157" i="13"/>
  <c r="N34" i="13"/>
  <c r="N435" i="13"/>
  <c r="N20" i="13"/>
  <c r="N301" i="13"/>
  <c r="N348" i="13"/>
  <c r="N446" i="13"/>
  <c r="N15" i="13"/>
  <c r="N309" i="13"/>
  <c r="N153" i="13"/>
  <c r="N46" i="13"/>
  <c r="N166" i="13"/>
  <c r="N180" i="13"/>
  <c r="N225" i="13"/>
  <c r="N125" i="13"/>
  <c r="N45" i="13"/>
  <c r="N86" i="13"/>
  <c r="N10" i="13"/>
  <c r="N335" i="13"/>
  <c r="N194" i="13"/>
  <c r="N260" i="13"/>
  <c r="N102" i="13"/>
  <c r="N5" i="13"/>
  <c r="N317" i="13"/>
  <c r="N428" i="13"/>
  <c r="N133" i="13"/>
  <c r="N455" i="13"/>
  <c r="N253" i="13"/>
  <c r="N449" i="13"/>
  <c r="N364" i="13"/>
  <c r="N279" i="13"/>
  <c r="N320" i="13"/>
  <c r="N448" i="13"/>
  <c r="N376" i="13"/>
  <c r="N291" i="13"/>
  <c r="N286" i="13"/>
  <c r="N445" i="13"/>
  <c r="N14" i="13"/>
  <c r="N398" i="13"/>
  <c r="N109" i="13"/>
  <c r="N117" i="13"/>
  <c r="N149" i="13"/>
  <c r="N68" i="13"/>
  <c r="N41" i="13"/>
  <c r="N181" i="13"/>
  <c r="N162" i="13"/>
  <c r="N289" i="13"/>
  <c r="N61" i="13"/>
  <c r="N302" i="13"/>
  <c r="N99" i="13"/>
  <c r="N269" i="13"/>
  <c r="N423" i="13"/>
  <c r="N394" i="13"/>
  <c r="N267" i="13"/>
  <c r="N375" i="13"/>
  <c r="N6" i="13"/>
  <c r="N49" i="13"/>
  <c r="N276" i="13"/>
  <c r="N443" i="13"/>
  <c r="N206" i="13"/>
  <c r="N454" i="13"/>
  <c r="N219" i="13"/>
  <c r="N462" i="13"/>
  <c r="N321" i="13"/>
  <c r="N332" i="13"/>
  <c r="N184" i="13"/>
  <c r="N429" i="13"/>
  <c r="N66" i="13"/>
  <c r="N311" i="13"/>
  <c r="N441" i="13"/>
  <c r="N222" i="13"/>
  <c r="N405" i="13"/>
  <c r="N265" i="13"/>
  <c r="N29" i="13"/>
  <c r="N190" i="13"/>
  <c r="N104" i="13"/>
  <c r="N12" i="13"/>
  <c r="N392" i="13"/>
  <c r="N406" i="13"/>
  <c r="N72" i="13"/>
  <c r="N70" i="13"/>
  <c r="N40" i="13"/>
  <c r="N268" i="13"/>
  <c r="N242" i="13"/>
  <c r="N256" i="13"/>
  <c r="N193" i="13"/>
  <c r="N349" i="13"/>
  <c r="N101" i="13"/>
  <c r="N422" i="13"/>
  <c r="N370" i="13"/>
  <c r="N298" i="13"/>
  <c r="N439" i="13"/>
  <c r="N132" i="13"/>
  <c r="N387" i="13"/>
  <c r="N463" i="13"/>
  <c r="N226" i="13"/>
  <c r="N241" i="13"/>
  <c r="N147" i="13"/>
  <c r="N431" i="13"/>
  <c r="N417" i="13"/>
  <c r="N358" i="13"/>
  <c r="N195" i="13"/>
  <c r="N13" i="13"/>
  <c r="N126" i="13"/>
  <c r="N453" i="13"/>
  <c r="N313" i="13"/>
  <c r="N23" i="13"/>
  <c r="N343" i="13"/>
  <c r="N37" i="13"/>
  <c r="N56" i="13"/>
  <c r="N201" i="13"/>
  <c r="N118" i="13"/>
  <c r="N290" i="13"/>
  <c r="N35" i="13"/>
  <c r="N369" i="13"/>
  <c r="N188" i="13"/>
  <c r="N442" i="13"/>
  <c r="N330" i="13"/>
  <c r="N425" i="13"/>
  <c r="N297" i="13"/>
  <c r="N122" i="13"/>
  <c r="N87" i="13"/>
  <c r="N28" i="13"/>
  <c r="N264" i="13"/>
  <c r="N391" i="13"/>
  <c r="N205" i="13"/>
  <c r="N383" i="13"/>
  <c r="N160" i="13"/>
  <c r="N365" i="13"/>
  <c r="N220" i="13"/>
  <c r="N223" i="13"/>
  <c r="N436" i="13"/>
  <c r="N438" i="13"/>
  <c r="N346" i="13"/>
  <c r="N214" i="13"/>
  <c r="N312" i="13"/>
  <c r="N275" i="13"/>
  <c r="N400" i="13"/>
  <c r="N106" i="13"/>
  <c r="N47" i="13"/>
  <c r="N73" i="13"/>
  <c r="N165" i="13"/>
  <c r="N230" i="13"/>
  <c r="N27" i="13"/>
  <c r="N233" i="13"/>
  <c r="N71" i="13"/>
  <c r="N440" i="13"/>
  <c r="N356" i="13"/>
  <c r="N224" i="13"/>
  <c r="N296" i="13"/>
  <c r="N33" i="13"/>
  <c r="N96" i="13"/>
  <c r="N22" i="13"/>
  <c r="N272" i="13"/>
  <c r="N328" i="13"/>
  <c r="N204" i="13"/>
  <c r="N427" i="13"/>
  <c r="N244" i="13"/>
  <c r="N324" i="13"/>
  <c r="N294" i="13"/>
  <c r="N288" i="13"/>
  <c r="N327" i="13"/>
  <c r="N359" i="13"/>
  <c r="N444" i="13"/>
  <c r="N142" i="13"/>
  <c r="N146" i="13"/>
  <c r="N57" i="13"/>
  <c r="N210" i="13"/>
  <c r="N377" i="13"/>
  <c r="N90" i="13"/>
  <c r="N235" i="13"/>
  <c r="N238" i="13"/>
  <c r="N274" i="13"/>
  <c r="N395" i="13"/>
  <c r="N119" i="13"/>
  <c r="N81" i="13"/>
  <c r="N108" i="13"/>
  <c r="N159" i="13"/>
  <c r="N18" i="13"/>
  <c r="N21" i="13"/>
  <c r="N199" i="13"/>
  <c r="N129" i="13"/>
  <c r="N221" i="13"/>
  <c r="N254" i="13"/>
  <c r="N74" i="13"/>
  <c r="N464" i="13"/>
  <c r="N175" i="13"/>
  <c r="N53" i="13"/>
  <c r="N411" i="13"/>
  <c r="N340" i="13"/>
  <c r="N437" i="13"/>
  <c r="N338" i="13"/>
  <c r="N306" i="13"/>
  <c r="N266" i="13"/>
  <c r="N323" i="13"/>
  <c r="N316" i="13"/>
  <c r="N420" i="13"/>
  <c r="N357" i="13"/>
  <c r="N451" i="13"/>
  <c r="N452" i="13"/>
  <c r="N156" i="13"/>
  <c r="N79" i="13"/>
  <c r="N151" i="13"/>
  <c r="N183" i="13"/>
  <c r="N171" i="13"/>
  <c r="N250" i="13"/>
  <c r="N50" i="13"/>
  <c r="N246" i="13"/>
  <c r="N64" i="13"/>
  <c r="N350" i="13"/>
  <c r="N207" i="13"/>
  <c r="N409" i="13"/>
  <c r="N11" i="13"/>
  <c r="N292" i="13"/>
  <c r="N116" i="13"/>
  <c r="N380" i="13"/>
  <c r="N38" i="13"/>
  <c r="N382" i="13"/>
  <c r="N174" i="13"/>
  <c r="N308" i="13"/>
  <c r="N103" i="13"/>
  <c r="N273" i="13"/>
  <c r="N293" i="13"/>
  <c r="N48" i="13"/>
  <c r="N187" i="13"/>
  <c r="N239" i="13"/>
  <c r="N198" i="13"/>
  <c r="N36" i="13"/>
  <c r="N30" i="13"/>
  <c r="N170" i="13"/>
  <c r="N144" i="13"/>
  <c r="N218" i="13"/>
  <c r="N282" i="13"/>
  <c r="N465" i="13"/>
  <c r="N42" i="13"/>
  <c r="N113" i="13"/>
  <c r="N459" i="13"/>
  <c r="N339" i="13"/>
  <c r="N416" i="13"/>
  <c r="N363" i="13"/>
  <c r="N322" i="13"/>
  <c r="N284" i="13"/>
  <c r="N390" i="13"/>
  <c r="N283" i="13"/>
  <c r="N419" i="13"/>
  <c r="N310" i="13"/>
  <c r="N300" i="13"/>
  <c r="N234" i="13"/>
  <c r="N148" i="13"/>
  <c r="N200" i="13"/>
  <c r="N94" i="13"/>
  <c r="N461" i="13"/>
  <c r="N255" i="13"/>
  <c r="N236" i="13"/>
  <c r="N89" i="13"/>
  <c r="N231" i="13"/>
  <c r="N318" i="13"/>
  <c r="N97" i="13"/>
  <c r="N353" i="13"/>
  <c r="N388" i="13"/>
  <c r="N192" i="13"/>
  <c r="N351" i="13"/>
  <c r="N263" i="13"/>
  <c r="N114" i="13"/>
  <c r="N63" i="13"/>
  <c r="N134" i="13"/>
  <c r="N397" i="13"/>
  <c r="N347" i="13"/>
  <c r="N227" i="13"/>
  <c r="N3" i="13"/>
  <c r="N182" i="13"/>
  <c r="N80" i="13"/>
  <c r="N19" i="13"/>
  <c r="N396" i="13"/>
  <c r="N62" i="13"/>
  <c r="N75" i="13"/>
  <c r="N17" i="13"/>
  <c r="N9" i="13"/>
  <c r="N169" i="13"/>
  <c r="N43" i="13"/>
  <c r="N259" i="13"/>
  <c r="N460" i="13"/>
  <c r="N52" i="13"/>
  <c r="N217" i="13"/>
  <c r="N366" i="13"/>
  <c r="N386" i="13"/>
  <c r="N407" i="13"/>
  <c r="N172" i="13"/>
  <c r="N173" i="13"/>
  <c r="N334" i="13"/>
  <c r="N433" i="13"/>
  <c r="N285" i="13"/>
  <c r="N418" i="13"/>
  <c r="N367" i="13"/>
  <c r="N368" i="13"/>
  <c r="N212" i="13"/>
  <c r="N141" i="13"/>
  <c r="N280" i="13"/>
  <c r="N177" i="13"/>
  <c r="N112" i="13"/>
  <c r="N202" i="13"/>
  <c r="N381" i="13"/>
  <c r="N404" i="13"/>
  <c r="N314" i="13"/>
  <c r="N131" i="13"/>
  <c r="N55" i="13"/>
  <c r="N16" i="13"/>
  <c r="N360" i="13"/>
  <c r="N305" i="13"/>
  <c r="N51" i="13"/>
  <c r="N31" i="13"/>
  <c r="N115" i="13"/>
  <c r="N7" i="13"/>
  <c r="N413" i="13"/>
  <c r="N128" i="13"/>
  <c r="N434" i="13"/>
  <c r="N76" i="13"/>
  <c r="N111" i="13"/>
  <c r="N32" i="13"/>
  <c r="N402" i="13"/>
  <c r="N168" i="13"/>
  <c r="N59" i="13"/>
  <c r="N232" i="13"/>
  <c r="N337" i="13"/>
  <c r="N124" i="13"/>
  <c r="N178" i="13"/>
  <c r="N216" i="13"/>
  <c r="N303" i="13"/>
  <c r="N240" i="13"/>
  <c r="N136" i="13"/>
  <c r="N150" i="13"/>
  <c r="N447" i="13"/>
  <c r="N355" i="13"/>
  <c r="N426" i="13"/>
  <c r="N430" i="13"/>
  <c r="N373" i="13"/>
  <c r="N155" i="13"/>
  <c r="N345" i="13"/>
  <c r="N258" i="13"/>
  <c r="N412" i="13"/>
  <c r="N60" i="13"/>
  <c r="N249" i="13"/>
  <c r="N105" i="13"/>
  <c r="N100" i="13"/>
  <c r="N399" i="13"/>
  <c r="N158" i="13"/>
  <c r="N120" i="13"/>
  <c r="N325" i="13"/>
  <c r="N186" i="13"/>
  <c r="N95" i="13"/>
  <c r="N143" i="13"/>
  <c r="N39" i="13"/>
  <c r="N247" i="13"/>
  <c r="N44" i="13"/>
  <c r="N215" i="13"/>
  <c r="N191" i="13"/>
  <c r="N331" i="13"/>
  <c r="N135" i="13"/>
  <c r="N189" i="13"/>
  <c r="N304" i="13"/>
  <c r="N389" i="13"/>
  <c r="N424" i="13"/>
  <c r="N361" i="13"/>
  <c r="N372" i="13"/>
  <c r="N185" i="13"/>
  <c r="N458" i="13"/>
  <c r="N278" i="13"/>
  <c r="N281" i="13"/>
  <c r="N203" i="13"/>
  <c r="N243" i="13"/>
  <c r="N67" i="13"/>
  <c r="N123" i="13"/>
  <c r="N69" i="13"/>
  <c r="N98" i="13"/>
  <c r="N127" i="13"/>
  <c r="N414" i="13"/>
  <c r="N271" i="13"/>
  <c r="N228" i="13"/>
  <c r="N245" i="13"/>
  <c r="N176" i="13"/>
  <c r="N299" i="13"/>
  <c r="N152" i="13"/>
  <c r="N107" i="13"/>
  <c r="N82" i="13"/>
  <c r="N138" i="13"/>
  <c r="N315" i="13"/>
  <c r="N237" i="13"/>
  <c r="N262" i="13"/>
  <c r="N450" i="13"/>
  <c r="N197" i="13"/>
  <c r="N145" i="13"/>
  <c r="N252" i="13"/>
  <c r="N91" i="13"/>
  <c r="N92" i="13"/>
  <c r="N77" i="13"/>
  <c r="N213" i="13"/>
  <c r="N24" i="13"/>
  <c r="N110" i="13"/>
  <c r="N164" i="13"/>
  <c r="N26" i="13"/>
  <c r="N421" i="13"/>
  <c r="N378" i="13"/>
  <c r="N211" i="13"/>
  <c r="N154" i="13"/>
  <c r="N130" i="13"/>
  <c r="N251" i="13"/>
  <c r="N432" i="13"/>
  <c r="N410" i="13"/>
  <c r="N371" i="13"/>
  <c r="N342" i="13"/>
  <c r="N326" i="13"/>
  <c r="N93" i="13"/>
  <c r="N29" i="12"/>
  <c r="N7" i="12"/>
  <c r="N9" i="12"/>
  <c r="N10" i="12"/>
  <c r="N8" i="12"/>
  <c r="N19" i="12"/>
  <c r="N27" i="12"/>
  <c r="N3" i="12"/>
  <c r="N6" i="12"/>
  <c r="N4" i="12"/>
  <c r="N5" i="12"/>
  <c r="N20" i="12"/>
  <c r="N12" i="12"/>
  <c r="N23" i="12"/>
  <c r="N22" i="12"/>
  <c r="N17" i="12"/>
  <c r="N24" i="12"/>
  <c r="N15" i="12"/>
  <c r="N26" i="12"/>
  <c r="N11" i="12"/>
  <c r="N18" i="12"/>
  <c r="N25" i="12"/>
  <c r="N13" i="12"/>
  <c r="N16" i="12"/>
  <c r="N30" i="12"/>
  <c r="N31" i="12"/>
  <c r="N21" i="12"/>
  <c r="N28" i="12"/>
  <c r="N14" i="12"/>
  <c r="N46" i="11"/>
  <c r="N33" i="11"/>
  <c r="N14" i="11"/>
  <c r="N29" i="11"/>
  <c r="N45" i="11"/>
  <c r="N3" i="11"/>
  <c r="N53" i="11"/>
  <c r="N12" i="11"/>
  <c r="N23" i="11"/>
  <c r="N50" i="11"/>
  <c r="N9" i="11"/>
  <c r="N55" i="11"/>
  <c r="N24" i="11"/>
  <c r="N44" i="11"/>
  <c r="N10" i="11"/>
  <c r="N11" i="11"/>
  <c r="N25" i="11"/>
  <c r="N40" i="11"/>
  <c r="N13" i="11"/>
  <c r="N16" i="11"/>
  <c r="N26" i="11"/>
  <c r="N49" i="11"/>
  <c r="N8" i="11"/>
  <c r="N43" i="11"/>
  <c r="N42" i="11"/>
  <c r="N20" i="11"/>
  <c r="N30" i="11"/>
  <c r="N7" i="11"/>
  <c r="N19" i="11"/>
  <c r="N21" i="11"/>
  <c r="N36" i="11"/>
  <c r="N5" i="11"/>
  <c r="N41" i="11"/>
  <c r="N22" i="11"/>
  <c r="N52" i="11"/>
  <c r="N18" i="11"/>
  <c r="N28" i="11"/>
  <c r="N54" i="11"/>
  <c r="N6" i="11"/>
  <c r="N34" i="11"/>
  <c r="N51" i="11"/>
  <c r="N47" i="11"/>
  <c r="N31" i="11"/>
  <c r="N35" i="11"/>
  <c r="N48" i="11"/>
  <c r="N17" i="11"/>
  <c r="N32" i="11"/>
  <c r="N39" i="11"/>
  <c r="N38" i="11"/>
  <c r="N27" i="11"/>
  <c r="N37" i="11"/>
  <c r="N15" i="11"/>
  <c r="N5" i="9"/>
  <c r="N29" i="9"/>
  <c r="N12" i="9"/>
  <c r="N8" i="9"/>
  <c r="N49" i="9"/>
  <c r="N46" i="9"/>
  <c r="N15" i="9"/>
  <c r="N27" i="9"/>
  <c r="N30" i="9"/>
  <c r="N19" i="9"/>
  <c r="N4" i="9"/>
  <c r="N16" i="9"/>
  <c r="N39" i="9"/>
  <c r="N38" i="9"/>
  <c r="N13" i="9"/>
  <c r="N7" i="9"/>
  <c r="N36" i="9"/>
  <c r="N26" i="9"/>
  <c r="N20" i="9"/>
  <c r="N55" i="9"/>
  <c r="N40" i="9"/>
  <c r="N3" i="9"/>
  <c r="N28" i="9"/>
  <c r="N54" i="9"/>
  <c r="N37" i="9"/>
  <c r="N45" i="9"/>
  <c r="N23" i="9"/>
  <c r="N50" i="9"/>
  <c r="N25" i="9"/>
  <c r="N22" i="9"/>
  <c r="N47" i="9"/>
  <c r="N53" i="9"/>
  <c r="N35" i="9"/>
  <c r="N52" i="9"/>
  <c r="N21" i="9"/>
  <c r="N51" i="9"/>
  <c r="N34" i="9"/>
  <c r="N33" i="9"/>
  <c r="N42" i="9"/>
  <c r="N24" i="9"/>
  <c r="N41" i="9"/>
  <c r="N44" i="9"/>
  <c r="N6" i="9"/>
  <c r="N18" i="9"/>
  <c r="N32" i="9"/>
  <c r="N11" i="9"/>
  <c r="N43" i="9"/>
  <c r="N14" i="9"/>
  <c r="N10" i="9"/>
  <c r="N48" i="9"/>
  <c r="N31" i="9"/>
  <c r="N9" i="9"/>
  <c r="N17" i="9"/>
  <c r="N56" i="6"/>
  <c r="N47" i="6"/>
  <c r="N9" i="6"/>
  <c r="N99" i="6"/>
  <c r="N25" i="6"/>
  <c r="N85" i="6"/>
  <c r="N57" i="6"/>
  <c r="N23" i="6"/>
  <c r="N94" i="6"/>
  <c r="N79" i="6"/>
  <c r="N84" i="6"/>
  <c r="N78" i="6"/>
  <c r="N19" i="6"/>
  <c r="N6" i="6"/>
  <c r="N55" i="6"/>
  <c r="N83" i="6"/>
  <c r="N77" i="6"/>
  <c r="N44" i="6"/>
  <c r="N48" i="6"/>
  <c r="N46" i="6"/>
  <c r="N88" i="6"/>
  <c r="N54" i="6"/>
  <c r="N42" i="6"/>
  <c r="N18" i="6"/>
  <c r="N24" i="6"/>
  <c r="N53" i="6"/>
  <c r="N45" i="6"/>
  <c r="N60" i="6"/>
  <c r="N65" i="6"/>
  <c r="N41" i="6"/>
  <c r="N12" i="6"/>
  <c r="N30" i="6"/>
  <c r="N64" i="6"/>
  <c r="N50" i="6"/>
  <c r="N95" i="6"/>
  <c r="N63" i="6"/>
  <c r="N40" i="6"/>
  <c r="N4" i="6"/>
  <c r="N32" i="6"/>
  <c r="N5" i="6"/>
  <c r="N33" i="6"/>
  <c r="N81" i="6"/>
  <c r="N98" i="6"/>
  <c r="N39" i="6"/>
  <c r="N22" i="6"/>
  <c r="N21" i="6"/>
  <c r="N93" i="6"/>
  <c r="N92" i="6"/>
  <c r="N38" i="6"/>
  <c r="N26" i="6"/>
  <c r="N20" i="6"/>
  <c r="N8" i="6"/>
  <c r="N89" i="6"/>
  <c r="N91" i="6"/>
  <c r="N37" i="6"/>
  <c r="N14" i="6"/>
  <c r="N29" i="6"/>
  <c r="N68" i="6"/>
  <c r="N61" i="6"/>
  <c r="N36" i="6"/>
  <c r="N13" i="6"/>
  <c r="N7" i="6"/>
  <c r="N15" i="6"/>
  <c r="N43" i="6"/>
  <c r="N3" i="6"/>
  <c r="N10" i="6"/>
  <c r="N86" i="6"/>
  <c r="N80" i="6"/>
  <c r="N35" i="6"/>
  <c r="N59" i="6"/>
  <c r="N17" i="6"/>
  <c r="N11" i="6"/>
  <c r="N76" i="6"/>
  <c r="N74" i="6"/>
  <c r="N34" i="6"/>
  <c r="N58" i="6"/>
  <c r="N27" i="6"/>
  <c r="N16" i="6"/>
  <c r="N100" i="6"/>
  <c r="N62" i="6"/>
  <c r="N72" i="6"/>
  <c r="N70" i="6"/>
  <c r="N87" i="6"/>
  <c r="N28" i="6"/>
  <c r="N82" i="6"/>
  <c r="N75" i="6"/>
  <c r="N69" i="6"/>
  <c r="N51" i="6"/>
  <c r="N73" i="6"/>
  <c r="N49" i="6"/>
  <c r="N97" i="6"/>
  <c r="N66" i="6"/>
  <c r="N71" i="6"/>
  <c r="N52" i="6"/>
  <c r="N31" i="6"/>
  <c r="N90" i="6"/>
  <c r="N101" i="6"/>
  <c r="N67" i="6"/>
  <c r="N96" i="6"/>
  <c r="N21" i="4"/>
  <c r="N76" i="4"/>
  <c r="N18" i="4"/>
  <c r="N77" i="4"/>
  <c r="N47" i="20" l="1"/>
  <c r="N111" i="20"/>
  <c r="N150" i="20"/>
  <c r="N4" i="20"/>
  <c r="N104" i="20"/>
  <c r="N49" i="20"/>
  <c r="N164" i="20"/>
  <c r="N34" i="20"/>
  <c r="N178" i="20"/>
  <c r="N100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<sst xmlns="http://schemas.openxmlformats.org/spreadsheetml/2006/main" count="22328" uniqueCount="4249">
  <si>
    <t>Area</t>
  </si>
  <si>
    <t>Vendor</t>
  </si>
  <si>
    <t>Supplier/Distributer</t>
  </si>
  <si>
    <t>Category</t>
  </si>
  <si>
    <t>Item Code</t>
  </si>
  <si>
    <t>Description</t>
  </si>
  <si>
    <t>Description 2</t>
  </si>
  <si>
    <t>QTY Adjusted</t>
  </si>
  <si>
    <t>Unit</t>
  </si>
  <si>
    <t>Price</t>
  </si>
  <si>
    <t>Subtotal</t>
  </si>
  <si>
    <t>Currency</t>
  </si>
  <si>
    <t>Subtotal USD</t>
  </si>
  <si>
    <t>SR Bar &amp; Tequila Room</t>
  </si>
  <si>
    <t>Oaxifornia</t>
  </si>
  <si>
    <t>Direct</t>
  </si>
  <si>
    <t>FN073A</t>
  </si>
  <si>
    <t>Votive</t>
  </si>
  <si>
    <t>Candle Votive - matte with shiny - details 3.5” D x 4.7” H</t>
  </si>
  <si>
    <t>ea</t>
  </si>
  <si>
    <t>MXN</t>
  </si>
  <si>
    <t>Taller Ruiz Lopez</t>
  </si>
  <si>
    <t>MFN15</t>
  </si>
  <si>
    <t xml:space="preserve">Bud Vase </t>
  </si>
  <si>
    <t>Mini Florero negro 15 cm</t>
  </si>
  <si>
    <t>Lind DNA</t>
  </si>
  <si>
    <t>Placemat</t>
  </si>
  <si>
    <t>Dinner Mat Curve / Medium| Size: M 31x35cm. Leather Nupo Soft Brown</t>
  </si>
  <si>
    <t>EUR</t>
  </si>
  <si>
    <t>Blue Pheasant</t>
  </si>
  <si>
    <t>BP003762</t>
  </si>
  <si>
    <t>Napkin Ring</t>
  </si>
  <si>
    <t>ARIELLA, Antique Brass, Mermaid Napkin Ring, Set of 4 - Sold as a Boxed Set of 4: 2"D x 2"H</t>
  </si>
  <si>
    <t>USD</t>
  </si>
  <si>
    <t>Casa Rovea</t>
  </si>
  <si>
    <t>1-01-499 - 3131</t>
  </si>
  <si>
    <t>Napkin</t>
  </si>
  <si>
    <t>Bristol Napkin / 50x50 100% Cotton
499 BRISTOL
HEM: Two Hems &amp; Two Selvedges, 4 Hems, Mitred Corners,
Hemstitching, Bias Banding (for round tablecloth)
Tortoga Champagne Color</t>
  </si>
  <si>
    <t>Peugeot</t>
  </si>
  <si>
    <t>Salt Mill</t>
  </si>
  <si>
    <t>Bistro Nature - Manual Upcycled Wooden Salt Mill, Nature Finish , 10cm - 4 in.</t>
  </si>
  <si>
    <t>Pepper Mill</t>
  </si>
  <si>
    <t>Bistro Nature Black - Manual Upcycled Wooden Pepper Mill and its Fair-Trade Pepper, Black Finish, 10 cm - 4in</t>
  </si>
  <si>
    <t>Revol</t>
  </si>
  <si>
    <t>Proepta</t>
  </si>
  <si>
    <t>Bread Presentation</t>
  </si>
  <si>
    <t>YLI Collection Pod Bowl, 6-1/2"W x 4-3/4"D x 1-1/2"H, matt slate style, safe for oven, microwave, freezer &amp; dishwasher, Made in France, Designed by Ferreol Babin (US stock item)</t>
  </si>
  <si>
    <t>Abert</t>
  </si>
  <si>
    <t>B-CV74012</t>
  </si>
  <si>
    <t>Appetizer Fork</t>
  </si>
  <si>
    <t>(PROEPTA) - Infinito Copper - Stainless Steel - Dessert Fork</t>
  </si>
  <si>
    <t>B-C024053</t>
  </si>
  <si>
    <t>Butter Knife</t>
  </si>
  <si>
    <t>(PROEPTA) - Infinito Copper - Stainless Steel - Butter Knife</t>
  </si>
  <si>
    <t>B-CV74011</t>
  </si>
  <si>
    <t>Appetizer/Dessert Spoon</t>
  </si>
  <si>
    <t>(PROEPTA) - Infinito Copper - Stainless Steel - Dessert Spoon</t>
  </si>
  <si>
    <t>B-CV74021</t>
  </si>
  <si>
    <t>Coffee / Tea Spoon</t>
  </si>
  <si>
    <t>(PROEPTA) - Infinito Copper - Stainless Steel - Coffee Spoon</t>
  </si>
  <si>
    <t xml:space="preserve"> B-CV74022</t>
  </si>
  <si>
    <t>Demitasse Spoon</t>
  </si>
  <si>
    <t>(PROEPTA) - Infinito Copper - Stainless Steel - Demitasse Spoon</t>
  </si>
  <si>
    <t xml:space="preserve"> B-CV74001</t>
  </si>
  <si>
    <t>Dinner Spoon</t>
  </si>
  <si>
    <t>(PROEPTA) - Infinito Copper - Stainless Steel - Dinner Spoon</t>
  </si>
  <si>
    <t>B-CV74002</t>
  </si>
  <si>
    <t>Dinner Fork</t>
  </si>
  <si>
    <t>(PROEPTA) - Infinito Copper - Stainless Steel - Dinner Fork</t>
  </si>
  <si>
    <t>B-CV74005</t>
  </si>
  <si>
    <t>Dinner Knife</t>
  </si>
  <si>
    <t>(PROEPTA) - Infinito Copper - Stainless Steel - Dinner Knife</t>
  </si>
  <si>
    <t>PM19-MORO</t>
  </si>
  <si>
    <t>Sharing Plate 7.5"</t>
  </si>
  <si>
    <t>Moro Finish</t>
  </si>
  <si>
    <t>PM21.5-MORO</t>
  </si>
  <si>
    <t>Plate, China 8.5"</t>
  </si>
  <si>
    <t>PM25-MORO</t>
  </si>
  <si>
    <t>Plate, China 10"</t>
  </si>
  <si>
    <t>CBN21.5-MORO</t>
  </si>
  <si>
    <t>Coupe Bowl, China 8.5"</t>
  </si>
  <si>
    <t>BN15-MORO</t>
  </si>
  <si>
    <t>Bowl, China 6"</t>
  </si>
  <si>
    <t>RM10-MORO</t>
  </si>
  <si>
    <t>Ramekin, 4oz - 12 cm aprox</t>
  </si>
  <si>
    <t>PM19-NEGRO</t>
  </si>
  <si>
    <t>Black Finish</t>
  </si>
  <si>
    <t>PM21.5-NEGRO</t>
  </si>
  <si>
    <t>PM25-NEGRO</t>
  </si>
  <si>
    <t>CBN21.5-NEGRO</t>
  </si>
  <si>
    <t>BN15-NEGRO</t>
  </si>
  <si>
    <t>RM10-NEGRO</t>
  </si>
  <si>
    <t>American Metalcraft</t>
  </si>
  <si>
    <t>Equipo Hotel</t>
  </si>
  <si>
    <t>OWBB8</t>
  </si>
  <si>
    <t>Wood and Marble Board 1</t>
  </si>
  <si>
    <t>SERVING PEEL, OLIVE WOOD/MARBLE, BLACK, 8″ L / 6" L X 3-1/2" W X 1/2" H, 8" L WITH HANDLE</t>
  </si>
  <si>
    <t>OWBB9</t>
  </si>
  <si>
    <t>Wood and Marble Board 2</t>
  </si>
  <si>
    <t xml:space="preserve">
SERVING PEEL, OLIVE WOOD/ MARBLE, BLACK, 9″ L
</t>
  </si>
  <si>
    <t>La Tienda</t>
  </si>
  <si>
    <t>JH-02</t>
  </si>
  <si>
    <t>Jamon Iberico Stand</t>
  </si>
  <si>
    <t>Deluxe Solid Hardwood Ham Holder - 'Salamanca'
Handmade from African Sapele Hardwood</t>
  </si>
  <si>
    <t xml:space="preserve">Coffee Cup  </t>
  </si>
  <si>
    <t>(PE1128N-263) Bowl, 9-7/16 oz., 4-3/4" dia., ceramic, dark metal finish, Pekoe</t>
  </si>
  <si>
    <t>Expresso Cup</t>
  </si>
  <si>
    <t>(PE1208N-263) Cup, 2-3/4 oz., 2-1/4" dia. x 2-1/4"H, round, ceramic, dark metal finish, Pekoe (US stocked item)</t>
  </si>
  <si>
    <t>Coffe and Expresso Saucer</t>
  </si>
  <si>
    <t>(PE1414N-000) Saucer, 5-1/2" dia. x 1/2"H, round, ceramic, dark metal finish, Pekoe (US stocked item)</t>
  </si>
  <si>
    <t>Creamer</t>
  </si>
  <si>
    <t>(PE1510N-263) Creamer, 3-1/2 oz., 2-3/4" dia. 2-1/2"H, ceramic, dark metal finish, Pekoe (US stocked item)</t>
  </si>
  <si>
    <t>Sugar</t>
  </si>
  <si>
    <t>(PE1310CON-263) Ramekin, 3-1/2 oz., 3-1/2" dia. x 1-3/4"H, round, ceramic, dark metal finish, Pekoe (US stocked item)</t>
  </si>
  <si>
    <t>Sugar and Creamer Tray</t>
  </si>
  <si>
    <t>Bamboo plateau. 20.7 x 12.7 cm</t>
  </si>
  <si>
    <t>Water Jug</t>
  </si>
  <si>
    <t>YLI Collection Jug, 27 oz., 4" dia. x 7.5"H, matt slate style, safe for oven, microwave, freezer &amp; dishwasher, Made in France, Designed by Ferreol Babin (Ship from France)</t>
  </si>
  <si>
    <t>Tea Pot</t>
  </si>
  <si>
    <t>Teapot with infuser basket, 18-3/4 oz., 5" dia. x 4-3/4"H, with handle, ceramic, dark metal finish, Pekoe (US stocked item)</t>
  </si>
  <si>
    <t>Maxim World</t>
  </si>
  <si>
    <t>MWI332</t>
  </si>
  <si>
    <t>Bucket and Stand</t>
  </si>
  <si>
    <t>Black metal and tan faux leather - L 30cm x W 34cm x H 102cm</t>
  </si>
  <si>
    <t>Impulse</t>
  </si>
  <si>
    <t>Serving Tray</t>
  </si>
  <si>
    <t>Jaipur Tray Red - wood / resin - 17.25" L x 10.25" W - 1.5" H</t>
  </si>
  <si>
    <t>TPZT017</t>
  </si>
  <si>
    <t>Beverage Tray</t>
  </si>
  <si>
    <t>Charola de servicio (Guamuchil) - 39cm D x 3cm H</t>
  </si>
  <si>
    <t>Steelite</t>
  </si>
  <si>
    <t>P420164</t>
  </si>
  <si>
    <t>Water Glass</t>
  </si>
  <si>
    <t>Rocks, 9 1/2 oz., (H 3 1/2"; M 3 1/8"; T 3"; B 2 3/4"), soda lime, Pasabahce, Gaia (minimum = case quantity, 24 per case) (STOCK item)</t>
  </si>
  <si>
    <t>Stolzle</t>
  </si>
  <si>
    <t>Z7310003</t>
  </si>
  <si>
    <t>AP Wine Glass 14oz</t>
  </si>
  <si>
    <t>Wine Glass, 14.25 oz., 3.5"W x 9.75"H, crystalline, Stolzle, Symphony (minimum = case quantity, 24 per case) (STOCK item)</t>
  </si>
  <si>
    <t>Z7310000</t>
  </si>
  <si>
    <t>Specialty Wine Glass 25oz</t>
  </si>
  <si>
    <t>Burgundy Glass, 25 oz., 4-1/2" x 9-3/4", Symphony, Stolzle, Crystalline (minimum = case quantity, 24 per case) (Stock Item)</t>
  </si>
  <si>
    <t>Z7310029</t>
  </si>
  <si>
    <t>Champagne Glass</t>
  </si>
  <si>
    <t>Champagne / Flute Glass, 10.25 oz., 3.25"W x 10.25"H, crystalline, Stolzle, Symphony (minimum = case quantity, 24 per case) (STOCK item)</t>
  </si>
  <si>
    <t>Z3500015DS1620</t>
  </si>
  <si>
    <t>Rock Glass</t>
  </si>
  <si>
    <t>Whiskey Glass, 10-3/4 oz., 3-1/4" x 3-3/4", Soho, Stolzle, Crystalline (minimum = case quantity, 24 per case) (Stock Item)</t>
  </si>
  <si>
    <t>Z3500012DS1620</t>
  </si>
  <si>
    <t>Hi Ball Glass</t>
  </si>
  <si>
    <t>Long Drink Glass, 13-3/4 oz., 2-1/2" x 6-1/2", Soho, Stolzle, Crystalline (minimum = case quantity, 24 per case) (Stock Item)</t>
  </si>
  <si>
    <t>Z3460005</t>
  </si>
  <si>
    <t>Nick and Nora</t>
  </si>
  <si>
    <t>Nick &amp; Nora Glass, 6-1/2 oz., 3-1/2" x 6 3/8", Kyoto, Stolzle, Crystalline (minimum = case quantity, 24 per case) (Stock Item)</t>
  </si>
  <si>
    <t>P67286</t>
  </si>
  <si>
    <t>Cocktail</t>
  </si>
  <si>
    <t>Coupetini Glass, 6.0 oz., (H 6-1/2"; M 3-7/8"; T 3-7/8"; B 2-3/4") Crystalline, Clear, Pasabahce, Nude Savage (minimum = case quantity, 24 each per case) (stock item)</t>
  </si>
  <si>
    <t>Beer Glass</t>
  </si>
  <si>
    <t>Beer - (10 1/4 oz)</t>
  </si>
  <si>
    <t>P67296</t>
  </si>
  <si>
    <t xml:space="preserve">Coupe </t>
  </si>
  <si>
    <t>Coupe Glass, 7.5 oz., (H 6-7/8"; M 4-1/4"; T 4-1/4"; B 3-1/8") Crystalline, Clear, Pasabahce, Nude Savage (minimum = case quantity) (stock item)</t>
  </si>
  <si>
    <t>5683 GLASS</t>
  </si>
  <si>
    <t>Specialty Cocktail - Martini</t>
  </si>
  <si>
    <t>Malta Coupe Ruby - 5”D x 5”H - 6 oz</t>
  </si>
  <si>
    <t>FN015</t>
  </si>
  <si>
    <t>Tequila Glass 1</t>
  </si>
  <si>
    <t>Black Clay - Mezcalero Glass - 1.9” D x 1.9” H</t>
  </si>
  <si>
    <t>BFA-008B</t>
  </si>
  <si>
    <t>Tequila Glass 2</t>
  </si>
  <si>
    <t>Fuerte Clay - Mezcaleros 5cm D x 5.5cm H</t>
  </si>
  <si>
    <t>P64008</t>
  </si>
  <si>
    <t>Tequila Glass 3</t>
  </si>
  <si>
    <t>Shot 3.81 cm (1.5") 5.91 cl (2.0 oz)  in Finesse from Nude</t>
  </si>
  <si>
    <t>Tequila Glass 4</t>
  </si>
  <si>
    <t>Liquoer Mini Stem Glass 2 3/4oz</t>
  </si>
  <si>
    <t>BFA-005</t>
  </si>
  <si>
    <t>Mezcal Bowl 1</t>
  </si>
  <si>
    <t>Bowl San Cristóbal  6cm D x 3cm H</t>
  </si>
  <si>
    <t>TBD</t>
  </si>
  <si>
    <t xml:space="preserve">Mezcalita </t>
  </si>
  <si>
    <t>Rustic Mexican Clay Jarrito 14 oz</t>
  </si>
  <si>
    <t>Bormioli Rocco</t>
  </si>
  <si>
    <t>4908Q104</t>
  </si>
  <si>
    <t>Julep Cup</t>
  </si>
  <si>
    <t>Julep 8.89 cm (3.5") 36.23 cl (12.25 oz)  in Bartender from Bormioli Rocco</t>
  </si>
  <si>
    <t>Cocktail Kingdom</t>
  </si>
  <si>
    <t>GLA-MUL12C</t>
  </si>
  <si>
    <t>Moscow Mule</t>
  </si>
  <si>
    <t>MOSCOW MULE MUG - COPPER / UNENGRAVED / 12oz (360ml)</t>
  </si>
  <si>
    <t>Fox Run</t>
  </si>
  <si>
    <t>Wine Coaster</t>
  </si>
  <si>
    <t>Fox Run 48757 5" x 1 3/4" Black Marble Wine Coaster</t>
  </si>
  <si>
    <t>MWSD454-2</t>
  </si>
  <si>
    <t>Snack Set</t>
  </si>
  <si>
    <t>Snack dishes Vintage copper and natural oak wood L 34cm x W 10cm x H 15.5cm</t>
  </si>
  <si>
    <t>Custom</t>
  </si>
  <si>
    <t>Snack Set Spare Bowl</t>
  </si>
  <si>
    <t>MWSD454-2 Vintage Copper Spare Bowls from set. ONLY BOWLS</t>
  </si>
  <si>
    <t>Bisetti</t>
  </si>
  <si>
    <t>Mepsa</t>
  </si>
  <si>
    <t>BIS07.001866</t>
  </si>
  <si>
    <t>Cocktail Smoker</t>
  </si>
  <si>
    <t>Bisetti Whisky Smoker With Stainless Steel Filter In Wenge Beech Wood</t>
  </si>
  <si>
    <t>No disponible</t>
  </si>
  <si>
    <t>Verve Culture</t>
  </si>
  <si>
    <t>-</t>
  </si>
  <si>
    <t>Lemon Press</t>
  </si>
  <si>
    <t>Artisan Citrus Juicer - Small, With handle up/juicer open: Dimensions: 11" L x 5" W x 18" H</t>
  </si>
  <si>
    <t>Serax</t>
  </si>
  <si>
    <t>B2323005-700</t>
  </si>
  <si>
    <t>Bar Fruit Display. Size 1</t>
  </si>
  <si>
    <t>Raised bowl brown Dune
collection Dune accessories
by Kelly Wearstler. L 30.5 W 30.5 H 19 CM</t>
  </si>
  <si>
    <t>B2323001-700</t>
  </si>
  <si>
    <t>Bar Fruit Display. Size 2</t>
  </si>
  <si>
    <t>Tray S brown Dune collection Dune kitchen &amp; table accessories by Kelly Wearstler L 41 W 41 H 9 CM</t>
  </si>
  <si>
    <t>Nude</t>
  </si>
  <si>
    <t>P68308</t>
  </si>
  <si>
    <t>Individual Glass Ice Bucket</t>
  </si>
  <si>
    <t>Hemingway Ice Bucket (1 3/4 qt) H 6" M 7 1/4"</t>
  </si>
  <si>
    <t>Broggi</t>
  </si>
  <si>
    <t>903 05 81 001</t>
  </si>
  <si>
    <t>Ice Tongs for Bucket</t>
  </si>
  <si>
    <t>Ice tongs CM 12,6 4 ,7/8</t>
  </si>
  <si>
    <t>Mepra</t>
  </si>
  <si>
    <t>545 Custom</t>
  </si>
  <si>
    <t>Mini Cocktail Shaker</t>
  </si>
  <si>
    <t>8 oz Cocktail Shacker in Bronze Copper Finish</t>
  </si>
  <si>
    <t>SR Bar &amp; Tequila Room | FOH Bar</t>
  </si>
  <si>
    <t>Cardinal</t>
  </si>
  <si>
    <t>FP332</t>
  </si>
  <si>
    <t>Mixing Glass</t>
  </si>
  <si>
    <t>Arcoroc, Broadway Mixing Beaker 24.0 Oz (H:6.0'' T:4.38'' M:4.38'' B:3.63''), ['Soda Lime Glass'], (6 PC In A Case), Minimum Purchasing Unit CS
Dimensions 6(h) x 4.37(w) x 4.37(d)</t>
  </si>
  <si>
    <t>Fortessa</t>
  </si>
  <si>
    <t>Hotel Depot</t>
  </si>
  <si>
    <t>2.5.003.00.277</t>
  </si>
  <si>
    <t>Bar Ice Tongs</t>
  </si>
  <si>
    <t>Ice/Sugar Tong 6” (15cm)</t>
  </si>
  <si>
    <t>Cal-Mil</t>
  </si>
  <si>
    <t>22440-3-112</t>
  </si>
  <si>
    <t>Condiment Caddy</t>
  </si>
  <si>
    <t>Heritage 3 Jar Display, 12.75" W x 4.25" D x 4" H, includes 3 jars</t>
  </si>
  <si>
    <t>20045622 Custom Finish</t>
  </si>
  <si>
    <t>Napkin Holder</t>
  </si>
  <si>
    <t>Square napkin holder CM.22x22 STILE - Custom Finish Copper Bronze</t>
  </si>
  <si>
    <t>3308-13</t>
  </si>
  <si>
    <t>Straw Holder</t>
  </si>
  <si>
    <t>Classic Stir Stick Holder</t>
  </si>
  <si>
    <t>RBB02</t>
  </si>
  <si>
    <t>Silicone Bands</t>
  </si>
  <si>
    <t>Band, 1/2"D, silicone, blue, Arcoroc, Mix (fits OL166, OL167) (stock item)</t>
  </si>
  <si>
    <t>RBP01</t>
  </si>
  <si>
    <t>Band, 1/2"D, silicone, pink, Arcoroc, Mix (fits OL166, OL167) (stock item)</t>
  </si>
  <si>
    <t>RBY03</t>
  </si>
  <si>
    <t>Band, 1/2"D, silicone, yellow, Arcoroc, Mix (fits OL166, OL167) (stock item)</t>
  </si>
  <si>
    <t>RBDG3</t>
  </si>
  <si>
    <t>Band, 1/2"D, silicone, green, Arcoroc, Mix (fits OL166, OL167) (stock item)</t>
  </si>
  <si>
    <t>RBO05</t>
  </si>
  <si>
    <t>Band, 1/2"D, silicone, orange, Arcoroc, Mix (fits OL166, OL167) (stock item)</t>
  </si>
  <si>
    <t>RBW06</t>
  </si>
  <si>
    <t>Band, 1/2"D, silicone, white, Arcoroc, Mix (fits OL166, OL167) (stock item)</t>
  </si>
  <si>
    <t>RBR09</t>
  </si>
  <si>
    <t>Band, 1/2"D, silicone, red, Arcoroc, Mix (fits OL166, OL167) (stock item)</t>
  </si>
  <si>
    <t>RBB06</t>
  </si>
  <si>
    <t>Band, 1/2"D, silicone, black, Arcoroc, Mix (fits OL166, OL167) (stock item)</t>
  </si>
  <si>
    <t>RBBR7</t>
  </si>
  <si>
    <t>Band, 1/2"D, silicone, brown, Arcoroc, Mix (fits OL166, OL167) (stock item)</t>
  </si>
  <si>
    <t>Luigi Bormioli</t>
  </si>
  <si>
    <t>12273/02</t>
  </si>
  <si>
    <t>Bitter / Dash Bottle</t>
  </si>
  <si>
    <t>10 cl - 3 ½ oz h 14.2 cm - 5 5⁄8” Max Ø 5.2 cm - 2”</t>
  </si>
  <si>
    <t>12272/02</t>
  </si>
  <si>
    <t xml:space="preserve">10 cl - 3 ½ oz h 13.5 cm - 5 3 ⁄8” Max Ø 5.7 cm - 2 ¼” </t>
  </si>
  <si>
    <t>Spill-Stop</t>
  </si>
  <si>
    <t>301-02</t>
  </si>
  <si>
    <t>Drink Bar Mix Pourer Lid</t>
  </si>
  <si>
    <t>Dust Cap, 1/2" L, for pour spouts (285-50 &amp; 282-50), Made in USA (one gross per poly bag, one gross per carton = 144 each, minimum order one gross)</t>
  </si>
  <si>
    <t>MT051</t>
  </si>
  <si>
    <t>Jigger</t>
  </si>
  <si>
    <t>Arcoroc, Mix Jigger Black Matte 2.0 Oz (L:1.771'' X W:1.732''), ['18/10 Stainless Steel'], (1 PC In A Case), Minimum Purchasing Unit CS</t>
  </si>
  <si>
    <t>MT849</t>
  </si>
  <si>
    <t>Cocktail Shaker 28 oz</t>
  </si>
  <si>
    <t>Arcoroc, Mix Shaker Black Matte 28.0 Oz (L:3.622'' X W:3.622''), ['18/10 Stainless Steel'], (1 PC In A Case), Minimum Purchasing Unit CS</t>
  </si>
  <si>
    <t>MT850</t>
  </si>
  <si>
    <t>Cocktail Shaker 20oz</t>
  </si>
  <si>
    <t>Arcoroc, Mix Shaker Black Matte 20.0 Oz (L:3.346'' X W:3.346''), ['18/10 Stainless Steel'], (1 PC In A Case), Minimum Purchasing Unit CS</t>
  </si>
  <si>
    <t>HS002</t>
  </si>
  <si>
    <t>Bar Strainer</t>
  </si>
  <si>
    <t>Arcoroc, Mix Hawthorne Strainer Black Matte (L:5.905'' X W:3.858''), ['18/10 Stainless Steel'], (1 PC In A Case), Minimum Purchasing Unit CS</t>
  </si>
  <si>
    <t>MT002</t>
  </si>
  <si>
    <t>Julep Strainer</t>
  </si>
  <si>
    <t>Arcoroc, Mix Julep Strainer Black Matte (L:7.007'' X W:3.031''), ['18/10 Stainless Steel'], (1 PC In A Case), Minimum Purchasing Unit CS</t>
  </si>
  <si>
    <t>MT004</t>
  </si>
  <si>
    <t>Mesh Strainer</t>
  </si>
  <si>
    <t>Arcoroc, Mix Mesh Strainer Black Matte (L:3.149'' X W:2.677''), ['18/10 Stainless Steel'], (1 PC In A Case), Minimum Purchasing Unit CS</t>
  </si>
  <si>
    <t>MT011</t>
  </si>
  <si>
    <t>Bar Spoon</t>
  </si>
  <si>
    <t>Arcoroc, Mix Dual Sided Bar Teadrop Spoon, Black Matte (L:15.748'' X W:0.59''), ['18/10 Stainless Steel'], (1 PC In A Case), Minimum Purchasing Unit CS</t>
  </si>
  <si>
    <t>CAP09</t>
  </si>
  <si>
    <t>Muddler</t>
  </si>
  <si>
    <t>Muddler, 9-5/8", stainless steel, Arcoroc, Mix</t>
  </si>
  <si>
    <t>CAP01</t>
  </si>
  <si>
    <t>Tongs, Tweezer</t>
  </si>
  <si>
    <t>Tweezers, 6-1/4", stainless steel, Arcoroc, Mix</t>
  </si>
  <si>
    <t>OXO Y PEELER</t>
  </si>
  <si>
    <t>Vegetable Peeler, Manual</t>
  </si>
  <si>
    <t>OXO Good Grips Y Peeler, one size, multi</t>
  </si>
  <si>
    <t>285-50</t>
  </si>
  <si>
    <t>Liquor Pourer</t>
  </si>
  <si>
    <t>Spill-Stop® Tapered Pourer, seamless spout, with poly-kork, controlled medium speed, chrome, Made in USA (packed one dozen per poly bag, one gross per carton = 144 each, minimum order 1 gross)</t>
  </si>
  <si>
    <t>Matfer</t>
  </si>
  <si>
    <t>Mixed</t>
  </si>
  <si>
    <t>186700</t>
  </si>
  <si>
    <t>Mandoline</t>
  </si>
  <si>
    <t>Benriner "Little Beni" Mandoline Slicer, 12-1/2"L x 3-1/2"W, includes (3) blades and safety pusher, stainless steel blades, polypropylene, made in Japan</t>
  </si>
  <si>
    <t>TableCraft Products</t>
  </si>
  <si>
    <t>JP9730</t>
  </si>
  <si>
    <t>Juicer, Lever / Crank Type</t>
  </si>
  <si>
    <t>Cash &amp; Carry Big Squeeze™ Juice Press, 11-1/2" x 7" x 17", manual, accommodates 5-3/4" glass, 3-pinion design, hand wash only, 18/8 stainless steel cone, cast iron construction, black coated finish, NSF (1 each minimum order)</t>
  </si>
  <si>
    <t>396</t>
  </si>
  <si>
    <t>Bottle Opener</t>
  </si>
  <si>
    <t>Pocket Bottle Opener, 7" flat, dishwasher safe, stainless steel (1 each minimum order)</t>
  </si>
  <si>
    <t>Mercer</t>
  </si>
  <si>
    <t>M15500</t>
  </si>
  <si>
    <t>Channel Knife</t>
  </si>
  <si>
    <t>Mercer Cutlery Channel Knife, stain-resistant steel, molded slip-resistant polypropylene handle</t>
  </si>
  <si>
    <t>John Boos</t>
  </si>
  <si>
    <t>RA03</t>
  </si>
  <si>
    <t>Cutting Board</t>
  </si>
  <si>
    <t>Cutting Board, 24"W x 18"D x 2-1/4" thick, edge grain construction, Northern Hard Rock Maple, with Oil Finish, hand grips on each end, reversible</t>
  </si>
  <si>
    <t>Winco</t>
  </si>
  <si>
    <t>PF-32</t>
  </si>
  <si>
    <t>Funnel</t>
  </si>
  <si>
    <t>Funnel, 32 oz., 6-1/4" dia., round, plastic, white (Qty Break = 6 each)</t>
  </si>
  <si>
    <t>1851-4</t>
  </si>
  <si>
    <t>Storage Jar / Ingredient Canister, Glass</t>
  </si>
  <si>
    <t>Mixology Jar, 16 oz. capacity, 4-1/4" dia. x 4"H, double walled insulated base, stainless steel solid lid with silicone lining, glass, clear (cold pucks sold separately)</t>
  </si>
  <si>
    <t>1851-4PUCK</t>
  </si>
  <si>
    <t>Ice Pack</t>
  </si>
  <si>
    <t>Cooling Puck, black (for 1851-4 jar)</t>
  </si>
  <si>
    <t>1851-5</t>
  </si>
  <si>
    <t>Mixology Jar, 32 oz. capacity, 5-1/4" dia., x 4-1/2"H, double walled insulated base, stainless steel solid lid with silicone lining, glass, clear (cold pucks sold separately)</t>
  </si>
  <si>
    <t>1851-5PUCK</t>
  </si>
  <si>
    <t xml:space="preserve">Cooling Puck, black (for 1851-5 jar) </t>
  </si>
  <si>
    <t>M37023</t>
  </si>
  <si>
    <t>Citrus Squeezer</t>
  </si>
  <si>
    <t>Barfly Juicer, 8-7/8", with stainless steel pin, cast aluminum</t>
  </si>
  <si>
    <t>BM-1812K</t>
  </si>
  <si>
    <t>Bar Mat</t>
  </si>
  <si>
    <t>Service Mat, 18" x 12", rubber, black, NSF (Qty Break = 12 each)</t>
  </si>
  <si>
    <t>CAP07</t>
  </si>
  <si>
    <t>Bar Knife</t>
  </si>
  <si>
    <t>Ellis Bar Knife, 9" overall, 4-1/2" blade, stainless steel blade, POM handle, Arcoroc, Mix</t>
  </si>
  <si>
    <t>SS-821</t>
  </si>
  <si>
    <t>Sharpening Stone</t>
  </si>
  <si>
    <t>Sharpening Stone, 8" x 2" x 1"H, rectangular, fine/medium grain, carbonized silicone (Qty Break = 12 each)</t>
  </si>
  <si>
    <t>160-02</t>
  </si>
  <si>
    <t>Bar Mat, 24"L x 3-1/4"W x 1/2"H, non-slip, rubber, black</t>
  </si>
  <si>
    <t>Cambro</t>
  </si>
  <si>
    <t>100MCCW135</t>
  </si>
  <si>
    <t>Measuring Cup</t>
  </si>
  <si>
    <t>Camwear® Measuring Cup, 1 qt., molded handle, dishwasher safe, polycarbonate, clear, NSF</t>
  </si>
  <si>
    <t>San Jamar</t>
  </si>
  <si>
    <t>Sandolat</t>
  </si>
  <si>
    <t>SI6000</t>
  </si>
  <si>
    <t>Ice Tote</t>
  </si>
  <si>
    <t>Saf-T-Ice® Tote, 6 gallon, polycarbonate, rubber handle, with tri-grip feature, includes Saf-T-Ice® HACCP hanger for elevation to waist level, NSF</t>
  </si>
  <si>
    <t>AS-12</t>
  </si>
  <si>
    <t>Scoop</t>
  </si>
  <si>
    <t>Scoop, 12 oz., aluminum (hand wash only) (Qty Break = 12 each)</t>
  </si>
  <si>
    <t>VM5280BK-12</t>
  </si>
  <si>
    <t>Versa-Mat® Bar Mat Tile/Shelf Liner, 12" x 12", interlocking, easy to cut, raised surface for airflow, dishwasher safe, rubber, black, NSF</t>
  </si>
  <si>
    <t>Franmara</t>
  </si>
  <si>
    <t>7770-C</t>
  </si>
  <si>
    <t>Bottle Stopper</t>
  </si>
  <si>
    <t>VacuVin® Vacuum Wine Preservation, includes: (1) 5" x 2-7/8" white pump, (1) 1-3/4" long gray stopper (carded)</t>
  </si>
  <si>
    <t>7771-C</t>
  </si>
  <si>
    <t>VacuVin® Vacuum Wine Stopper, 1-3/4" long, ABS plastic, gray (2 each per pack) (carded)</t>
  </si>
  <si>
    <t>CHBST112</t>
  </si>
  <si>
    <t>Champagne Bottle "Popper-Stopper", stainless steel</t>
  </si>
  <si>
    <t>E5604</t>
  </si>
  <si>
    <t>Lemon Lime Zester</t>
  </si>
  <si>
    <t>Cash &amp; Carry FirmGrip® Zester/Lemon Peeler, 5-3/4" x 1-1/8" x 7/8", dishwasher safe, ergonomic soft grip handle, stainless steel, black (individually carded) (1 each minimum order)</t>
  </si>
  <si>
    <t>GR-3</t>
  </si>
  <si>
    <t>Salt Rimmer</t>
  </si>
  <si>
    <t xml:space="preserve">Glass Rimmer / Margarita Salter with 3 Compartments </t>
  </si>
  <si>
    <t>WCS871</t>
  </si>
  <si>
    <t>Wine Key</t>
  </si>
  <si>
    <t>Waiters Corkscrew - 4-1/2″ L x 7/8″ W x 7/8" - Stainless Steel</t>
  </si>
  <si>
    <t>SpeakEasy</t>
  </si>
  <si>
    <t>Maison Margaux</t>
  </si>
  <si>
    <t xml:space="preserve">Glass with vibrant amber tones and a swirl design. Perfect for water and cocktails. creates a striking accent </t>
  </si>
  <si>
    <t>7.5 cm x 10 cm</t>
  </si>
  <si>
    <t xml:space="preserve">Versatile glass with a bold brass sleeve. Ideal for serving water or tequila; creates a striking accent </t>
  </si>
  <si>
    <t>L 7 W 7 H 7 CM
20.00 CL</t>
  </si>
  <si>
    <t>Carafe with a brass sleeve creates a striking accent and to complement the matching glass</t>
  </si>
  <si>
    <t>L 9 W 9 H 17 CM
93.40 CL</t>
  </si>
  <si>
    <t xml:space="preserve">A bottle-shaped water carafe; </t>
  </si>
  <si>
    <t>900ml / 29cm</t>
  </si>
  <si>
    <t>Spiral Tasting Coupe</t>
  </si>
  <si>
    <t xml:space="preserve">70ml / 2½oz / 103mm
</t>
  </si>
  <si>
    <t>Tumbler OF Deep Spiral</t>
  </si>
  <si>
    <t>320ml / 11oz / 105mm</t>
  </si>
  <si>
    <t>Tumbler HB Deep Spiral</t>
  </si>
  <si>
    <t>420ml / 15oz / 170mm</t>
  </si>
  <si>
    <t>Coupe Deep Spiral</t>
  </si>
  <si>
    <t>130ml / 4½oz / 175mm</t>
  </si>
  <si>
    <t>Spiral Individual Ice Bucket</t>
  </si>
  <si>
    <t>450ml / 16oz / 122mm</t>
  </si>
  <si>
    <t>Nick &amp; Nora</t>
  </si>
  <si>
    <t>100ml / 4oz / 120mm</t>
  </si>
  <si>
    <t>Brandy Glass</t>
  </si>
  <si>
    <t>710ml / 25oz / 155mm</t>
  </si>
  <si>
    <t>Martini Glass</t>
  </si>
  <si>
    <t>200ml / 7oz / 185mm</t>
  </si>
  <si>
    <t>Coupe Cocktail</t>
  </si>
  <si>
    <t>150ml / 5oz / 152mm</t>
  </si>
  <si>
    <t>Shot Glass</t>
  </si>
  <si>
    <t>50ml / 2oz / 60mm</t>
  </si>
  <si>
    <t>Tumbler SOF</t>
  </si>
  <si>
    <t>230ml / 8oz / 90mm</t>
  </si>
  <si>
    <t>Tumbler HB</t>
  </si>
  <si>
    <t>300ml / 11oz / 160mm</t>
  </si>
  <si>
    <t>Margarita Manhattan</t>
  </si>
  <si>
    <t>170ml / 6oz / 145mm</t>
  </si>
  <si>
    <t>blown glass Tequila Glasses</t>
  </si>
  <si>
    <t xml:space="preserve">1.75 inches wide, stands 2 inches tall and holds around 1.5-2 ounces </t>
  </si>
  <si>
    <t>Copitas</t>
  </si>
  <si>
    <t>1.5 ounces and measures approximately 1.75” inch tall with a diameter of 1.5</t>
  </si>
  <si>
    <t>Wine Carafe Corinne</t>
  </si>
  <si>
    <t>9¾" / 24.5cm - 2.5 Pints / 1.5L</t>
  </si>
  <si>
    <t xml:space="preserve">Set of coasters in rich Rosso marble finish adding natural elegance </t>
  </si>
  <si>
    <t>H1.2 x D10 x W10</t>
  </si>
  <si>
    <t>Rechargeable LED lamp featuring a polished burgundy marble base and an opal glass shade, creating a striking accent</t>
  </si>
  <si>
    <t>Height: 21 cm
Diameter: 17 cm</t>
  </si>
  <si>
    <t xml:space="preserve"> linen/cotton blend cocktail napkins with inset burnt orange piping, </t>
  </si>
  <si>
    <t xml:space="preserve">Elegant salt and pepper mills in 18/8 polished stainless steel with a durable ceramic mechanism and a gold finish. </t>
  </si>
  <si>
    <t>Height: 8 cm 
Diameter: 6 cm</t>
  </si>
  <si>
    <t xml:space="preserve">Striking red ceramic Lola vase handmade by Mexican artisans, ideal for dramatic floral displays. </t>
  </si>
  <si>
    <t>33.5 cm w
33.5 cm h</t>
  </si>
  <si>
    <t xml:space="preserve">A striking bonbon bowl in vibrant amber tones, featuring a dynamic swirl pattern. Perfect as a decorative accent </t>
  </si>
  <si>
    <t>17cm</t>
  </si>
  <si>
    <t>A minimalist Danish-design napkin holder crafted from black steel and  leather, with a wooden sphere to secure napkins in place</t>
  </si>
  <si>
    <t>18x19cm</t>
  </si>
  <si>
    <t>Side fork Moon Matte Gold</t>
  </si>
  <si>
    <t>Table fork Moon Matte Gold</t>
  </si>
  <si>
    <t>Table Knife Moon Matte Gold</t>
  </si>
  <si>
    <t>Side Knife Moon Matte Gold</t>
  </si>
  <si>
    <t>Espresso Spoon Moon Matte Gold</t>
  </si>
  <si>
    <t>Dessert spoon Moon Matte Gold</t>
  </si>
  <si>
    <t>English tea spoon Moon Matte Gold</t>
  </si>
  <si>
    <t>Elegant ceramic espresso cup and matching saucer in a black glaze with a feature handle.</t>
  </si>
  <si>
    <t>70ml/Diameter 5.5cm X H 5.5cm</t>
  </si>
  <si>
    <t>Ceramic cup with matching saucer in black glaze with a finely crackled finish. Suitable for both tea and coffee service.</t>
  </si>
  <si>
    <t>9 x 9 cm / H 5,5 cm / 20cl</t>
  </si>
  <si>
    <t>Ceramic sugar bowl featuring a subtle black glaze with a finely crackled finish.</t>
  </si>
  <si>
    <t>8 x 8 cm / H 5,5 cm</t>
  </si>
  <si>
    <t>Matching ceramic creamer featuring a subtle black glaze with a finely crackled finish.</t>
  </si>
  <si>
    <t>4,5 cm / H 7,5 cm
12 cl</t>
  </si>
  <si>
    <t>Small Domus-style French press with a hand-woven wicker handle.</t>
  </si>
  <si>
    <t>300ml</t>
  </si>
  <si>
    <t>Modern teapot crafted from heat-resistant glass and stainless steel. Includes a built-in strainer for loose-leaf tea brewing.</t>
  </si>
  <si>
    <t xml:space="preserve">460ml </t>
  </si>
  <si>
    <t xml:space="preserve">A refined round condiment server crafted from brushed steel with elegant brass accents. </t>
  </si>
  <si>
    <t>7.5'' W X 7.5'' L X 4'' H</t>
  </si>
  <si>
    <t xml:space="preserve">A ceramic dinner plate inspired by the Wabi aesthetic, finished in a deep black glaze for a bold, minimalist acent </t>
  </si>
  <si>
    <t>15 cm / H 2 cm</t>
  </si>
  <si>
    <t>Elevated bowl with a refined footed base, finished in a rich Venetian red glaze. Perfect for adding a vibrant splash of colour</t>
  </si>
  <si>
    <t>L 13 W 13 H 9.5 CM</t>
  </si>
  <si>
    <t xml:space="preserve">Small ceramic bowl with a rounded shape and a bright cerise glaze adding a lively touch 
</t>
  </si>
  <si>
    <t>⌀ 9 cm / H 6 cm
18 cl</t>
  </si>
  <si>
    <t xml:space="preserve">Medium ceramic bowl with a rounded shape and a bright cerise glaze adding a lively touch 
</t>
  </si>
  <si>
    <t>12cm</t>
  </si>
  <si>
    <t xml:space="preserve">black ceramic ramekin handmade in Mexico by local artisans, perfect for condiments, or small bites </t>
  </si>
  <si>
    <t>7cm</t>
  </si>
  <si>
    <t>Sleek ceramic rectangular platter with, finished in a deep speckled black Céleste glaze.</t>
  </si>
  <si>
    <t>23 x 14,5 cm / H 2 cm</t>
  </si>
  <si>
    <t xml:space="preserve">Elegant tray with an Art Deco feel, handcrafted in South America. Made from contrasting woods , each piece is a unique expression of skilled craftsmanship.
</t>
  </si>
  <si>
    <t>54 x w:36 x h:5 cm</t>
  </si>
  <si>
    <t xml:space="preserve">Refined small caviar set with a silver-plated finish. </t>
  </si>
  <si>
    <t>14 cm</t>
  </si>
  <si>
    <t>Trombone Champagne Bucket, Stainless Steel</t>
  </si>
  <si>
    <t>Height: 25 cm
Diameter: 20 cm</t>
  </si>
  <si>
    <t>Champagne Bucket Stand</t>
  </si>
  <si>
    <t>Gold Cocktail Shaker</t>
  </si>
  <si>
    <t>450 ml / 22cm</t>
  </si>
  <si>
    <t xml:space="preserve">Mixing Glass
</t>
  </si>
  <si>
    <t xml:space="preserve">14.5cm / 500ml </t>
  </si>
  <si>
    <t xml:space="preserve">Lobby  Lounge </t>
  </si>
  <si>
    <t>Zafferano</t>
  </si>
  <si>
    <t>LD1000E3</t>
  </si>
  <si>
    <t>Table Lamp</t>
  </si>
  <si>
    <t>Theta Pro Rose Gold · Table Lamp. Measures 11.8 x 4.3 inches - 30 x 11 cm. Tunable knob adjusts brightness and color temperature (2.2W LED - 214-224lm - 2200-3000K / 100-240V - 50-60Hz - CRI&gt;80). 9+ hours of cordless illumination, led light with prismatic polycarbonate diffuser. Induction charging base and plug included, 1-year warranty.</t>
  </si>
  <si>
    <t xml:space="preserve">Rosenthal </t>
  </si>
  <si>
    <t>Rosenthal Sambonet Paderno</t>
  </si>
  <si>
    <t>69132-321498-47022</t>
  </si>
  <si>
    <t>Flower Vase</t>
  </si>
  <si>
    <t>Triu Gold - Vase, 8 2/3 inch - Material: Borosilicate Glass - Decor: Copper</t>
  </si>
  <si>
    <t>527 - 1402</t>
  </si>
  <si>
    <t>Jackie - Color: ECRU - 50% Cotton – 35% Linen – 15% Polyester
527 JACKIE - 56x56 cm</t>
  </si>
  <si>
    <t>Lobby  Lounge</t>
  </si>
  <si>
    <t>B-CV74015</t>
  </si>
  <si>
    <t>Appetizer Knife</t>
  </si>
  <si>
    <t>Hacha</t>
  </si>
  <si>
    <t>HCR8-ORI</t>
  </si>
  <si>
    <t>Cremera - 8oz - Orizaba</t>
  </si>
  <si>
    <t>HAZC-ORI</t>
  </si>
  <si>
    <t>Sugar Bowl - Ramekin Diameter: 7 cm -Orizaba</t>
  </si>
  <si>
    <t>HTZ2-ORI</t>
  </si>
  <si>
    <t>Espresso Cup</t>
  </si>
  <si>
    <t>Taza Espresso - 2-3oz - Orizaba</t>
  </si>
  <si>
    <t>HPTZ10-ORI</t>
  </si>
  <si>
    <t>Espresso Saucer</t>
  </si>
  <si>
    <t>Plato Mini - Diameter: 10cm - 3" - Color: Orizaba</t>
  </si>
  <si>
    <t>HTZ8-ORI</t>
  </si>
  <si>
    <t>Coffee Cup</t>
  </si>
  <si>
    <t>Taza - 8oz - Orizaba</t>
  </si>
  <si>
    <t>HPTZ13-ORI</t>
  </si>
  <si>
    <t>Coffee Saucer</t>
  </si>
  <si>
    <t>Plato Taza - Diameter: 13cm - 5" - Color: Orizaba</t>
  </si>
  <si>
    <t>Calaisio</t>
  </si>
  <si>
    <t>TR28-S18</t>
  </si>
  <si>
    <t xml:space="preserve">Decorative Square Tray with Handles – Large 18”L X 18"W X 2”H
</t>
  </si>
  <si>
    <t>WCH2-GL</t>
  </si>
  <si>
    <t>Bucket</t>
  </si>
  <si>
    <t>Wine and Champagne - Holder With Galvanized Bucket - 11” Diameter x 10”H</t>
  </si>
  <si>
    <t xml:space="preserve">Steelite </t>
  </si>
  <si>
    <t>5977RW003</t>
  </si>
  <si>
    <t>Stand for Calasio bucket</t>
  </si>
  <si>
    <t>Wine/Champagne Bucket Stand D 11" H 25 1/4"</t>
  </si>
  <si>
    <t>YLI Collection Jug, 27 oz., 4" dia. x 7.5"H, alabaster white, safe for oven, microwave, freezer &amp; dishwasher, Made in France, Designed by Ferreol Babin (Ship from France)</t>
  </si>
  <si>
    <t>49206Q202</t>
  </si>
  <si>
    <t>Tumbler, 12.625 oz, 3.125" x 4.5", Florian, Blue, Bormioli Rocco, Glass (minimum = case quantity) (NON STOCK item)</t>
  </si>
  <si>
    <t>AP Wine 14 oz</t>
  </si>
  <si>
    <t xml:space="preserve">U1051 </t>
  </si>
  <si>
    <t>Specialty Champagne Glass</t>
  </si>
  <si>
    <t>Chef &amp; Sommelier Open Up 6.75 oz. Flute Glass by Arc Cardinal - 24/Case</t>
  </si>
  <si>
    <t>Z3460025</t>
  </si>
  <si>
    <t>Coupe Glass</t>
  </si>
  <si>
    <t>Cocktail Glass, 10.75 oz., 4.5"W x 6.75"H, crystalline, Stolzle, Kyoto (minimum = case quantity, 24 per case) (STOCK item)</t>
  </si>
  <si>
    <t xml:space="preserve">Beverage Tray </t>
  </si>
  <si>
    <t>Beverage Tray Non Slip Mat</t>
  </si>
  <si>
    <t>Non Slip Mat fot Charola de servicio (Guamuchil) - 39cm D x 3cm H</t>
  </si>
  <si>
    <t>Specialty Italian</t>
  </si>
  <si>
    <t>Classic Rustic Italian</t>
  </si>
  <si>
    <t>LMPOCTWHT300</t>
  </si>
  <si>
    <t>Octa White
Rechargeable Lamp
L 11 1/4" W 4 3/8" H 11 1/4"</t>
  </si>
  <si>
    <t>LMPTROLLEY</t>
  </si>
  <si>
    <t>Charging Trolley for Table Lamp</t>
  </si>
  <si>
    <t xml:space="preserve">Charging Trolley
Holds 6 Charging Platforms
</t>
  </si>
  <si>
    <t>LMPTOWER</t>
  </si>
  <si>
    <t>Charging Platform for Table Lamp</t>
  </si>
  <si>
    <t>Stackable Magnetic Charging Platform For 6 lamps</t>
  </si>
  <si>
    <t>Damper</t>
  </si>
  <si>
    <t>Size TBD depending on table sizes</t>
  </si>
  <si>
    <t>Table Cloth</t>
  </si>
  <si>
    <t>4114 Color to match napkin in Cotton. Size TBD depending on table sizes</t>
  </si>
  <si>
    <t xml:space="preserve"> 1-43-767- 4114</t>
  </si>
  <si>
    <t>Made in Italy
100% Pure Linen
767 AGATHA Ivory Color
HEM: 4 Hems Mitred Corners, Hemstitcihng, Bias Binding (for round tablecloth)
Product ID: 1-43-767
56 x 56 cm</t>
  </si>
  <si>
    <t>2/38212</t>
  </si>
  <si>
    <t>Salt &amp; Pepper Shaker</t>
  </si>
  <si>
    <t>Bistro Salt and Pepper Grinder Set, 4" (10cm), olive wood, Made in France (limited lifetime warranty on mechanism, contact factory for details)</t>
  </si>
  <si>
    <t>Craster</t>
  </si>
  <si>
    <t>BW_OBS</t>
  </si>
  <si>
    <t>Butter Presentation - Bowl</t>
  </si>
  <si>
    <t>Small Olive Wood Bowl - 4.53 x 4.53 x 1.5 - Features: Due to the natural variations in olive wood, bowl sizes may vary significantly and exact dimensions cannot be guaranteed. - Stock Tier: Silver</t>
  </si>
  <si>
    <t>1220 WOOD</t>
  </si>
  <si>
    <t xml:space="preserve">Bread Presentation 1 </t>
  </si>
  <si>
    <t>Mendocino Small Footed Bowl - Wood - 5" D x 4" H</t>
  </si>
  <si>
    <t>BU_OSB003</t>
  </si>
  <si>
    <t xml:space="preserve">Bread Presentation 2 </t>
  </si>
  <si>
    <t>Tilt - Oak Straight Platter - L: 218 × 218 × 28 mm (L: 8.6 x W: 8.6 x H: 1.1 in)</t>
  </si>
  <si>
    <t>1170500012U</t>
  </si>
  <si>
    <t>Dessert Fork Gualtiero Marchesi St. steel 7 7/8"</t>
  </si>
  <si>
    <t>1170500015U</t>
  </si>
  <si>
    <t>Dessert Knife</t>
  </si>
  <si>
    <t>Dessert Knife Gualtiero Marchesi St. steel 8 3/8"</t>
  </si>
  <si>
    <t>1170500011U</t>
  </si>
  <si>
    <t>Dessert Spoon Gualtiero Marchesi St. steel 7 7/8"</t>
  </si>
  <si>
    <t>1170500021U</t>
  </si>
  <si>
    <t>Tea Spoon Gualtiero Marchesi St. steel 5 1/2"</t>
  </si>
  <si>
    <t>1170500022U</t>
  </si>
  <si>
    <t>Moka Spoon Gualtiero Marchesi St. steel 4 1/4"</t>
  </si>
  <si>
    <t>1170500001U</t>
  </si>
  <si>
    <t>Dinner Spoon Gualtiero Marchesi St. steel 8 1/2"</t>
  </si>
  <si>
    <t>1170500002U</t>
  </si>
  <si>
    <t>Dinner Fork Gualtiero Marchesi St. steel 8 1/2"</t>
  </si>
  <si>
    <t>1170500005U</t>
  </si>
  <si>
    <t>Dinner Knife Gualtiero Marchesi St. steel 9 1/2"</t>
  </si>
  <si>
    <t>WL830527</t>
  </si>
  <si>
    <t>Steak Knife</t>
  </si>
  <si>
    <t>Jumbo Hvy Duty Steak Knife 25.4 cm (10.0")</t>
  </si>
  <si>
    <t>Churchill</t>
  </si>
  <si>
    <t>RCC VP651</t>
  </si>
  <si>
    <t>B&amp;B Plate</t>
  </si>
  <si>
    <t>Vintage Prints - Rimmed Plate 17cm - 6 5/8" - Colour: Cranberry Rose Chintz</t>
  </si>
  <si>
    <t>CAW VP681</t>
  </si>
  <si>
    <t>Vintage Prints - Rimmed Plate 17cm - 6 5/8" - Colour: Willow Victorian Calico PLate</t>
  </si>
  <si>
    <t>CAP VP8 1</t>
  </si>
  <si>
    <t>Sharing Plate 8"</t>
  </si>
  <si>
    <t>Vintage Prints - Profile Plate, 8-1/4" dia., round, classic rim, rolled edge, microwave &amp; dishwasher safe, ceramic, eco glazed finish, Prague Victorian Calico, Churchill® Super Vit, Vintage Prints (US Stocked Item) (6 each per case) (order per case only)</t>
  </si>
  <si>
    <t>6252FP811</t>
  </si>
  <si>
    <t>Plate 10"</t>
  </si>
  <si>
    <t>Adelina Folio Rim Plate  D 10 1/4" (Plate Cover 5379S791)</t>
  </si>
  <si>
    <t>TOP PD251</t>
  </si>
  <si>
    <t>Salad Plate</t>
  </si>
  <si>
    <t>Vintage Prints - Deep Coupe Plate 10" Prague Toile 25 cm</t>
  </si>
  <si>
    <t>TOPPD271</t>
  </si>
  <si>
    <t>Pasta Plate</t>
  </si>
  <si>
    <t>Vintage Prints - Deep Coupe Plate 11" Prague Toile 28.1 cm</t>
  </si>
  <si>
    <t>6252FP815</t>
  </si>
  <si>
    <t>Adelina Folio Rim Pasta Bowl
D 11" H 2" (19 oz)
(Plate Cover 5379S801)</t>
  </si>
  <si>
    <t>6252FP818</t>
  </si>
  <si>
    <t>Oval Plate, 9"</t>
  </si>
  <si>
    <t>Adelina Folio Oval Platter L 9" W 6 3/4"</t>
  </si>
  <si>
    <t>6252FP817</t>
  </si>
  <si>
    <t>Oval Plate, 13"</t>
  </si>
  <si>
    <t>Adelina Folio Oval Platter L 13" W 10 1/2"</t>
  </si>
  <si>
    <t>TOC XO111</t>
  </si>
  <si>
    <t>Oblong Plate</t>
  </si>
  <si>
    <t>Vintage Prints - Toile Cranberry Oblong Platter 29.8 x 15.3cm | Vintage Prints | Churchill</t>
  </si>
  <si>
    <t>6252FP812</t>
  </si>
  <si>
    <t>Sharing Plate 9"</t>
  </si>
  <si>
    <t>Adelina Folio Rim Plate D 9"</t>
  </si>
  <si>
    <t>6525TW302</t>
  </si>
  <si>
    <t>Specialty 1 - Wooden Board</t>
  </si>
  <si>
    <t xml:space="preserve">Serving Board Paddle, 17.25" x 9.0", Creations Wood, Creations, Wood, (minimum = case quantity, 6 each per case) (STOCK item) </t>
  </si>
  <si>
    <t>ARCHIE.PK.02</t>
  </si>
  <si>
    <t>Specialty 2 - Icecream Cup</t>
  </si>
  <si>
    <t>Archie Pink Footed Dessert. Bowl 10oz (295ml) (6 each per case)</t>
  </si>
  <si>
    <t>ARCHIE.PK.07</t>
  </si>
  <si>
    <t>Specialty 3 - Bowl</t>
  </si>
  <si>
    <t>Archie Pink Cereal Bowl, 22.8oz (674ml), Case Pack 4 each</t>
  </si>
  <si>
    <t>Agnelli</t>
  </si>
  <si>
    <t>ALMA11114</t>
  </si>
  <si>
    <t>Specialty 7 - Mini Pan</t>
  </si>
  <si>
    <t>Agnelli 1932 Series Aluminum Mini Fry Pan With Brass Handle, 14.7-Oz</t>
  </si>
  <si>
    <t>CoCE11014</t>
  </si>
  <si>
    <t>Specialty 7 - Mini Casserole Insert</t>
  </si>
  <si>
    <t>Agnelli Mini Porcelain Insert, 4.9-Inches. For ALMA11114</t>
  </si>
  <si>
    <t>ALMA10908</t>
  </si>
  <si>
    <t>Specialty 8 - Sauce Server</t>
  </si>
  <si>
    <t>Agnelli 1932 Series Aluminum Mini Conic Saucepan With Brass Handle, 8.1-Oz</t>
  </si>
  <si>
    <t>ALCX110KK16FS-YEL</t>
  </si>
  <si>
    <t>Specialty 9 - Yellow Pan</t>
  </si>
  <si>
    <t>Yellow Two Handled Little Omelette Pan - D6 5/16" - H1 9/16”</t>
  </si>
  <si>
    <t>COCE11016</t>
  </si>
  <si>
    <t>Specialty 9 - Yellow  Pan Insert</t>
  </si>
  <si>
    <t>Agnelli 1932 Collection Line White Porcelain
Insert 5.6 inches, Made in Italy</t>
  </si>
  <si>
    <t>RCP</t>
  </si>
  <si>
    <t xml:space="preserve"> 4-1402</t>
  </si>
  <si>
    <t>Specialty 10 - Oil &amp; Vinegar Caddy</t>
  </si>
  <si>
    <t>Copper Plated Oil &amp; Vinegar Holder - Size: 5 1/2" L x 2 1/2" W x 1 1/4" D (5" OA H)</t>
  </si>
  <si>
    <t>701U</t>
  </si>
  <si>
    <t>Cheese Grinder</t>
  </si>
  <si>
    <t>Conical grater, 240 mm features 3 different blades h 30 cm</t>
  </si>
  <si>
    <t>6252FP820</t>
  </si>
  <si>
    <t>Adelina Folio Coffee Cup L 4 3/4" W 3 7/8" H 2 1/2" (8 oz)</t>
  </si>
  <si>
    <t>6252FP821</t>
  </si>
  <si>
    <t>Adelina Folio Saucer D 6 1/2" (Fits FP820)</t>
  </si>
  <si>
    <t>6252FP822</t>
  </si>
  <si>
    <t>Adelina Folio Espresso Cup L 3 5/8" W 3" H 2 1/2" (3 oz)</t>
  </si>
  <si>
    <t>6252FP823</t>
  </si>
  <si>
    <t>Expresso Saucer</t>
  </si>
  <si>
    <t>Adelina Folio Saucer D 5" (Fits FP822)</t>
  </si>
  <si>
    <t>200364A</t>
  </si>
  <si>
    <t>Immagina sugar packet holder 22 cl</t>
  </si>
  <si>
    <t xml:space="preserve">Immagina milk jug 10 cl                                       </t>
  </si>
  <si>
    <t>Creamer and sugar tray 100 x 140 cm (in. 4 x 5 1/2)</t>
  </si>
  <si>
    <t>DW7555TQSS</t>
  </si>
  <si>
    <t>Water Carafe</t>
  </si>
  <si>
    <t>Insulated Water Pitcher
w/ Ice Guard
L 7 1/2" W 4 1/2" H 8 1/2"
(1 1/2 qt) (1.5 ltr)</t>
  </si>
  <si>
    <t>BWL PS151</t>
  </si>
  <si>
    <t>Vintage Prints -  Blue willow sandringham tea pot 15 oz, H 14.5 cm</t>
  </si>
  <si>
    <t>948</t>
  </si>
  <si>
    <t>Bucket for Stand</t>
  </si>
  <si>
    <t>Less is more - mm. 1.2 - Sparkling wine cooler for 3 bottles or 2 Magnum - cm. 35x15 - H cm. 18 - Lt. 9</t>
  </si>
  <si>
    <t>666M</t>
  </si>
  <si>
    <t>Stand for Bucket</t>
  </si>
  <si>
    <t>Less is more - mm. 1.2 - Wine Cooler Stand - H cm. 62 - cm 38x25 - H 24 2/5" - 15" x 9 7/8"</t>
  </si>
  <si>
    <t>2900CT</t>
  </si>
  <si>
    <t>CAMTREAD® OVAL TRAYS Black 23 1/2" x 28 7/8" 60 x 73,5 cm</t>
  </si>
  <si>
    <t>Service Ideas</t>
  </si>
  <si>
    <t>TR1614SR</t>
  </si>
  <si>
    <t>Service Ideas TR1614SR Serving Tray 16", non-slip, silicone surface, brushed stainless tray &amp; black mat</t>
  </si>
  <si>
    <t>Pantheon</t>
  </si>
  <si>
    <t>TBD Custom</t>
  </si>
  <si>
    <t>Tray Jack</t>
  </si>
  <si>
    <t>Wooden Tray Jack</t>
  </si>
  <si>
    <t>P440330</t>
  </si>
  <si>
    <t>Footed Cocktail, 9 oz., (H 5.0"; D 3.25"; T 3.25"; B 2.75"), soda lime, Pasabahce, Joy (minimum = case quantity, 24 per case) (STOCK item)</t>
  </si>
  <si>
    <t>Wine Glass 14oz</t>
  </si>
  <si>
    <t>Z7310001</t>
  </si>
  <si>
    <t>Wine Glass 20oz</t>
  </si>
  <si>
    <t>Wine Glass, 20 oz., 3.75"W x 9.75"H, crystalline, Stolzle, Symphony (minimum = case quantity, 24 per case) (STOCK item)</t>
  </si>
  <si>
    <t>Z2310040</t>
  </si>
  <si>
    <t>Champagne Coupe</t>
  </si>
  <si>
    <t>Swing Champagne Coupe Glass, 10-1/4 oz., 4-1/2" x 7", Quatrophil, Stolzle, Crystalline (minimum = case quantity, 24 per case) (Stock Item)</t>
  </si>
  <si>
    <t>Z1210019</t>
  </si>
  <si>
    <t>Craft Beer Glass, 14 oz., 3.5"W x 7.75"H, stemmed, soda lime, Stolzle (minimum = case quantity, 24 per case) (STOCK item)</t>
  </si>
  <si>
    <t>Z3580015</t>
  </si>
  <si>
    <t>Whiskey Tumbler Glass, 13 oz., 3-1/2" x 4", Revolution, Stolzle, Crystalline (minimum = case quantity, 24 per case) (Stock Item)</t>
  </si>
  <si>
    <t>Z3580012</t>
  </si>
  <si>
    <t>Long Drink Glass, 13-3/4 oz., 2-3/4" x 5-3/4", Revolution, Stolzle, Crystalline (minimum = case quantity, 24 per case) (Stock Item)</t>
  </si>
  <si>
    <t>Q8701</t>
  </si>
  <si>
    <t>Arcoroc, Monti Cocktail 9.0 Oz (H:6.75'' T:3.13'' M:3.13'' B:2.54''), ['Soda Lime Glass'], (12 PC In A Case), Minimum Purchasing Unit CS</t>
  </si>
  <si>
    <t>Q1325</t>
  </si>
  <si>
    <t>Martini</t>
  </si>
  <si>
    <t>Arcoroc, Monti Martini 7.0 Oz (H:6.125'' T:4.5'' M:4.5'' B:3.0''), ['Soda Lime Glass'], (12 PC In A Case), Minimum Purchasing Unit CS</t>
  </si>
  <si>
    <t>4854R409</t>
  </si>
  <si>
    <t>Gin &amp; Tonic/ Aperol</t>
  </si>
  <si>
    <t>Gin Cocktail, 21.5 oz, 4.125" x 8.0", Classic Cocktails, MCC, MCC, Crystalline, functional and unique shapes (minimum = case quantity) (STOCK item)</t>
  </si>
  <si>
    <t>P64122</t>
  </si>
  <si>
    <t>Specialty Rock op. 1</t>
  </si>
  <si>
    <t>Whisky, 9.5 oz., (H 3-1/8"; M 3-1/8"; T 3-1/8"; B 2-1/4") Crystalline, Clear, Pasabahce,  Nude Big Top (minimum = case quantity) (stock item)</t>
  </si>
  <si>
    <t>P64142</t>
  </si>
  <si>
    <t>Specialty Rock op. 2</t>
  </si>
  <si>
    <t>Whisky DOF Glass, 11.25 oz., (H 3-1/2"; M 3-3/8"; T 3-1/4"; B 2-3/8") Crystalline, Clear, Pasabahce, Nude Big Top (minimum = case quantity) (stock item)</t>
  </si>
  <si>
    <t>WMF</t>
  </si>
  <si>
    <t>Latin Hotel</t>
  </si>
  <si>
    <t>06.8045.5080</t>
  </si>
  <si>
    <t>Bottle Stand</t>
  </si>
  <si>
    <t>Bottle stand - Wine Cradle for bottle 26,3 oz., chromeplated</t>
  </si>
  <si>
    <t xml:space="preserve">STILE living by Pininfarina COASTER </t>
  </si>
  <si>
    <t>Paderno</t>
  </si>
  <si>
    <t>Classic Rustic Italian | Pasta Making Window</t>
  </si>
  <si>
    <t>42870-50</t>
  </si>
  <si>
    <t>Pasta Stand</t>
  </si>
  <si>
    <t>Display stand - Ø 22,0 cm - h 50,0 cm</t>
  </si>
  <si>
    <t>68232-26</t>
  </si>
  <si>
    <t>Basket</t>
  </si>
  <si>
    <t>Arthur Krupp Radici Bowl with internal coating - Round - Ø 26,0 cm - h 16,0 cm</t>
  </si>
  <si>
    <t>68232-30</t>
  </si>
  <si>
    <t>Arthur Krupp Radici Bowl - Round - Ø 30,0 cm - h 18,0 cm</t>
  </si>
  <si>
    <t xml:space="preserve"> 41590-39</t>
  </si>
  <si>
    <t>Containers</t>
  </si>
  <si>
    <t>Display Container with lid - Round - Ø 19,0 cm - h 23,7 cm - 3,900 l</t>
  </si>
  <si>
    <t>41590-75</t>
  </si>
  <si>
    <t xml:space="preserve"> Display Container with lid - Round - Ø 23,0 cm - h 29,7 cm - 7,500 l</t>
  </si>
  <si>
    <t>Forbes</t>
  </si>
  <si>
    <t>Cocktail Cart</t>
  </si>
  <si>
    <t>Circa Bar Cart Executive – 5592</t>
  </si>
  <si>
    <t>Classic Rustic Italian | FOH Bar</t>
  </si>
  <si>
    <t>Ice Tongs</t>
  </si>
  <si>
    <t>23183-21</t>
  </si>
  <si>
    <t>Sydney Jar Displays - Oak Color | 3 Jar</t>
  </si>
  <si>
    <t>Retrieving data. Wait a few seconds and try to cut or copy again.</t>
  </si>
  <si>
    <t>Napkin/Straw Caddy Organizer</t>
  </si>
  <si>
    <t>Madera Straw Caddy - Stir stick Holder</t>
  </si>
  <si>
    <t>pk</t>
  </si>
  <si>
    <t>OL167</t>
  </si>
  <si>
    <t>Arcoroc by Chris Adams Mix Collection 5 oz. Clear Bitters Bottle with Dasher Spout by Arc Cardinal</t>
  </si>
  <si>
    <t>CAP14</t>
  </si>
  <si>
    <t>Ellis Adams Jigger, 2 oz., 1-3/4" x 1-3/4" x 3-11/16", with graduation markers, 18/10 stainless steel, matte finish,  Arcoroc, Mix</t>
  </si>
  <si>
    <t>CAP28</t>
  </si>
  <si>
    <t>Shaker Tin (28oz) H7" T3 5/8" B2 3/8" M3 5/8", SS</t>
  </si>
  <si>
    <t>CAP18</t>
  </si>
  <si>
    <t>Cocktail Shaker 18oz</t>
  </si>
  <si>
    <t>Shaker Tin (18oz) H5 1/4" T3 7/16" B2 3/8" M3 7/16, SS</t>
  </si>
  <si>
    <t>HS001</t>
  </si>
  <si>
    <t>Hawthorne Strainer, 6-1/4" x 3-3/8", SS</t>
  </si>
  <si>
    <t>CAP02</t>
  </si>
  <si>
    <t>Julep Strainer, 7-1/16" x 3", SS</t>
  </si>
  <si>
    <t>CAP04</t>
  </si>
  <si>
    <t>Fine Mesh Strainer, 8-3/4" x 3-1/8", SS</t>
  </si>
  <si>
    <t>CAP05</t>
  </si>
  <si>
    <t>Bar Spoon - Dual Sided Paddle - L15 3/4", SS</t>
  </si>
  <si>
    <t>M33071BKB</t>
  </si>
  <si>
    <t>Y Peeler Black Handle</t>
  </si>
  <si>
    <t>Three Meal</t>
  </si>
  <si>
    <t>Custom Silverware</t>
  </si>
  <si>
    <t>Chopstick rest shaped like a  river pebble. Minimalist and organic in design</t>
  </si>
  <si>
    <t>25 cm</t>
  </si>
  <si>
    <t>Side fork with a  natural bamboo handle</t>
  </si>
  <si>
    <t>19cm</t>
  </si>
  <si>
    <t>Dinner fork with a natural bamboo handle</t>
  </si>
  <si>
    <t>22 cm</t>
  </si>
  <si>
    <t>Dinner knife with a natural bamboo handle</t>
  </si>
  <si>
    <t>23cm</t>
  </si>
  <si>
    <t>Side Knife with a natural bamboo handle</t>
  </si>
  <si>
    <t>20 cm</t>
  </si>
  <si>
    <t>Soup Spoon wit a a natural bamboo handle</t>
  </si>
  <si>
    <t>22cm</t>
  </si>
  <si>
    <t xml:space="preserve">DEMI-TASSE SPOON for Espresso </t>
  </si>
  <si>
    <t>10cm</t>
  </si>
  <si>
    <t>Dessert spoon with a a natural bamboo handle</t>
  </si>
  <si>
    <t>19 cm</t>
  </si>
  <si>
    <t>English tea spoon with a natural bamboo handle</t>
  </si>
  <si>
    <t>13 cm</t>
  </si>
  <si>
    <t>Steak knife with a natural bamboo handle</t>
  </si>
  <si>
    <t>23 cm</t>
  </si>
  <si>
    <t>Serving Spoon &amp; Fork a natural bamboo handle</t>
  </si>
  <si>
    <t>26cm</t>
  </si>
  <si>
    <t>Hand Carved Wood Serving Spoon</t>
  </si>
  <si>
    <t xml:space="preserve">23.5cm long </t>
  </si>
  <si>
    <t>Wooden Tongs</t>
  </si>
  <si>
    <t>L25.4cm x W5cm</t>
  </si>
  <si>
    <t>Olivewood Salad Servers</t>
  </si>
  <si>
    <t>L 30cm X W 6.8cm X H 4cm</t>
  </si>
  <si>
    <t xml:space="preserve">Caviar Spoon, Pearl colour </t>
  </si>
  <si>
    <t>1170500053U</t>
  </si>
  <si>
    <t xml:space="preserve">utter Knife Gualtiero Marchesi St. steel </t>
  </si>
  <si>
    <t>305 45 91 797</t>
  </si>
  <si>
    <t>Java steak knife, Ivory Handle</t>
  </si>
  <si>
    <t>Salt Mill Bistro set</t>
  </si>
  <si>
    <t>brown</t>
  </si>
  <si>
    <t>Pepper Mill Bistro set</t>
  </si>
  <si>
    <t>beige</t>
  </si>
  <si>
    <t>Custom Placemat Lunch</t>
  </si>
  <si>
    <t>Handwoven placemat in a delicate flower shape, made from natural Iraca palm. A beautiful artisanal touch to the table. crafted in South America.</t>
  </si>
  <si>
    <t>35cm</t>
  </si>
  <si>
    <t>Custom Placemat Dinner</t>
  </si>
  <si>
    <t>Textured placemat featuring a wave-inspired design in natural fiber with navy accents. Handcrafted in South America.</t>
  </si>
  <si>
    <t>Napkins ring dinner</t>
  </si>
  <si>
    <t>Jaguar shaped napkin ring  adding a unique and whimsical detail to table settings.</t>
  </si>
  <si>
    <t>l:10 x w:3 x h:8 cm</t>
  </si>
  <si>
    <t>Napkins ring lunch</t>
  </si>
  <si>
    <t>Delicate spiral-shaped napkin ring with a floral design. Handmade by artisans in South America, perfect for adding a subtle decorative element.</t>
  </si>
  <si>
    <t>AURORE Portable and elegant wireless lamp in a warm terracotta tone.</t>
  </si>
  <si>
    <t>Height: 30 cm
Lampshade diameter: 18 cm</t>
  </si>
  <si>
    <t>Custom Décor</t>
  </si>
  <si>
    <t>Handmade ceramic vase crafted by local artisans in Mexico. A unique decorative piece with artisanal charm.</t>
  </si>
  <si>
    <t>Handmade ceramic vase crafted by local artisans in Mexico. Medium sized vase designed for buffet or larger tables. Adds height to larger settings.</t>
  </si>
  <si>
    <t>Handmade ceramic vase crafted by local artisans in Mexico. Larger vase to add character .</t>
  </si>
  <si>
    <t>Custom production</t>
  </si>
  <si>
    <t>Napkin napkin made from a linen/cotton blend. Features a refined beige tone with contrasting terracotta edging.</t>
  </si>
  <si>
    <t>45x45</t>
  </si>
  <si>
    <t xml:space="preserve">Elegant ceramic espresso cup and matching saucer in a quartz finish. </t>
  </si>
  <si>
    <t>Tea / Coffe Service</t>
  </si>
  <si>
    <t>Ceramic tea cup with matching saucer in quartz glaze. Suitable for both tea and coffee service.</t>
  </si>
  <si>
    <t>Versatile ceramic mug in a quartz finish, perfect for serving tea or coffee</t>
  </si>
  <si>
    <t>Ceramic sugar bowl featuring a subtle antique pink Tamaris glaze with a finely crackled finish.</t>
  </si>
  <si>
    <t>Matching ceramic creamer in Tamaris glaze. Complements the sugar bowl with its soft pink tone and artisanal crackle detail.</t>
  </si>
  <si>
    <t>Functional stacking bowl with a warm Terre Cuite glaze. Ideal for cereal or fruit.</t>
  </si>
  <si>
    <t>Breakfast</t>
  </si>
  <si>
    <t xml:space="preserve">Minimalist ceramic eggcup finished in a soft Craie (chalk) glaze. </t>
  </si>
  <si>
    <t xml:space="preserve">Small ceramic bowl with a stackable design and matte Craie glaze. </t>
  </si>
  <si>
    <t>Softly rounded ceramic bowl in a subtle Pêche Blanche (white peach) glaze.</t>
  </si>
  <si>
    <t>Organic-shaped ceramic bowl in Wabi Blanc glaze.</t>
  </si>
  <si>
    <t>Buffet Display/ Breakfast</t>
  </si>
  <si>
    <t>Artisan-crafted ceramic bowl with a scalloped design. Handmade by local makers in Mexico</t>
  </si>
  <si>
    <t>Breakfast/Lunch</t>
  </si>
  <si>
    <t>Classic ceramic coupe bowl in a warm sand colour handcrafted by local artisans in Mexico.</t>
  </si>
  <si>
    <t>Lunch/Dinner</t>
  </si>
  <si>
    <t>Artisan-crafted ceramic platewith a generous wide rim, andmade in Mexico</t>
  </si>
  <si>
    <t xml:space="preserve">Small artisan ramekin, handmade in Mexico. </t>
  </si>
  <si>
    <t>Breakfast/Lunch/Dinner</t>
  </si>
  <si>
    <t>Tapas bowl in a rich rust red finish (Cascos), handmade in South America. Small bowl / Individual tapas portions</t>
  </si>
  <si>
    <t>Dinner</t>
  </si>
  <si>
    <t>Medium sized ceramic serving bowl with a scalloped rim, handmade by local artisans in Mexico. Finished in a warm terracotta colour.</t>
  </si>
  <si>
    <t>Oaxaca  Bowl, ceramic bowl handmade local artisans in Mexico</t>
  </si>
  <si>
    <t>Lunch / Dinner</t>
  </si>
  <si>
    <t>Large flat plate in warm terracotta, ideal for pizza. Handmade by local artisans in Mexico</t>
  </si>
  <si>
    <t>Ceramic dinner plate featuring the Ondas (wave) design in a rich teal glaze. Handmade by artisans in South America.</t>
  </si>
  <si>
    <t>Lunch</t>
  </si>
  <si>
    <t>Ceramic dinner plate with a Helecho (fern) design in deep teal. Handmade in South America.</t>
  </si>
  <si>
    <t>ceramic dinner plate in Cascos design with a rustic red glaze. Handmade by artisans in South America.</t>
  </si>
  <si>
    <t>Starter plate with a delicate Flor design in teal glaze. Handmade in South America</t>
  </si>
  <si>
    <t>Starter plate in the Flor pattern with a rich rust red finish. Perfect for light courses, handmade in South America.</t>
  </si>
  <si>
    <t>Classic ceramic bread/small plate in a warm sand colour handcrafted by local artisans in Mexico.</t>
  </si>
  <si>
    <t>Classic ceramic plate in a warm sand colour handcrafted by local artisans in Mexico.</t>
  </si>
  <si>
    <t>Lola Starter Plate with scalloped rim, handmade by local artisans in Mexico.</t>
  </si>
  <si>
    <t>ceramic bread plate with a teal rim detail. Handcrafted by artisans in South America</t>
  </si>
  <si>
    <t>Bread plate in warm terracotta, handmade by local artisans in Mexico</t>
  </si>
  <si>
    <t>Oval ceramic platter with the Cascos design featured on the rim, finished in a rich rust red glaze. Handmade by artisans in South America.</t>
  </si>
  <si>
    <t>Oval ceramic platter with the Helecho design featured on the rim, finished in a deep teal glaze. Handmade by artisans in South America.</t>
  </si>
  <si>
    <t>Organic-shaped oval platter with a warm terracotta finish. Handmade by local artisans in Mexico</t>
  </si>
  <si>
    <t xml:space="preserve">Dinner </t>
  </si>
  <si>
    <t>Oval platter with a natural, irregular shape and soft sand-toned glaze. Crafted by hand in Mexico</t>
  </si>
  <si>
    <t>Seving Platter Rectangular small</t>
  </si>
  <si>
    <t>Alto Plano Ramikin for butter  handmade local artisans in Mexico</t>
  </si>
  <si>
    <t xml:space="preserve">
Silver-plated cup in a classic julep shape for serving chips or fries</t>
  </si>
  <si>
    <t xml:space="preserve">Stand, Handmade from original Colombian black clay with rattan sleve, crafted by local artisans in South America. Ideal for presenting finger foods with rustic elegance.
</t>
  </si>
  <si>
    <t>Oil Bottle – Terracotta Matte Glaze</t>
  </si>
  <si>
    <t>Ceramic small jug for sauces</t>
  </si>
  <si>
    <t>Serving Bowl with scalloped edge, handmade by local artisans in Mexico.</t>
  </si>
  <si>
    <t>Buffet Diplay Bowl, handmade by local artisans in Mexico. Large. perfect for layering the buffet table</t>
  </si>
  <si>
    <t>Buffet Diplay Bowl, handmade by local artisans in Mexico. Medium. perfect for layering the buffet table</t>
  </si>
  <si>
    <t>Buffet Diplay Bowl, handmade by local artisans in Mexico. Small. perfect for layering the buffet table</t>
  </si>
  <si>
    <t>Elevated terracotta stand with a natural matte finish, ideal for creating height and layering on buffet table</t>
  </si>
  <si>
    <t>Small version of the terracotta display stand. Perfect for layering the buffet display.</t>
  </si>
  <si>
    <t>Large Gavivi Mango Wood Stand. Elevated display stand crafted from solid mango wood.</t>
  </si>
  <si>
    <t>Small Gavivi Mango Wood Stand Perfect for layering the buffet display.</t>
  </si>
  <si>
    <t>Cake stand crafted from smooth champagne-toned marble, Perfect for layering the buffet display.</t>
  </si>
  <si>
    <t xml:space="preserve">Rustic cake stand made from warm-toned mango wood. </t>
  </si>
  <si>
    <t>a small marble bowl, ideal for  condiments</t>
  </si>
  <si>
    <t>Cheese Knife Set</t>
  </si>
  <si>
    <t>Water glass featuring a two-tone design in clear and teal. A vibrant accent</t>
  </si>
  <si>
    <t>Breakfst/Lunch</t>
  </si>
  <si>
    <t>Juice Glasses</t>
  </si>
  <si>
    <t>Amber-toned water glass. Warm and earthy</t>
  </si>
  <si>
    <t>ceramic carafe inspired by the traditional Cántaro. Perfect for serving water or juice with artisanal flair. handmade local artisans in Mexico</t>
  </si>
  <si>
    <t>Breakfst/Lunch/Dinner</t>
  </si>
  <si>
    <t>A bottle-shaped carafe perfect for water or juice,</t>
  </si>
  <si>
    <t xml:space="preserve">large or Juices display </t>
  </si>
  <si>
    <t>Buffet</t>
  </si>
  <si>
    <t>Butter Presentation</t>
  </si>
  <si>
    <t>Small Olive Wood Bowl Mat Olive Wood, Oiled, Dim 115ø × 38 mm, 4.5ø × 1.5 in</t>
  </si>
  <si>
    <t>Open Jam Presentation</t>
  </si>
  <si>
    <t>SET_CSO</t>
  </si>
  <si>
    <t>Oak Porcelain Condiment Set
Mat Oak, Oiled and Porcelain
Dim 260 × 100 × 65 mm
10.2 × 3.9 × 2.5 in
Vol 85 ml
3 oz</t>
  </si>
  <si>
    <t>Spare Bowls for Jam Presentation</t>
  </si>
  <si>
    <t>SET_CSO Bowl Only</t>
  </si>
  <si>
    <t>3oz Bowl only from SET_CSO set.</t>
  </si>
  <si>
    <t>Rolikka</t>
  </si>
  <si>
    <t>Bread Bowl and Tortillera</t>
  </si>
  <si>
    <t>RL-7116-NB</t>
  </si>
  <si>
    <t>Tortilla Bowl With  Marble Lid, 18 X 5 cm Tall, Marble Black/White Mexican</t>
  </si>
  <si>
    <t>Oval Tray</t>
  </si>
  <si>
    <t>HBW25-ORI</t>
  </si>
  <si>
    <t>Charola Ovalada mediana 25 cm Color Tulum</t>
  </si>
  <si>
    <t>HCHO25-TUL</t>
  </si>
  <si>
    <t>Charola Ovalada mediana 25 cm Color Agave</t>
  </si>
  <si>
    <t>Rectangular Tray 30 cm</t>
  </si>
  <si>
    <t>HCHO25-AGA</t>
  </si>
  <si>
    <t>Charola Rectangular 30 cm - Color Orizaba</t>
  </si>
  <si>
    <t>Sauce Bowl</t>
  </si>
  <si>
    <t>HCHR30-ORI</t>
  </si>
  <si>
    <t>Salsero 9 cm - Color Tulum</t>
  </si>
  <si>
    <t>HSC9-TUL</t>
  </si>
  <si>
    <t>Salsero 9 cm - Color Agave</t>
  </si>
  <si>
    <t xml:space="preserve">Sugar and Creamer Tray </t>
  </si>
  <si>
    <t>HSC9-AGA</t>
  </si>
  <si>
    <t>Charola Ovalada para sugar Creamer - Charola Ovalo Chica 17 cm - Color Orizaba</t>
  </si>
  <si>
    <t>Ramekin and Sugar Bowl</t>
  </si>
  <si>
    <t>HCHO17-ORI</t>
  </si>
  <si>
    <t>Ramekin 7 cm - Color Orizaba</t>
  </si>
  <si>
    <t>Creamer 8 oz</t>
  </si>
  <si>
    <t>HRMK7-ORI</t>
  </si>
  <si>
    <t>Cremera - 8oz - Color Orizaba</t>
  </si>
  <si>
    <t>Oil and Vinegar Set</t>
  </si>
  <si>
    <t>Aceitera y Vinagrera 16 cm - Color Natural</t>
  </si>
  <si>
    <t>Seafood Display Riser</t>
  </si>
  <si>
    <t>SDRCK</t>
  </si>
  <si>
    <t>Display Rack, 7-1/2" top dia. x 9-5/8" bottom dia. x 7-3/8"H, large, 1 tier, stainless steel (hand wash only)</t>
  </si>
  <si>
    <t>Seafood Tray</t>
  </si>
  <si>
    <t>ADSEAC12</t>
  </si>
  <si>
    <t>Seafood Tray, 80 oz., 12" dia. x 2-1/4"H, round, double-wall, hand-wash only, hammered aluminum, copper (hand wash only)</t>
  </si>
  <si>
    <t>ADSEAC14</t>
  </si>
  <si>
    <t>Seafood Tray, 128 oz., 14" dia. x 2-1/2"H, round, double-wall, hand-wash only, hammered aluminum, copper (hand wash only)</t>
  </si>
  <si>
    <t>Water Bottle</t>
  </si>
  <si>
    <t>4952Q805</t>
  </si>
  <si>
    <t>Oxford Bottle, 1.0 qt, 3.5" x 12.5", Swing Bottle, Bottle, Bormioli Rocco, Soda Lime (minimum = case quantity, 6 each per case) (STOCK item)</t>
  </si>
  <si>
    <t xml:space="preserve">200668 MB                </t>
  </si>
  <si>
    <t>Giotto wine cooler 24 cm, .75L materic bronze</t>
  </si>
  <si>
    <t>Buckets for Stand</t>
  </si>
  <si>
    <t xml:space="preserve">200666F MB        </t>
  </si>
  <si>
    <t xml:space="preserve">Palace wine cooler stand materic bronze </t>
  </si>
  <si>
    <t>36" wooden bag stand</t>
  </si>
  <si>
    <t>Zwiesel Glass Pure Sauvignon Blanc Glass, (0) 13.8 oz., dishwasher safe, lead free, sheer rim, crystal glass (0.34 each weight) (Per case = 6 each) (ecomm dealers 4 case increments; special box will be added cost)</t>
  </si>
  <si>
    <t>Specialty Wine Glass 23oz</t>
  </si>
  <si>
    <t>Zwiesel Glass Pure Bordeaux Glass, (130) 23 oz., dishwasher safe, lead free, sheer rim, crystal glass (0.41 each weight) (Per case = 6 each) (ecomm dealers 4 case increments; special box will be added cost)</t>
  </si>
  <si>
    <t>Zwiesel Glass Pure Champagne Flute Glass, (7) 7.1 oz., dishwasher safe, lead free, sheer rim, crystal glass (0.3 each weight) (Per case = 6 each) (ecomm dealers 4 case increments; special box will be added cost)</t>
  </si>
  <si>
    <t>Z1200019</t>
  </si>
  <si>
    <t>Beer Glass, 14 oz., 3" x 7-1/2", stemmed, Stolzle, Stemmed Beer, Soda Lime (minimum = case quantity, 24 per case) (Stock Item)</t>
  </si>
  <si>
    <t>OF Rock Glass</t>
  </si>
  <si>
    <t>Z3460014</t>
  </si>
  <si>
    <t>Whiskey Glass, 10-1/2 oz., 2-3/4" x 3 3/8", Kyoto, Stolzle, Crystalline (minimum = case quantity, 24 per case) (Stock Item)</t>
  </si>
  <si>
    <t>Z3460009</t>
  </si>
  <si>
    <t>Water Tumbler Glass, 13-1/2 oz., 2-1/2" x 5-1/2", Kyoto, Stolzle, Crystalline (minimum = case quantity, 24 per case) (Stock Item)</t>
  </si>
  <si>
    <t>Coupe</t>
  </si>
  <si>
    <t>FP303</t>
  </si>
  <si>
    <t>Aeris By Chef And Sommelier, Zephyr Coupe 7.5 Oz (H:6.5'' T:4.13'' M:4.38'' B:''), ['Aeris Crystalline'], (24 PC In A Case), Minimum Purchasing Unit CS</t>
  </si>
  <si>
    <t>Gin &amp; Tonic</t>
  </si>
  <si>
    <t>P8821</t>
  </si>
  <si>
    <t>Arcoroc, Broadway Gin 19.5 Oz (H:7.5'' T:4.25'' M:4.25'' B:3.25''), ['Soda Lime Glass'], (12 PC In A Case), Minimum Purchasing Unit CS</t>
  </si>
  <si>
    <t>P3882</t>
  </si>
  <si>
    <t>Chef &amp; Sommelier, Cabernet Cocktail 7.5 Oz (H:6.75'' T:4.5'' M:4.5'' B:3.0''), ['Krysta'], (12 PC In A Case), Minimum Purchasing Unit CS</t>
  </si>
  <si>
    <t>Q3702</t>
  </si>
  <si>
    <t>Chef &amp; Sommelier, Sequence Nick And Nora 5.25 Oz (H:5.625'' T:2.75'' M:2.75'' B:2.38''), ['Krysta'], (24 PC In A Case), Minimum Purchasing Unit CS</t>
  </si>
  <si>
    <t>GM16P</t>
  </si>
  <si>
    <t>Moscow Mule Mug, 16 oz., 3-1/4" dia. x 3-7/8"H, with brass handle, stainless steel, gold satin finish (hand wash only)</t>
  </si>
  <si>
    <t>Juice Jug</t>
  </si>
  <si>
    <t>49119Q924</t>
  </si>
  <si>
    <t>Carafe, 1.25 qt, 3.875" x 10.875", Officina, Bormioli Rocco, Soda Lime (minimum = case quantity, 6 each per case) (STOCK item)</t>
  </si>
  <si>
    <t xml:space="preserve">200443 MB        </t>
  </si>
  <si>
    <t xml:space="preserve">Stile coaster / bread tray materic bronze 12 cm </t>
  </si>
  <si>
    <t>Lable Holder</t>
  </si>
  <si>
    <t>BU_LH006</t>
  </si>
  <si>
    <t>Flow Copper PVD Stainless Steel Label Holder - Dim 1.2x1.5"</t>
  </si>
  <si>
    <t>Serving Tongs</t>
  </si>
  <si>
    <t>903 05 81 004</t>
  </si>
  <si>
    <t>21 cm Hors d’oeuvre tongs</t>
  </si>
  <si>
    <t xml:space="preserve">305 05 81 539 </t>
  </si>
  <si>
    <t>18 cm Pastry / bread tong</t>
  </si>
  <si>
    <t>Sauce Ladle</t>
  </si>
  <si>
    <t>122 05 01 442</t>
  </si>
  <si>
    <t xml:space="preserve"> Sauce Ladle 15.6 cm</t>
  </si>
  <si>
    <t>Soup Ladle</t>
  </si>
  <si>
    <t>122 05 00 025</t>
  </si>
  <si>
    <t xml:space="preserve"> Soup Ladle 30.4 cm</t>
  </si>
  <si>
    <t>DW Haber</t>
  </si>
  <si>
    <t>Soup Ladle Rest</t>
  </si>
  <si>
    <t>DW396LADREST</t>
  </si>
  <si>
    <t>Ladle Rest L 6" W 5 1/4" H 8 3/4"</t>
  </si>
  <si>
    <t>Serving Spoons</t>
  </si>
  <si>
    <t>122 05 02 710</t>
  </si>
  <si>
    <t>Serving Spoon 34 cm</t>
  </si>
  <si>
    <t>Spoon Rest Hacha</t>
  </si>
  <si>
    <t>HPTC15-ORI</t>
  </si>
  <si>
    <t>Portacucharon diametro 16 cm / color orizaba</t>
  </si>
  <si>
    <t>Cake Server</t>
  </si>
  <si>
    <t>122 05 00 039</t>
  </si>
  <si>
    <t>24 cm Cake Server</t>
  </si>
  <si>
    <t>Paris Chef
Manual Salt Mill in Copper-Plated Stainless Steel,u'Select, 22cm</t>
  </si>
  <si>
    <t>Paris Chef
Manual Pepper Mill in Copper-Plated Stainless Steel,u'Select, 22cm</t>
  </si>
  <si>
    <t>Backyard Hive</t>
  </si>
  <si>
    <t>Honeycomb Stand Presentation</t>
  </si>
  <si>
    <t>Glass Honeycomb Display - Langstroth 19" for the Hospitality Industry</t>
  </si>
  <si>
    <t>Juice Service Station</t>
  </si>
  <si>
    <t>SET_MJDTR003</t>
  </si>
  <si>
    <t>Tilt Mini Juice Dispenser
+ Stainless Steel Mini Triple Riser Set
 Mat Glass, Soda Lime and Stainless Steel
 Dim 383 × 125 × 417 mm
15 × 5 × 16.4 in
 Vol Each jar holds 3 litres
Approx. 101 fl oz</t>
  </si>
  <si>
    <t>Extra Glass Containers for Juice Dispenser</t>
  </si>
  <si>
    <t>SET_MJD</t>
  </si>
  <si>
    <t>Tilt Mini Juice Dispenser
Mat Glass, Soda Lime
and Stainless Steel
Dim 125ø × 322 mm
4.92ø × 12.68 in
Vol Holds 3 litres
(approx. 101 fl oz)</t>
  </si>
  <si>
    <t>Small Cake Stand</t>
  </si>
  <si>
    <t>BU_CS005</t>
  </si>
  <si>
    <t>Small Oak Cake Stand
BU_CS005 •
Mat Oak, Lacquered
Dim 157ø × 80 mm
6.1ø × 3.1 in</t>
  </si>
  <si>
    <t>Small Cake Stand Cloche</t>
  </si>
  <si>
    <t>BU_GC002</t>
  </si>
  <si>
    <t>Small Glass Cloche - 5.71 x 5.71 x 4.7 - Features: Compatible with Small and Small Drum Cake Stands - Stock Tier: Gold</t>
  </si>
  <si>
    <t>Medium Cake Stand</t>
  </si>
  <si>
    <t>BU_CS006</t>
  </si>
  <si>
    <t>Medium Oak Cake Stand - 12.6 x 12.6 x 5.12 - Stock Tier: Gold</t>
  </si>
  <si>
    <t>Medium Cake Stand Cloche</t>
  </si>
  <si>
    <t>BU_GC001</t>
  </si>
  <si>
    <t>Large Glass Cloche - 11.61 x 11.61 x 5.71 - Features: Compatible with Large and Medium Cake Stands, Tilt Large Plinths - Stock Tier: Gold</t>
  </si>
  <si>
    <t>Big Salad Bowl</t>
  </si>
  <si>
    <t>HBW30-ORI</t>
  </si>
  <si>
    <t>Ensaladera Grande 30cm Orizaba</t>
  </si>
  <si>
    <t>Rectangular Tray</t>
  </si>
  <si>
    <t>Charola Rectangular 30 cm Orizaba</t>
  </si>
  <si>
    <t>HCHO30-ORI</t>
  </si>
  <si>
    <t>Charola Ovalada Grande 30 cm Orizaba</t>
  </si>
  <si>
    <t>Single Bread Box</t>
  </si>
  <si>
    <t>BU_BD1ONL</t>
  </si>
  <si>
    <t>Flow Oak Single Bread Box
 •
Mat Oak, Lacquered and Acrylic
Dim 349 × 176 × 190mm
13.7 × 6.9 × 7.4 in</t>
  </si>
  <si>
    <t>Two Tier Stand</t>
  </si>
  <si>
    <t>BU_RS001</t>
  </si>
  <si>
    <t>Flow Oak 1.2 Two-Tier Stand
 •
Mat Oak, Oiled
Dim 309 × 323 × 441 mm
12.1 × 9.1 × 17.4 in
MOQ 1
Note Includes 2 × BU_FR002 Trays
Assembly required</t>
  </si>
  <si>
    <t>Tray for Two Tier Stand</t>
  </si>
  <si>
    <t>BU_FR002</t>
  </si>
  <si>
    <t>Flow Oak 1.2 Tray
 •
Mat Oak, Oiled
Dim 325 × 265 × 40 mm
12.7 × 10.4 × 1.5 in
MOQ 1
Note Compatible with all 1.2 products</t>
  </si>
  <si>
    <t>Two-Tier Stand Long</t>
  </si>
  <si>
    <t>BU_RS002</t>
  </si>
  <si>
    <t>Flow Oak 1.1 Two-Tier Stand
 •
Mat Oak, Oiled
Dim 574 × 323 × 441 mm
22.6 × 12.7 × 17.4 in
MOQ 1
Note Includes 2 × BU_FR001 Trays
Assembly required</t>
  </si>
  <si>
    <t>Tray for Long Two Tier Stand</t>
  </si>
  <si>
    <t>BU_FR001</t>
  </si>
  <si>
    <t>Flow Oak 1.1 Tray
BU_FR001 •
Mat Oak, Oiled
Dim 530 × 325 × 40 mm
20.8 × 12.7 × 1.5 in</t>
  </si>
  <si>
    <t>BU_BR001</t>
  </si>
  <si>
    <t>Flow Oak 1.1 Crumb Catcher
 •
Mat Oak, Oiled
Dim 530 × 325 × 35 mm
20.8 × 12.7 × 1.3 in</t>
  </si>
  <si>
    <t>Wooden Plate Small</t>
  </si>
  <si>
    <t>BU_OP1109</t>
  </si>
  <si>
    <t>Tilt Round Oak Plinth
 Mat Oak, Oiled
 Dim 218ø × 25 mm
8.6ø × 1 in</t>
  </si>
  <si>
    <t>Wooden Plate Big</t>
  </si>
  <si>
    <t>BU_OP1121</t>
  </si>
  <si>
    <t>Tilt Large Round Oak Plinth
Mat Oak, Oiled
Dim 320ø × 25 mm
11.6ø × 1 in_x000D_</t>
  </si>
  <si>
    <t>Miniature 1 Glass</t>
  </si>
  <si>
    <t>DV.501128</t>
  </si>
  <si>
    <t>GLASS MINI FLUTE PILSNER SAMPLER D&amp;V TASTERZ 3OZ</t>
  </si>
  <si>
    <t>Miniature 2 Glass</t>
  </si>
  <si>
    <t>DV.501180</t>
  </si>
  <si>
    <t>GLASS, D&amp;V TASTERZ MINI IPA 5OZ</t>
  </si>
  <si>
    <t>Miniature 3 Cast Iron</t>
  </si>
  <si>
    <t>QU01</t>
  </si>
  <si>
    <t>Oval Mini Crock
L 7 1/4" W 4 7/8"
H 1 7/8" (14 3/4 oz)</t>
  </si>
  <si>
    <t>QU009</t>
  </si>
  <si>
    <t>Round Mini Crock
L 6 1/8" W 4 3/4"
H 1 3/4" (11 1/2 oz)</t>
  </si>
  <si>
    <t>Display Stand</t>
  </si>
  <si>
    <t>BU_SF21346</t>
  </si>
  <si>
    <t>Alto Walnut Three-Tier cake stand - 12.8 x 12.8 x 22.9 - Stock Tier: Gold</t>
  </si>
  <si>
    <t>Tray with Condiment Dishes</t>
  </si>
  <si>
    <t>SET_CSW</t>
  </si>
  <si>
    <t>Walnut Porcelain Condiment Set - 3.9 x 10.2 x 2.5 - Features: Contains: 3 x BU_PCD001 + 1 x BU_PCP011; Each pot holds liquid 85 ml (approx 3 oz) - Stock Tier: Silver</t>
  </si>
  <si>
    <t>Footed Fruit Bowl</t>
  </si>
  <si>
    <t>Nordic Fruit Bowl - Acacia Wood &amp; Iron - 10"D x 8" H</t>
  </si>
  <si>
    <t>Footed Platter</t>
  </si>
  <si>
    <t>Nordic Footed Platter - Acacia Wood &amp; Iron - 12"D x 5.25"H</t>
  </si>
  <si>
    <t>Riser 1</t>
  </si>
  <si>
    <t>BU_RR6103</t>
  </si>
  <si>
    <t>Tilt Tall Stainless Steel Frame •
Mat Stainless Steel
Dim 218ø × 265 mm
8.6ø × 10.4 in</t>
  </si>
  <si>
    <t>Riser 2</t>
  </si>
  <si>
    <t>BU_RR6102</t>
  </si>
  <si>
    <t>Tilt Medium Stainless Steel Frame •
Mat Stainless Steel
Dim 218ø × 180 mm
8.6ø × 7 in</t>
  </si>
  <si>
    <t>Riser 3</t>
  </si>
  <si>
    <t>BU_RR6101</t>
  </si>
  <si>
    <t>Tilt Low Stainless Steel Frame •
Mat Stainless Steel
Dim 218ø × 95 mm
8.6ø × 3.7 in</t>
  </si>
  <si>
    <t>Wooden Bowl 1</t>
  </si>
  <si>
    <t>BW_OR2103</t>
  </si>
  <si>
    <t>Large Rustic Olive Wood Bowl
Mat Olive Wood, Oiled
Dim 290ø × 100 mm
1.4ø × 3.9 in</t>
  </si>
  <si>
    <t>Wooden Bowl 2</t>
  </si>
  <si>
    <t>BW_OR2102</t>
  </si>
  <si>
    <t>Medium Rustic Olive Wood Bowl
Mat Olive Wood, Oiled
Dim 250ø × 85 mm
9.8ø × 3.3 in</t>
  </si>
  <si>
    <t>Wooden Bowl 3</t>
  </si>
  <si>
    <t>BW_OR2100</t>
  </si>
  <si>
    <t>Mini Rustic Olive Wood Bowl
Mat Olive Wood, Oiled
Dim 120ø × 40 mm
4.7ø × 1.6 in</t>
  </si>
  <si>
    <t>Copper Bowl 1</t>
  </si>
  <si>
    <t>BW_CO1903</t>
  </si>
  <si>
    <t>Tilt Copper Bowl Large, Copper PVD and
Stainless Steel, 285ø × 100 mm
11.2ø × 3.9 in</t>
  </si>
  <si>
    <t>Copper Bowl 2</t>
  </si>
  <si>
    <t>BW_CO1902</t>
  </si>
  <si>
    <t>Tilt Copper Bowl Medium, Copper PVD and Stainless Steel, 250ø × 85 mm
9.8ø × 3.3 in</t>
  </si>
  <si>
    <t>China Bowl 1</t>
  </si>
  <si>
    <t>BW_BC004</t>
  </si>
  <si>
    <t>Tilt Coupe Large Bowl
Mat Fine Bone China
Dim 364ø × 88 mm
14.33 × 14.33 × 3.46 in
Vol 7.1 litres
Approx. 240 fl oz</t>
  </si>
  <si>
    <t>China Bowl 2</t>
  </si>
  <si>
    <t>BW_BC002</t>
  </si>
  <si>
    <t>Tilt Coupe Bowl
Mat Fine Bone China
Dim 262ø × 88 mm
10.31 × 10.31 × 3.46 in
Vol 3.4 litres
Approx. 114 fl oz</t>
  </si>
  <si>
    <t>China Platter 1</t>
  </si>
  <si>
    <t>BW_BC003</t>
  </si>
  <si>
    <t>Tilt Coupe Large Platter
Mat Fine Bone China
Dim 364ø × 46 mm
14.33 × 14.33 × 1.81 in
Vol 3.4 litres
Approx. 114 fl oz</t>
  </si>
  <si>
    <t>BU_TG011</t>
  </si>
  <si>
    <t>Tilt Oak Tongs
Mat Oak, Oiled
Dim 300 × 40 × 25 mm
11.81 × 1.57 × 0.98 in</t>
  </si>
  <si>
    <t>Wooden Spoon</t>
  </si>
  <si>
    <t>BU_SP011</t>
  </si>
  <si>
    <t>Tilt Oak Spoon •
Mat Oak, Oiled
Dim 245 × 80 × 38 mm
9.6 × 3.1 × 1.5</t>
  </si>
  <si>
    <t>Glass Jar Big</t>
  </si>
  <si>
    <t xml:space="preserve">BU_GJ001 </t>
  </si>
  <si>
    <t>Tilt Glass Jar•
 Mat Glass, Soda Lime
 Dim 218ø × 165 mm
8.6ø × 6.5 in
 Vol 3 litres
Approx. 101 fl oz</t>
  </si>
  <si>
    <t>Oak Jar Lid</t>
  </si>
  <si>
    <t xml:space="preserve">BU_OL001 </t>
  </si>
  <si>
    <t>Tilt Oak Jar Lid•
Mat Oak, Oiled
Dim 207ø × 30 mm
8.1ø × 1.1 in</t>
  </si>
  <si>
    <t>Mini Glass Jar Set</t>
  </si>
  <si>
    <t>SET_GJO01</t>
  </si>
  <si>
    <t>Tilt Oak Mini Glass Jar Set. Mini Glass Jar, lids and  triple base</t>
  </si>
  <si>
    <t>Mini Glass Jar spare piece</t>
  </si>
  <si>
    <t xml:space="preserve">BU_GJ002 </t>
  </si>
  <si>
    <t>Tilt Mini Glass Jar•
Mat Glass, Soda Lime
Dim 125ø × 95 mm
5ø × 3.7 in
Vol 500 ml
17 oz</t>
  </si>
  <si>
    <t>Casserole Dish 1</t>
  </si>
  <si>
    <t>660151</t>
  </si>
  <si>
    <t>(B1+BM1226COCVV-283-2593) Cocotte, 135 oz., 10-1/4"Dia. x 4-3/4"H, round, with glass lid, induction ready, microwave, freezer &amp; dishwasher safe, porcelain, alabaster white, Bombance collection, (US stocked item)</t>
  </si>
  <si>
    <t>660152</t>
  </si>
  <si>
    <t>(B1+BM1226COCVV-286-2593) Cocotte, 135 oz., 10-1/4"Dia. x 4-3/4"H, round, induction ready, with glass lid, oven, microwave, freezer &amp; dishwasher safe, porcelain, cloud gray, Bombance collection, (US stocked item)</t>
  </si>
  <si>
    <t>Casserole Dish 2</t>
  </si>
  <si>
    <t>660143</t>
  </si>
  <si>
    <t>(B1+BM1231COCV-283-2593) Cocotte, 118 oz., 12-1/4"Dia. x 3-1/4"H, round, induction ready, with porcelain lid, oven, microwave, freezer &amp; dishwasher safe, porcelain, alabaster white, Bombance collection, (US stocked item)</t>
  </si>
  <si>
    <t>660144</t>
  </si>
  <si>
    <t>(B1+BM1231COCV-286-2593) Cocotte, 118 oz., 12-1/4"Dia. x 3-1/4"H, round, induction ready, with porcelain lid, oven, microwave, freezer &amp; dishwasher safe, porcelain, cloud gray, Bombance collection, (US stocked item)</t>
  </si>
  <si>
    <t>Rectangular Dish</t>
  </si>
  <si>
    <t>660160</t>
  </si>
  <si>
    <t>(A1+BM1334-283-2593) Dish, 111-1/2 oz., 13-1/2" x 9-3/4" x 2-1/2"H, rectangular, handled, induction ready, oven, microwave, freezer &amp; dishwasher safe, porcelain, alabaster white, Bombance, (US stocked item)</t>
  </si>
  <si>
    <t>(A1+BM1334-286-7025) Dish, 111-1/2 oz., 13-1/2" x 9-3/4" x 2-1/2"H, rectangular, handled, oven, microwave, freezer &amp; dishwasher safe, porcelain, cloud gray, Bombance, (Ship from France)</t>
  </si>
  <si>
    <t>Casserole Dish 3</t>
  </si>
  <si>
    <t>660153</t>
  </si>
  <si>
    <t>(B1+BM1229COCVV-283-2593) Cocotte, 135 oz., 11-1/2"Dia. x 3-3/4"H, round, induction ready, with glass lid, oven, microwave, freezer &amp; dishwasher safe, porcelain, albaster white, Bombance collection, (US stocked item)</t>
  </si>
  <si>
    <t>660154</t>
  </si>
  <si>
    <t>(B1+BM1229COCVV-286-2593) Cocotte, 135 oz., 11-1/2"Dia. x 3-3/4"H, round, induction ready, with glass lid, oven, microwave, freezer &amp; dishwasher safe, porcelain, cloud gray, Bombance collection, (US stocked item)</t>
  </si>
  <si>
    <t>Lid rest</t>
  </si>
  <si>
    <t>(A6+BOPCIPM9013) Lid Rest, 5"W x 3-1/2"D, x 2-3/4"H, stainless steel, to present lids at the above the cocotte, Bombance, (US stocked item)</t>
  </si>
  <si>
    <t>Crucial Detail</t>
  </si>
  <si>
    <t>Porthole</t>
  </si>
  <si>
    <t>PORTHOLE</t>
  </si>
  <si>
    <t>The Porthole is a simple, beautiful infusion vessel designed by Martin Kastner 7" x 7" x 2" (17cm x 17cm x 5cm) 13 fl oz (390ml)</t>
  </si>
  <si>
    <t>Mixing Tin</t>
  </si>
  <si>
    <t>M37219ACP</t>
  </si>
  <si>
    <t>21 oz.
Diamond Lattice
Double Wall
Mixing Tin
Antique Copper</t>
  </si>
  <si>
    <t>1850-4-60HL</t>
  </si>
  <si>
    <t>Cold Condiment Display, 16"W x 6"D x 4"H, (3) 16 oz., round glass jars with silicone lined stainless steel hinged lids, cooling pucks, rectangular bamboo base</t>
  </si>
  <si>
    <t xml:space="preserve">20045622 MB        </t>
  </si>
  <si>
    <t xml:space="preserve">Stile napkin holder 22X22 cm materic bronze </t>
  </si>
  <si>
    <t>3308-60</t>
  </si>
  <si>
    <t>Bamboo Straw Holder - 5" x 5" x 5 1/2"</t>
  </si>
  <si>
    <t>FP198</t>
  </si>
  <si>
    <t>Arcoroc, Mix Jigger Copper 2.0 Oz (L:2.0'' X W:1.732''), ['18/10 Stainless Steel'], (1 PC In A Case), Minimum Purchasing Unit CS</t>
  </si>
  <si>
    <t>FP190</t>
  </si>
  <si>
    <t>Arcoroc, Mix Shaker Copper 28.0 Oz (L:3.622'' X W:2.44''), ['18/10 Stainless Steel'], (1 PC In A Case), Minimum Purchasing Unit CS</t>
  </si>
  <si>
    <t>FP188</t>
  </si>
  <si>
    <t>Arcoroc, Mix Shaker Copper 20.0 Oz (L:3.5'' X W:2.44''), ['18/10 Stainless Steel'], (1 PC In A Case), Minimum Purchasing Unit CS</t>
  </si>
  <si>
    <t>FP196</t>
  </si>
  <si>
    <t>Arcoroc, Mix Hawthorne Strainer Copper (L:6.25'' X W:3.375''), ['18/10 Stainless Steel'], (1 PC In A Case), Minimum Purchasing Unit CS</t>
  </si>
  <si>
    <t>FP195</t>
  </si>
  <si>
    <t>Arcoroc, Mix Julep Strainer Copper (L:7.0625'' X W:3.0''), ['18/10 Stainless Steel'], (1 PC In A Case), Minimum Purchasing Unit CS</t>
  </si>
  <si>
    <t>FP193</t>
  </si>
  <si>
    <t>Arcoroc, Mix Mesh Strainer Copper (L:8.75'' X W:3.125''), ['18/10 Stainless Steel'], (1 PC In A Case), Minimum Purchasing Unit CS</t>
  </si>
  <si>
    <t>FP197</t>
  </si>
  <si>
    <t>Arcoroc, Mix Dual Sided Bar Teadrop Spoon Copper (L:15.75'' X W:0.393''), ['18/10 Stainless Steel'], (1 PC In A Case), Minimum Purchasing Unit CS</t>
  </si>
  <si>
    <t>Koala Care</t>
  </si>
  <si>
    <t>Booster Seats</t>
  </si>
  <si>
    <t>KB327 - 09</t>
  </si>
  <si>
    <t>Booster Chair - Individual Seat Dimensions: 13” W x 9½” H x 12″ D (330 x 241 x 305 mm)- Brown</t>
  </si>
  <si>
    <t>Stokke</t>
  </si>
  <si>
    <t>High CHairs</t>
  </si>
  <si>
    <t>Trip Trap Natural Color</t>
  </si>
  <si>
    <t>Marking Tray</t>
  </si>
  <si>
    <t>Rectangular Wood tray 11 x 9"</t>
  </si>
  <si>
    <t>Cevicheria</t>
  </si>
  <si>
    <t xml:space="preserve">Cevicheria | Indoor </t>
  </si>
  <si>
    <t>1055 ALABASTER</t>
  </si>
  <si>
    <t>Tiger Votive - Color Alabaster - 2.95" D x 3.74"H</t>
  </si>
  <si>
    <t>Cevicheria | Indoor</t>
  </si>
  <si>
    <t>LD0340S4</t>
  </si>
  <si>
    <t>Poldina Pro - Table Lamp - Sand</t>
  </si>
  <si>
    <t>LD034DG4</t>
  </si>
  <si>
    <t>Poldina Pro - Table Lamp - Sage</t>
  </si>
  <si>
    <t>5PP-081</t>
  </si>
  <si>
    <t>Poldina - Zafferano x Fermoie Fabric Shades - 5.1" x 3.9" - Green Popple</t>
  </si>
  <si>
    <t>5PP-084</t>
  </si>
  <si>
    <t>Poldina - Zafferano x Fermoie Fabric Shades - 5.1" x 3.9" - Nut Brown Popple</t>
  </si>
  <si>
    <t>LD0350RP</t>
  </si>
  <si>
    <t>6-Lamp Charging Carpet: Sister Light Wi-Fi, Poldina, Poldina Mini, Pina, Swap, Swap Mini, Push-up, Home, Crystal, Damina, Angelina</t>
  </si>
  <si>
    <t>Bistro Collection Nature Black Pepper Mill, 4"(10 cm)</t>
  </si>
  <si>
    <t>BISTRO NATURE Salt Mill, 4" (10 cm), beechwood,</t>
  </si>
  <si>
    <t>Cevicheria | Indoor &amp; Pool Service</t>
  </si>
  <si>
    <t>1-01-499-04076</t>
  </si>
  <si>
    <t>Bristol - Color: Avana Giunco - 100% Cotton - SIZE 56x56 cm</t>
  </si>
  <si>
    <t>CF15101</t>
  </si>
  <si>
    <t>Table Spoon Matisse Vintage</t>
  </si>
  <si>
    <t>CF15102</t>
  </si>
  <si>
    <t>Table fork Matisse Vintage</t>
  </si>
  <si>
    <t>CF15105</t>
  </si>
  <si>
    <t>Table Knife Matisse Vintage</t>
  </si>
  <si>
    <t>CF15112</t>
  </si>
  <si>
    <t>Dessert Fork, 6-7/8", 18/10 stainless steel, AB Vintage Matisse</t>
  </si>
  <si>
    <t>CF15115</t>
  </si>
  <si>
    <t xml:space="preserve">Dessert knife Matisse Vintage
</t>
  </si>
  <si>
    <t>CF15111U</t>
  </si>
  <si>
    <t>Dessert spoon Matisse Vintage St. steel</t>
  </si>
  <si>
    <t>CF15121</t>
  </si>
  <si>
    <t xml:space="preserve">Tea spoon Matisse Vintage
</t>
  </si>
  <si>
    <t>CF15122</t>
  </si>
  <si>
    <t xml:space="preserve">Moka / Demitasse spoon Matisse Vintage
</t>
  </si>
  <si>
    <t>CF15135</t>
  </si>
  <si>
    <t xml:space="preserve">Ice tea spoon Matisse Vintage </t>
  </si>
  <si>
    <t>CF15155</t>
  </si>
  <si>
    <t xml:space="preserve">Steak knife Matisse Vintage
</t>
  </si>
  <si>
    <t>(CEPA1016H) Bread Bag, 6-1/4" x 6-1/4" x 3-1/2"H, medium, individual, cellulose, havana brown, Inspired by Revol (US stocked item)</t>
  </si>
  <si>
    <t>6163RG150</t>
  </si>
  <si>
    <t xml:space="preserve">B&amp;B </t>
  </si>
  <si>
    <t>Plate, 5.0" x 0.5", Forager, Robert Gordon, Round, Stoneware, Beautiful, naturalist porcelain (minimum = case quantity) (STOCK ITEM)</t>
  </si>
  <si>
    <t>6163RG147</t>
  </si>
  <si>
    <t>Plate, 7.5" x 6.0"Forager, Robert Gordon, Unique, Stoneware, Beautiful, naturalist porcelain (minimum = case quantity) (STOCK ITEM)</t>
  </si>
  <si>
    <t>6163RG145</t>
  </si>
  <si>
    <t>Plate 11.75"</t>
  </si>
  <si>
    <t>Plate, 11.75"Forager, Robert Gordon, Unique, Stoneware, Beautiful, naturalist porcelain (minimum = case quantity) (STOCK ITEM)</t>
  </si>
  <si>
    <t>6163RG148</t>
  </si>
  <si>
    <t>Bowl 9"</t>
  </si>
  <si>
    <t>Bowl, 9.0" x 1.625", Forager, Robert Gordon, Round, Stoneware, Beautiful, naturalist porcelain (minimum = case quantity) (STOCK ITEM)</t>
  </si>
  <si>
    <t>6163RG155</t>
  </si>
  <si>
    <t>Stack Bowl, 25.75 oz, 8.25" x 1.375", Forager, Robert Gordon, Round, Stoneware, Beautiful, naturalist porcelain (minimum = case quantity) (STOCK ITEM)</t>
  </si>
  <si>
    <t>6163RG156</t>
  </si>
  <si>
    <t>Stack Bowl, 13.0 oz, 6.0" x 1.375", Forager, Robert Gordon, Round, Stoneware, Beautiful, naturalist porcelain (minimum = case quantity) (STOCK ITEM)</t>
  </si>
  <si>
    <t>6163RG154</t>
  </si>
  <si>
    <t>Bowl, 1.0 oz, 2.25" x 1.0", Forager, Robert Gordon, Stoneware, Beautiful, naturalist porcelain (minimum = case quantity) (STOCK ITEM)</t>
  </si>
  <si>
    <t>6163RG164</t>
  </si>
  <si>
    <t>Bowl D 4 3/4 H 2" (12 1/2 oz)</t>
  </si>
  <si>
    <t>UR97000</t>
  </si>
  <si>
    <t>Ice Cream Soda Sundae H 7 1/4" M 3 1/8" - T 3 1/8" B 2 7/8"</t>
  </si>
  <si>
    <t>4990Q715</t>
  </si>
  <si>
    <t>Diamond Dessert Dish H 3 1/2" M 4" - T 4" B 2 1/2</t>
  </si>
  <si>
    <t>P440211</t>
  </si>
  <si>
    <t>Timeless Vintage
Ice Cream Cup
P440211
(9 3/4 oz)
H 4 1/8" M 3 7/8"
T 3 7/8" B 2 3/4"</t>
  </si>
  <si>
    <t>5850JX62</t>
  </si>
  <si>
    <t>2-Tier Coupe Seafood Stand, 11.625" x 10.0", Seafood Stands, Stainless Steel, Williamsburg, 18/10 Stainless, Innovative Design, Made In The Usa (minimum = case quantity) (STOCK item)</t>
  </si>
  <si>
    <t>DV.GB.4002</t>
  </si>
  <si>
    <t>Gourmet Board Taco Presentation, 13x9.75", handwash recommended,(1.62 each weight) (Per</t>
  </si>
  <si>
    <t>DV.5.003.00.200</t>
  </si>
  <si>
    <t>Brushed Taco stand, 8.25" (21cm), 18/0, dishwasher safe, (0.76 each weight) (Per case= 12 each)</t>
  </si>
  <si>
    <t>Monica Calderon</t>
  </si>
  <si>
    <t>rs 0610-025</t>
  </si>
  <si>
    <t>Bandeja Pan y Manzana Alabastro Blanco</t>
  </si>
  <si>
    <t>rs 0518-863</t>
  </si>
  <si>
    <t>Charola Hoja de Platano 55x15x2.5 Greenery</t>
  </si>
  <si>
    <t>rs 0465-126</t>
  </si>
  <si>
    <t>Specialty - Bowl</t>
  </si>
  <si>
    <t>Bowl Nido Mediano 15x6cm Moss Marble</t>
  </si>
  <si>
    <t>PE-0032</t>
  </si>
  <si>
    <t>Botanero Gota Doble Perla Marmoleado</t>
  </si>
  <si>
    <t>Botanero Gota Doble Greenery</t>
  </si>
  <si>
    <t>Pre-Hispanic Bocha - Water Chesnut Color - Medium: 
17.75 x 7 cm
7 x 2.75 in</t>
  </si>
  <si>
    <t>6163RG158</t>
  </si>
  <si>
    <t>Cup, 8.0 oz, 4.75" x 3.375" x 2.5", Forager, Robert Gordon, Stoneware, Beautiful, naturalist porcelain (minimum = case quantity) (STOCK ITEM)</t>
  </si>
  <si>
    <t>6163RG159</t>
  </si>
  <si>
    <t>Coffee Cup Saucer</t>
  </si>
  <si>
    <t>Saucer, 5.5"Forager, Robert Gordon, Round, Stoneware, Beautiful, naturalist porcelain (minimum = case quantity) (STOCK ITEM)</t>
  </si>
  <si>
    <t>6163RG161</t>
  </si>
  <si>
    <t>Espresso Cup, 3.5 oz, 3.625" x 2.5" x 2.125", Forager, Robert Gordon, Stoneware, Beautiful, naturalist porcelain (minimum = case quantity) (STOCK ITEM)</t>
  </si>
  <si>
    <t>6163RG162</t>
  </si>
  <si>
    <t>Espresso Cup Saucer</t>
  </si>
  <si>
    <t>Espresso Saucer, 5.0"Forager, Robert Gordon, Round, Stoneware, Beautiful, naturalist porcelain (minimum = case quantity) (STOCK ITEM)</t>
  </si>
  <si>
    <t>6163RG167</t>
  </si>
  <si>
    <t>Creamer, 5.0 oz, 3.125" x 2.5" x 2.75", Forager, Robert Gordon, Unique, Stoneware, Beautiful, naturalist porcelain (minimum = case quantity) (STOCK ITEM)</t>
  </si>
  <si>
    <t>6163RG165</t>
  </si>
  <si>
    <t>Condiment Bowl, 5.5 oz, 3.375" x 2.0", Forager, Robert Gordon, Round, Stoneware, Beautiful, naturalist porcelain (minimum = case quantity) (STOCK ITEM)</t>
  </si>
  <si>
    <t>DV.JUPITERSG.04</t>
  </si>
  <si>
    <t>Jupiter DOF Glass, 10 oz., (.30L), sage, (0.31 each weight) (Per case= 24 each)</t>
  </si>
  <si>
    <t>Shot Glass Bar basic selection Age 2 oz</t>
  </si>
  <si>
    <t>Cevicheria | Pool Service</t>
  </si>
  <si>
    <t>7178TM701</t>
  </si>
  <si>
    <t>Plate, 6.5", Salinas, Grigio, Creations, Round, Melamine,  (minimum = case quantity) (STOCK item)</t>
  </si>
  <si>
    <t>7186TM505</t>
  </si>
  <si>
    <t>Round Plate, 6.5" x 1.25", Cali, Blue Lagoon, Creations, Round, Melamine, Contemporary, Casual, Convenient (minimum = case quantity) (STOCK item)</t>
  </si>
  <si>
    <t>7186TM502</t>
  </si>
  <si>
    <t>Round Plate, 8.25" x 0.75", Cali, Blue Lagoon, Creations, Round, Melamine, Contemporary, Casual, Convenient (minimum = case quantity) (STOCK item)</t>
  </si>
  <si>
    <t>7186TM503</t>
  </si>
  <si>
    <t>Plate 10.75"</t>
  </si>
  <si>
    <t>Round Plate, 10.75" x 0.75", Cali, Blue Lagoon, Creations, Round, Melamine, Contemporary, Casual, Convenient (minimum = case quantity) (STOCK item)</t>
  </si>
  <si>
    <t>7178TM705</t>
  </si>
  <si>
    <t>Bowl 5"</t>
  </si>
  <si>
    <t>Bowl, 4.25 oz, 5.375" x 2.0", Salinas, Grigio, Creations, Round, Melamine,  (minimum = case quantity, 6 each per case) (STOCK item)</t>
  </si>
  <si>
    <t>7178TM704</t>
  </si>
  <si>
    <t>Bowl 7"</t>
  </si>
  <si>
    <t>Bowl, 30.25 oz, 7.0" x 2.625", Salinas, Grigio, Creations, Round, Melamine,  (minimum = case quantity) (STOCK item)</t>
  </si>
  <si>
    <t>7186TM517</t>
  </si>
  <si>
    <t>Round Bowl, 16.5 oz, 7.0" x 2.0", Cali, Blue Lagoon, Creations, Round, Melamine, Contemporary, Casual, Convenient (minimum = case quantity) (STOCK item)</t>
  </si>
  <si>
    <t>7178TM706</t>
  </si>
  <si>
    <t>Bowl 9.5"</t>
  </si>
  <si>
    <t>Bowl, 1.5 qt, 9.5" x 2.0", Salinas, Grigio, Creations, Round, Melamine,  (minimum = case quantity, 6 each per case) (STOCK item)</t>
  </si>
  <si>
    <t>7186TM516</t>
  </si>
  <si>
    <t>Bowl, 9.5 oz, 5.0" x 1.875", Cali, Blue Lagoon, Creations, Round, Melamine, Contemporary, Casual, Convenient (minimum = case quantity) (STOCK item)</t>
  </si>
  <si>
    <t>7186TM511</t>
  </si>
  <si>
    <t>Ramekin</t>
  </si>
  <si>
    <t>Round Dish, 2.0 oz, 2.875" x 1.25", Cali, Blue Lagoon, Creations, Round, Melamine, Contemporary, Casual, Convenient (minimum = case quantity) (STOCK item)</t>
  </si>
  <si>
    <t>N206143</t>
  </si>
  <si>
    <t>Design+Contemporary Goblet 14oz, 7"H</t>
  </si>
  <si>
    <t>Charola de Servicio 35 x 45 x 6 cm - Pearl Marble</t>
  </si>
  <si>
    <t>PS.ORB.SG.04</t>
  </si>
  <si>
    <t>Orbetto - Acrylic - Sage DOF - 10.5oz 3.5x3"</t>
  </si>
  <si>
    <t>Hospitality Brands</t>
  </si>
  <si>
    <t>HUS088-012</t>
  </si>
  <si>
    <t>Wine Glass</t>
  </si>
  <si>
    <t>Bold Drinkware™ - Oasis Burgundy Glass, 11 oz., unbreakable, polycarbonate, dishwasher safe, crystal sapphire (12 each per case)</t>
  </si>
  <si>
    <t>HUF107-012</t>
  </si>
  <si>
    <t>Bold Drinkware™ - Oasis Stemless Champagne Glass, 6 oz., unbreakable, polycarbonate, dishwasher safe, crystal sapphire (12 each per case)</t>
  </si>
  <si>
    <t>HU5024-012</t>
  </si>
  <si>
    <t>Bold Drinkware™ - Maldives Martini, 8.75oz., unbreakable, polycarbonate, dishwasher safe, crystal sapphire (12 each per case)</t>
  </si>
  <si>
    <t>HUS057-012</t>
  </si>
  <si>
    <t>Hurricane</t>
  </si>
  <si>
    <t>Bold Drinkware™ - Calypso Hurricane Glass, 11 oz., unbreakable, polycarbonate, dishwasher safe, crystal sapphire (12 each per case)</t>
  </si>
  <si>
    <t>HUS0277-012</t>
  </si>
  <si>
    <t>High Ball</t>
  </si>
  <si>
    <t>Bold Drinkware™ - Hyde Hi-Ball Tumbler, 14 oz., unbreakable, polycarbonate, dishwasher safe, crystal sapphire ( 12 each per case)</t>
  </si>
  <si>
    <t>HUS0276-012</t>
  </si>
  <si>
    <t>Bold Drinkware™ - Hyde Old Fashioned Tumbler, 11 oz., unbreakable, polycarbonate, dishwasher safe, crystal sapphire (12 each per case)</t>
  </si>
  <si>
    <t>HUS069-012</t>
  </si>
  <si>
    <t>Bold Drinkware™ - Calypso Craft Beer Glass, 13 oz., unbreakable, polycarbonate, dishwasher safe, crystal sapphire (12 each per case)</t>
  </si>
  <si>
    <t>RS 2028-126</t>
  </si>
  <si>
    <t>Water Pitcher</t>
  </si>
  <si>
    <t>Pitcher - Jarra Cuerno 10.5x28.5cm - Moss Marble</t>
  </si>
  <si>
    <t xml:space="preserve">200669 MG                </t>
  </si>
  <si>
    <t xml:space="preserve">Giotto ice bucket 14cm materic gold </t>
  </si>
  <si>
    <t>200666F MG</t>
  </si>
  <si>
    <t xml:space="preserve">Palace wine cooler stand materic gold </t>
  </si>
  <si>
    <t>BP005904</t>
  </si>
  <si>
    <t>Benno Pink/Green Swirled Fruit Bowl - Finish: Pink/Green Swirled - Material: Resin - Fruit Bowl, Large: 13"D x 6"H</t>
  </si>
  <si>
    <t>BP005902</t>
  </si>
  <si>
    <t xml:space="preserve">BENNO, White/Amber Swirled, Fruit Bowl, Large, Resin. - Fruit Bowl, Large: 13"D x 6"H
</t>
  </si>
  <si>
    <t>Cevicheria | FOH Bar</t>
  </si>
  <si>
    <t>M37219ANG</t>
  </si>
  <si>
    <t>Barfly® Diamond Lattice Mixing Tin, 21 oz. (625 ml.), double-wall insulated, pouring spout, dishwasher safe, 18/8 stainless steel, Antique Gold plated satin finish</t>
  </si>
  <si>
    <t>Sydney 3 Jar Display-Oak</t>
  </si>
  <si>
    <t>3309-60</t>
  </si>
  <si>
    <t>Bamboo bar napkin Holder  I 5” x 5"</t>
  </si>
  <si>
    <t>Bamboo Straw Organizer, 5-1/4"W x 5-1/4"D x 5-1/2"H, (2) compartment, rustic pine</t>
  </si>
  <si>
    <t>M37005ANG</t>
  </si>
  <si>
    <t>Barfly® Japanese Style Jigger, 1 &amp; 2 oz., with internal marking lines, 18/8 stainless steel core, Antique Gold-plated finish</t>
  </si>
  <si>
    <t>M37008ANG</t>
  </si>
  <si>
    <t>Barfly® Shaker, 28 oz., 3-5/8" dia. x 7"H, capped bottom, 18/8 stainless steel core, satin finish interior, Antique Gold-plated finish exterior</t>
  </si>
  <si>
    <t>M37007ANG</t>
  </si>
  <si>
    <t>Cocktail Shaker 18 oz</t>
  </si>
  <si>
    <t>Barfly® Shaker, 18 oz., 3-1/2" dia. x 5"H, capped bottom, 18/8 stainless steel core, satin finish interior, Antique Gold-plated finish exterior</t>
  </si>
  <si>
    <t>M37026ANG</t>
  </si>
  <si>
    <t>Barfly® Spring Bar Strainer, 6" overall length, heavy duty, 2-prong, replaceable spring, hanging hole, 18/8 stainless steel core, Antique Gold-plated finish</t>
  </si>
  <si>
    <t>M37028ANG</t>
  </si>
  <si>
    <t>Barfly® Julep Strainer, 6-1/2" overall length, welded handle with hanging hole, 18/8 stainless steel core, Antique Gold-plated exterior</t>
  </si>
  <si>
    <t>M37025</t>
  </si>
  <si>
    <t>Barfly® Mesh Strainer, 3-1/2" dia. bowl, 10-3/8" overall length, fine-mesh, front rest loop, rod handle, 18/8 stainless steel</t>
  </si>
  <si>
    <t>M37012ANG</t>
  </si>
  <si>
    <t>Barfly® Classic Bar Spoon, 11-13/16" (30 cm), weighted teardrop shaped end, twisted stem, one-piece, 18/8 stainless steel core, Antique Gold-plated finish</t>
  </si>
  <si>
    <t>Y-Peeler, 4" overall length, swivel blade, high-carbon steel, black handle</t>
  </si>
  <si>
    <t>BP005972</t>
  </si>
  <si>
    <t xml:space="preserve">TIAGO, Antique Brass, Hammerhead Shark Bottle Opener, Brass, Pack/3. Size: 6"L x 2.5"W
</t>
  </si>
  <si>
    <t>In Room Dinning</t>
  </si>
  <si>
    <t>In Room Dining</t>
  </si>
  <si>
    <t>Line Salt Mill, 5"H (12 cm), beech wood and aluminum, natural</t>
  </si>
  <si>
    <t>Line Pepper Mill, 5"H (12 cm), beech wood and aluminum, carbon</t>
  </si>
  <si>
    <t>TV4</t>
  </si>
  <si>
    <t>Bread Bag</t>
  </si>
  <si>
    <t>Canvas Bag, 7-1/2" dia. x 5"H, round, 3-layer, cream inside/gray outside</t>
  </si>
  <si>
    <t>(112726) Butter Dish, (SHIPS FROM FRANCE), 3-1/2" dia. x 3/4"H (base dimensions only), round, with glass dome, stackable, shockproof, thermal shock resistant (-148°F to + 176°F), food safe, non-porous, dishwasher safe, Nacryl® resin, white, Mealplak (10 year warranty against UV, when used with translucent side up, contact factory for details) Made in France (US stocked item)</t>
  </si>
  <si>
    <t>ZIEHER</t>
  </si>
  <si>
    <t>Jam Presentation</t>
  </si>
  <si>
    <t>tray 4-hole - clear glass - 23.5x6.2x3cm - 6pcs (6 per case). clear glass, 4 deepenings (Ø 4.6 cm), for inserts and portion jam up to Ø 4.4 cm (e.g. Darbo portion jam, 28 g
and 40 g)</t>
  </si>
  <si>
    <t>LSA</t>
  </si>
  <si>
    <t>FW01</t>
  </si>
  <si>
    <t>Bud Vase</t>
  </si>
  <si>
    <t>Flower - Spring Vase Clear H11cm/H4.25in</t>
  </si>
  <si>
    <t>Appetizer Spoon</t>
  </si>
  <si>
    <t>Coffee/Tea Spoon</t>
  </si>
  <si>
    <t>Rak</t>
  </si>
  <si>
    <t>BCSPCP15</t>
  </si>
  <si>
    <t>B&amp;B 6"</t>
  </si>
  <si>
    <t>Spectra Coupe Plate, 5.9", bone china (24 each per case)</t>
  </si>
  <si>
    <t>BCSPCP21</t>
  </si>
  <si>
    <t>Coupe Plate, 8"</t>
  </si>
  <si>
    <t>Spectra Coupe Plate, 8.25", bone china (12 each per case)</t>
  </si>
  <si>
    <t>BCSPDC23</t>
  </si>
  <si>
    <t>Coupe Deep Plate, 9"</t>
  </si>
  <si>
    <t>Spectra Coupe Deep Plate, 9.05", bone china (12 each per case)</t>
  </si>
  <si>
    <t>BCFRCP27</t>
  </si>
  <si>
    <t>Coupe Plate 10.5"</t>
  </si>
  <si>
    <t>Fedra Coupe Plate, 10.63", bone china (12 each per case)</t>
  </si>
  <si>
    <t>BCFRFP29</t>
  </si>
  <si>
    <t>Flat Plate 11"</t>
  </si>
  <si>
    <t>Fedra Round flat plates with rim Ø 29 cm / Ø 11 1/2” 12</t>
  </si>
  <si>
    <t>BCBVCL16</t>
  </si>
  <si>
    <t>Cover for Gourmet Deep Plates</t>
  </si>
  <si>
    <t>Bravura Ø 16.5 cm - Ht. 9 cm. Ø 6 1/2” - Ht. 3 1/2”. 4</t>
  </si>
  <si>
    <t>BCBVGD29</t>
  </si>
  <si>
    <t>Gourmet Deep Plate 11"</t>
  </si>
  <si>
    <t>Bravura Ø 29 cm - 31 cl. Ø 11 1/2” - 10 1/2 oz. 6</t>
  </si>
  <si>
    <t>BCBVCB50</t>
  </si>
  <si>
    <t xml:space="preserve">Cereal Bowl </t>
  </si>
  <si>
    <t>Bravura Low Cereal Bowl Ø 15 cm - 50 cl Ø 6” - 16 5/6 oz 12</t>
  </si>
  <si>
    <t>BCBVFBW10</t>
  </si>
  <si>
    <t>Bowl 4"</t>
  </si>
  <si>
    <t>Bravura Bowl, Ø 10 cm - 20 cl. Ø 4” - 6 3/4 oz (12 per case)</t>
  </si>
  <si>
    <t>BCFRBW50</t>
  </si>
  <si>
    <t>Bowl 17oz - Ø 5 1/5”</t>
  </si>
  <si>
    <t>Fedra Bowl, 16.9 oz., bone china (12 each per case)</t>
  </si>
  <si>
    <t>BCBVJG35</t>
  </si>
  <si>
    <t>Sauce Pourer</t>
  </si>
  <si>
    <t>Bravura Jug
Ht. 16.5 cm - 36 cl
Ht. 6 1/2” - 12 2/7 oz 6</t>
  </si>
  <si>
    <t>BCFRCS37M</t>
  </si>
  <si>
    <t>Soup Cup without Handle</t>
  </si>
  <si>
    <t>Fedra Cream Soup Bowl, 12.5 oz., with no handles, bone china (12 each per case)</t>
  </si>
  <si>
    <t>BCFRSA18</t>
  </si>
  <si>
    <t>Soup Cup Saucer</t>
  </si>
  <si>
    <t>Fedra Saucer, 7.08", bone china (12 each per case)</t>
  </si>
  <si>
    <t>BCFRSC28</t>
  </si>
  <si>
    <t>Stackable Coffee Cup</t>
  </si>
  <si>
    <t>Fedra Stackable Coffee Cup, Ht. 6 cm - 29 cl Ht. 2 2/5” - 9 4/5 oz 12</t>
  </si>
  <si>
    <t>BCFRSA17</t>
  </si>
  <si>
    <t>Fedra Saucer, Ø 17.5 cm / Ø 6 4/5”, bone china (12 each per case)</t>
  </si>
  <si>
    <t>BCFRSC09</t>
  </si>
  <si>
    <t>Stackable Expresso Cup</t>
  </si>
  <si>
    <t>Fedra Expresso Cup, Ht. 2 1/6” - 3 3/8 oz., bone china (12 each per case)</t>
  </si>
  <si>
    <t>BCFRSA13</t>
  </si>
  <si>
    <t>Fedra Saucer,Ø 13 cm / Ø 5 1/8”, bone china (12 each per case)</t>
  </si>
  <si>
    <t>BCFRBR01</t>
  </si>
  <si>
    <t>Fedra Butter Ramekin, bone china (12 each per case)</t>
  </si>
  <si>
    <t>BCFRCR15</t>
  </si>
  <si>
    <t>Fedra Ceamer Ht. 8.5 cm - 21 cl Ht. 3 1/3” - 7 oz</t>
  </si>
  <si>
    <t>BCFRSH01</t>
  </si>
  <si>
    <t>Sugar Holder</t>
  </si>
  <si>
    <t>Fedra Sugar Pack Holder, bone china (12 each per case)</t>
  </si>
  <si>
    <t>RAK</t>
  </si>
  <si>
    <t>Crome Custom</t>
  </si>
  <si>
    <t>Plate Covers</t>
  </si>
  <si>
    <t>For Gourmet Plate Large Well
D 11 1/4" and  Bowl 11"</t>
  </si>
  <si>
    <t>7401MM120</t>
  </si>
  <si>
    <t>Soup Thermos .7 L White</t>
  </si>
  <si>
    <t>Server Vacuum Insulated Stainless Liner w/ Wood Handle White (0.7 L)</t>
  </si>
  <si>
    <t>7401MM121</t>
  </si>
  <si>
    <t>Thermos 1 L White</t>
  </si>
  <si>
    <t>Server Vacuum Insulated Stainless Liner w/ Wood Handle White (1 L)</t>
  </si>
  <si>
    <t>7401MM123</t>
  </si>
  <si>
    <t xml:space="preserve">Thermos 1 L Champagne </t>
  </si>
  <si>
    <t>Server Vacuum Insulated Stainless Liner w/ Wood Handle Champagne (1 L)</t>
  </si>
  <si>
    <t>12635/01</t>
  </si>
  <si>
    <t>Double Old Fashioned Glass, 12.25 oz., pure and transparent, durable, break resistant, heat treated, machine-blown SPARKX® lead-free crystal glass, Top Class by Luigi Bormioli (Core collection)</t>
  </si>
  <si>
    <t>AP Wine Glass 13oz</t>
  </si>
  <si>
    <t>3460015-6</t>
  </si>
  <si>
    <t>Kyoto Old Fashioned Tumbler 14 ½ oz - Set of six. - 433 ml | 14 ½ oz
H 94 mm | 3 ¾"
Ø 80 mm | 3"</t>
  </si>
  <si>
    <t>3460012-6</t>
  </si>
  <si>
    <t>High Ball Glass</t>
  </si>
  <si>
    <t>Kyoto Longdrink 15 ½ oz - Set of six. - 463ml | 15 ½ oz
H 165 mm | 6 ½"
Ø 62 mm | 2 ½"</t>
  </si>
  <si>
    <t>SET_LT_WN002</t>
  </si>
  <si>
    <t>Tray and Stand</t>
  </si>
  <si>
    <t>Walnut Folding Tray Table / Folding Tray Table (Tall - Locking): L:600 × W:400 × H:749 mm (L:23.6 ×W: 15.7 × H:29.5 in)</t>
  </si>
  <si>
    <t>Chilewich</t>
  </si>
  <si>
    <t>Tray Liner</t>
  </si>
  <si>
    <t>Custom for Craster Tray and color to be selected dependign on interior design</t>
  </si>
  <si>
    <t>Ramler</t>
  </si>
  <si>
    <t>RST-01</t>
  </si>
  <si>
    <t>Room Table Trollys</t>
  </si>
  <si>
    <t>Room Service Table / Trolley - 5 Fold Room Service Trolley - Accommodates two Food Warmers - Wilsonart timbergrain laminated top - Black PVC edging - Pewter powdercoated frame - Heavy duty wheels (2 lockable) - A. Fully-folded:
12” W x 36” D x 36” H
305 W x 915 D x 915 H (mm)
B. Wings-down:
27” W x 36” D x 30¾” H
685 W x 915 D x 782 (mm)
C. Deployed:
41¾” W x 36” D x 30¾” H
1062 W x 915 D x 782 (mm)</t>
  </si>
  <si>
    <t>IHB-01</t>
  </si>
  <si>
    <t>Hotboxes</t>
  </si>
  <si>
    <t>Food Warmer / Hot Box - Black stainless steel - Double walled for insulation - Removable shelves - Digital thermostat controller - Power Consumption: 120/240V, 300W - Power Surge Protection - Preset Temperature: 165°F / 73°C - (Not including handles): 161/8” W x 15½” D x 18” H 410 W x 395 D x 460 H (mm)</t>
  </si>
  <si>
    <t>PRT-01</t>
  </si>
  <si>
    <t>Storage Racks</t>
  </si>
  <si>
    <t>Powered Food Warmer Rack with storage space for six trolleys - Black powdercoated steel frame - 6 socket power outlet - Power Surge Protection - 4 Heavy duty wheels with brake - Deploys 6 Hot Boxes and 6 trolleys
DIMENSIONS
83 7/8” W x 22” D x 75 3/4” H
2130 W x 560 D x 1925 H (mm)</t>
  </si>
  <si>
    <t>GT Linens</t>
  </si>
  <si>
    <t>In Room Dining | Linen</t>
  </si>
  <si>
    <t>Off White Napkins</t>
  </si>
  <si>
    <t>Cotton - Patern Mini Natte Off White</t>
  </si>
  <si>
    <t>Damper for Ramler room service table troley</t>
  </si>
  <si>
    <t>Underlay</t>
  </si>
  <si>
    <t>TBD depending on final ID</t>
  </si>
  <si>
    <t>Overlay</t>
  </si>
  <si>
    <t>FWE</t>
  </si>
  <si>
    <t>Abastohotel</t>
  </si>
  <si>
    <t>UHRS-10</t>
  </si>
  <si>
    <t>Hot and Cold transport trolley</t>
  </si>
  <si>
    <t>Heated &amp; Refrigerated Cabinet, mobile, (10) 18" x 26" or (20) 12" x 20" pan capacity, 4-1/2" OC, adjustable to 1-1/2" increments, Dual-temp electronic controls, top mounted forced air heating system, adjustable thermostat, ­90°F to 190°F (heated) &amp; 33°F to 38°F (refrigerated) temperature range, bottom mounted compressor, insulated, (1) flush mounted door, wrap around bumper, stainless steel construction, polyurethane casters (2) rigid &amp; (2) swivel with brakes, 1/4 HP, UL, cUL, UL EPH Classified, DOE 17 - 110 VOLTS</t>
  </si>
  <si>
    <t>Coffee Shop</t>
  </si>
  <si>
    <t>Rosenthal</t>
  </si>
  <si>
    <t>Service OS&amp;E</t>
  </si>
  <si>
    <t>14628-426370-26012</t>
  </si>
  <si>
    <t>Node Stripes Mango - Vase, 2 3/4 inch</t>
  </si>
  <si>
    <t>97283 ALUMINUM</t>
  </si>
  <si>
    <t>Modena Small Sand - 3.1" D x 6.3" H - 1 watt</t>
  </si>
  <si>
    <t>01402</t>
  </si>
  <si>
    <t>Jackie - Color: ECRU - 50% Cotton – 35% Linen – 15% Polyester
527 JACKIE</t>
  </si>
  <si>
    <t>Artisan Neuvell</t>
  </si>
  <si>
    <t>SN-SWO-271118-WBW61</t>
  </si>
  <si>
    <t>Bread Presentation 1</t>
  </si>
  <si>
    <t xml:space="preserve">(Proepta) -  Bowl 15 cm Madera Acacia </t>
  </si>
  <si>
    <t xml:space="preserve"> SN-SWO-250618-RBW50</t>
  </si>
  <si>
    <t>Bread Presentation 2</t>
  </si>
  <si>
    <t>(Proepta) - Bowl 19 cm Madera Acacia</t>
  </si>
  <si>
    <t xml:space="preserve">Abert </t>
  </si>
  <si>
    <t>IXC007S</t>
  </si>
  <si>
    <t>Rattan Coaster</t>
  </si>
  <si>
    <t>Cup holder Set - (4 pcs) - 3.9” D</t>
  </si>
  <si>
    <t>HPTZ15-ORI</t>
  </si>
  <si>
    <t>Plate 6"</t>
  </si>
  <si>
    <t xml:space="preserve">Plato Postre - Diameter: 16cm - 6" - Color: Orizaba
</t>
  </si>
  <si>
    <t>HPT22-ORI</t>
  </si>
  <si>
    <t>Plate  8.5"</t>
  </si>
  <si>
    <t>Plato Pastel - Diameter: 22cm, 8.5" - Color: Orizaba</t>
  </si>
  <si>
    <t>HBW15-ORI</t>
  </si>
  <si>
    <t>Mini Bowl, 6"</t>
  </si>
  <si>
    <t>Bowl Mini - Diameter: 15cm - 5.9" - Color: Orizaba</t>
  </si>
  <si>
    <t>HBW18-ORIÇ</t>
  </si>
  <si>
    <t>Bowl , 7"</t>
  </si>
  <si>
    <t>Bowl - Diameter: 18cm - 7" - Color: Orizaba</t>
  </si>
  <si>
    <t>HPT29-ORI</t>
  </si>
  <si>
    <t>Plate 11"</t>
  </si>
  <si>
    <t>Plato Trinche - Diameter: 29cm / 11" - Color: Orizaba</t>
  </si>
  <si>
    <t xml:space="preserve">Wood Plate </t>
  </si>
  <si>
    <t xml:space="preserve"> Tilt Oak Straight Platter: L: 218 × 218 × 28 mm (L: 8.6 x W: 8.6 x H: 1.1 in)</t>
  </si>
  <si>
    <t>HTET-NAT</t>
  </si>
  <si>
    <t xml:space="preserve">Tea Pot </t>
  </si>
  <si>
    <t>20-24 OZ</t>
  </si>
  <si>
    <t>Coffee Thermos - White</t>
  </si>
  <si>
    <t xml:space="preserve">Server Vacuum Insulated Stainless Liner w/ Wood Handle White (1 L)
</t>
  </si>
  <si>
    <t>7401MM119</t>
  </si>
  <si>
    <t>Coffee Thermos - Grey</t>
  </si>
  <si>
    <t xml:space="preserve">Server Vacuum Insulated Stainless Liner w/ Wood Handle Grey (1 L)
</t>
  </si>
  <si>
    <t>Sugar Bowl - Diameter: 10 cm Height: 6 cm</t>
  </si>
  <si>
    <t>CHOCH-ORI</t>
  </si>
  <si>
    <t>Creamer and Sugar Tray</t>
  </si>
  <si>
    <t>Mini Oval Plate - Charola Chica 17 cm</t>
  </si>
  <si>
    <t>Unno</t>
  </si>
  <si>
    <t>UN-BG14500</t>
  </si>
  <si>
    <t>Coffee Cup 14 oz</t>
  </si>
  <si>
    <t>Double Walled Coffee Cup 14 oz</t>
  </si>
  <si>
    <t>UN-BG18244</t>
  </si>
  <si>
    <t>Coffee Cup 12oz</t>
  </si>
  <si>
    <t>(Proepta) - Taza Café Doble Pared - 12 1/2 oz</t>
  </si>
  <si>
    <t>BU_LH004</t>
  </si>
  <si>
    <t>Label Holder</t>
  </si>
  <si>
    <t>Flow Stainless Steel Label Holder - 0.01 x 0.01 x 0.01 - Features: Compatibile with all Flow trays - Stock Tier: Gold</t>
  </si>
  <si>
    <t>BO_BBOL</t>
  </si>
  <si>
    <t>Large Patisserie Riser</t>
  </si>
  <si>
    <t>Large Oak Patisserie Riser - 8.27 x 8.27 x 7.09 - Stock Tier: Gold</t>
  </si>
  <si>
    <t>BO_BBOM</t>
  </si>
  <si>
    <t>Medium Patisserie Riser</t>
  </si>
  <si>
    <t>Medium Oak Patisserie Riser - 8.27 x 8.86 x 5.51 - Stock Tier: Gold</t>
  </si>
  <si>
    <t>BO_BBORL</t>
  </si>
  <si>
    <t>Long Patisserie Riser</t>
  </si>
  <si>
    <t>Long Oak Patisserie Riser - 8.23 x 15.63 x 3.15 - Stock Tier: Gold</t>
  </si>
  <si>
    <t>BO_BBOS</t>
  </si>
  <si>
    <t>Small Patisserie Riser</t>
  </si>
  <si>
    <t>Small Oak Patisserie Riser - 8.27 x 8.27 x 3.94 - Stock Tier: Gold</t>
  </si>
  <si>
    <t>BO_BB003</t>
  </si>
  <si>
    <t>Mid Patisserie Grand</t>
  </si>
  <si>
    <t>Mid Long Oak Patisserie Grand - 12.8 x 20.87 x 3.15 - Stock Tier: Silver</t>
  </si>
  <si>
    <t>BO_BB005</t>
  </si>
  <si>
    <t>Tall Patisserie Grand</t>
  </si>
  <si>
    <t>Tall Long Oak Patisserie Grand - 12.99 x 20.87 x 4.53 - Stock Tier: Silver</t>
  </si>
  <si>
    <t>BO_BB001</t>
  </si>
  <si>
    <t>Low Patisserie Grand</t>
  </si>
  <si>
    <t>Low Long Oak Patisserie Grand - 12.8 x 20.87 x 1.57 - Stock Tier: Silver</t>
  </si>
  <si>
    <t>BU_CS007</t>
  </si>
  <si>
    <t>Large Cake Stand</t>
  </si>
  <si>
    <t>Large Oak Cake Stand - 12.6 x 12.6 x 8.27 - Stock Tier: Gold</t>
  </si>
  <si>
    <t>Glass Cloche for Medium and Large</t>
  </si>
  <si>
    <t>Small Oak Cake Stand - 6.18 x 6.18 x 3.15 - Stock Tier: Gold</t>
  </si>
  <si>
    <t>Cloche for Small Cake Stand</t>
  </si>
  <si>
    <t>BO_316_B</t>
  </si>
  <si>
    <t>Serving Board Small</t>
  </si>
  <si>
    <t>Small Walnut Canape Plinth - 6.1 x 12.2 x 1.18 - Stock Tier: Gold</t>
  </si>
  <si>
    <t>BO_316_C</t>
  </si>
  <si>
    <t>Serving Board Medium</t>
  </si>
  <si>
    <t>Medium Walnut Canapé Plinth
Mat Walnut, Oiled
Dim 300 × 300 × 30 mm
11.8 × 11.8 × 1.1 in</t>
  </si>
  <si>
    <t>305 05 91 820 21</t>
  </si>
  <si>
    <t>Pastry Tongs</t>
  </si>
  <si>
    <t>21 CM Pastry tong</t>
  </si>
  <si>
    <t>HDRP</t>
  </si>
  <si>
    <t>Coffee Drip</t>
  </si>
  <si>
    <t>Drippera para cafe 18 pz Orizaba</t>
  </si>
  <si>
    <t>CYS Excel</t>
  </si>
  <si>
    <t>GAJ109</t>
  </si>
  <si>
    <t>Apothecary Jar</t>
  </si>
  <si>
    <t>Glass Candy Buffet Apothecary Jar, H-15" D-7" (Wholesale 4 PCS/Case)</t>
  </si>
  <si>
    <t>GAJ111</t>
  </si>
  <si>
    <t xml:space="preserve">
Glass Candy Buffet Apothecary Jar, H:9.5" D-4.75" (Wholesale 12 PCS/Case)</t>
  </si>
  <si>
    <t>GAJ108/13</t>
  </si>
  <si>
    <t xml:space="preserve">
Glass Candy Buffet Apothecary Jar, H-13" D-5" (Wholesale 2 PCS/Case)</t>
  </si>
  <si>
    <t>Beach Bar</t>
  </si>
  <si>
    <t>CasaRovea</t>
  </si>
  <si>
    <t>1-E8-527-01401</t>
  </si>
  <si>
    <t>Jackie - Color: Argento - 50% Cotton – 35% Linen – 15% Polyester
527 JACKIE - SIZE 50 x50 cm"</t>
  </si>
  <si>
    <t>RL-7101-P-NB</t>
  </si>
  <si>
    <t>Pimentero
Marmolina
5 x 3 cm</t>
  </si>
  <si>
    <t>RL-7101-S-NB</t>
  </si>
  <si>
    <t>Salero
Marmolina
5 x 3 cm</t>
  </si>
  <si>
    <t>7178TM702</t>
  </si>
  <si>
    <t>Plate 9"</t>
  </si>
  <si>
    <t>Plate, 9.0", Salinas, Grigio, Creations, Round, Melamine,  (minimum = case quantity) (STOCK item)</t>
  </si>
  <si>
    <t>7178TM708</t>
  </si>
  <si>
    <t>Coupe Plate 11.5"</t>
  </si>
  <si>
    <t>Coupe Plate, 11.5", Salinas, Grigio, Creations, Round, Melamine,  (minimum = case quantity, 6 each per case) (STOCK item)</t>
  </si>
  <si>
    <t>7178TM703</t>
  </si>
  <si>
    <t>Bowl 4.75"</t>
  </si>
  <si>
    <t>Bowl, 5.25 oz, 4.75" x 1.0", Salinas, Grigio, Creations, Round, Melamine,  (minimum = case quantity) (STOCK item)</t>
  </si>
  <si>
    <t>rs 2202-131</t>
  </si>
  <si>
    <t>Bowl 1</t>
  </si>
  <si>
    <t>Stone Bowl 15.25 x 7.6cm Fired Clay</t>
  </si>
  <si>
    <t>rs 2202-025</t>
  </si>
  <si>
    <t>Bowl 2</t>
  </si>
  <si>
    <t>Stone Bowl 15.25 x 7.6cm Alabastro Blanco</t>
  </si>
  <si>
    <t>Specialty - Footed Bowl s</t>
  </si>
  <si>
    <t>Pre-Hispanic Bocha 18 cm Blueberry Marble</t>
  </si>
  <si>
    <t>Specialty - Footed Bowl m</t>
  </si>
  <si>
    <t>Pre-Hispanic Bocha 20 cm fired clay</t>
  </si>
  <si>
    <t>Specialty - Tray</t>
  </si>
  <si>
    <t>Bandeja Pan y Manzana Alabastro Blanco 19 x 6 x 2.4 in</t>
  </si>
  <si>
    <t>rs 0035-131</t>
  </si>
  <si>
    <t>Specialty - Bar snack</t>
  </si>
  <si>
    <t>Botanero Gota Doble y Sencillo Fired Clay</t>
  </si>
  <si>
    <t>RL-7116-NB (No lid)</t>
  </si>
  <si>
    <t>Tortillero sin tapa</t>
  </si>
  <si>
    <t>Tortillero Sin/Tapa Marmolina 18 x 5 cm</t>
  </si>
  <si>
    <t>RL-7110-MD</t>
  </si>
  <si>
    <t>Cuchara madera</t>
  </si>
  <si>
    <t>Cuchara Chica
P/Salsa
3 x 9 cm</t>
  </si>
  <si>
    <t>RL-3203-NG</t>
  </si>
  <si>
    <t>Specialty - Ramekin</t>
  </si>
  <si>
    <t>Ramekin 2 Oz (59ml) 6x3.5cm Marmolina Negro</t>
  </si>
  <si>
    <t>RL-7109-NB</t>
  </si>
  <si>
    <t>Ramekin con Pico 8x3.5 cm</t>
  </si>
  <si>
    <t>RL-7122-NB</t>
  </si>
  <si>
    <t>Specialty - Molcajete Mediano</t>
  </si>
  <si>
    <t>Molcajete Mediano 12 Cm Diametro X 6 Cm Altura Marmolina Negro/Blanco Mexicana</t>
  </si>
  <si>
    <t>HUS089AM-012</t>
  </si>
  <si>
    <t>Bold Drinkware™ - Oasis Amber Tumbler Glass, 13 oz., unbreakable, polycarbonate, dishwasher safe, amber (12 each per case)</t>
  </si>
  <si>
    <t>HU1022-012</t>
  </si>
  <si>
    <t>Bold Drinkware™ - Charisma Coupe, 7 oz., unbreakable, polycarbonate, dishwasher safe, crystal sapphire (12 each per case)</t>
  </si>
  <si>
    <t>HUS380-012</t>
  </si>
  <si>
    <t>Bold Drinkware™ - Maldives Wine / Cocktail, 13oz., unbreakable, polycarbonate, dishwasher safe, crystal sapphire (12 each per case)</t>
  </si>
  <si>
    <t>HUS360-012</t>
  </si>
  <si>
    <t>Bold Drinkware™ - Hyde Shot, 2 oz., unbreakable, polycarbonate, dishwasher safe, crystal sapphire (12 each per case)</t>
  </si>
  <si>
    <t>HUS8037-012</t>
  </si>
  <si>
    <t>Specialty Cocktail 1</t>
  </si>
  <si>
    <t>Bold Drinkware™ - Bimini Stack Hi-Ball Glass, 12.75 oz., unbreakable, polycarbonate, dishwasher safe, crystal sapphire (12 each per case)</t>
  </si>
  <si>
    <t>HUF273-012</t>
  </si>
  <si>
    <t>Specialty Cocktail 2</t>
  </si>
  <si>
    <t>Bold Drinkware™ - Bora Bora Tiki, 11.25 oz., 3" dia. x 6.5"H, unbreakable, polycarbonate, dishwasher safe, crystal sapphire (12 each per case)</t>
  </si>
  <si>
    <t>Polarbox</t>
  </si>
  <si>
    <t>Cooler Box  - 13 QTS</t>
  </si>
  <si>
    <t>Yellow - Rainbow - 13 QTS - Capacity 15 cans. - 13 Qts: Ext. size 15,47″ x 10,2″ x h9,57″. Capacity 15 cans. Weight 2,20 Lb.</t>
  </si>
  <si>
    <t>N562603</t>
  </si>
  <si>
    <t>Ice Bucket</t>
  </si>
  <si>
    <t>Strahl® Design Ice Bucket, 2-1/2 qt. 9" x 6-5/8", shatter proof, hand finished, polycarbonate, clear (minimum = case quantity) (stock item) (3 per pack)</t>
  </si>
  <si>
    <t>TRPN1412RIBSVG</t>
  </si>
  <si>
    <t>Beverage tray</t>
  </si>
  <si>
    <t>12-Sided Non-Slip Removable Insert Trays 14" Vintage Gold</t>
  </si>
  <si>
    <t>41491G04</t>
  </si>
  <si>
    <t xml:space="preserve">Stirrers </t>
  </si>
  <si>
    <t>Drinks stirrers seahorse - 20,5 cm / SS Gold
Set of 4 Paderno stirrers, perfect for any Mixology-lover.</t>
  </si>
  <si>
    <t>41491C06</t>
  </si>
  <si>
    <t>Stirrers</t>
  </si>
  <si>
    <t>Drinks stirrers Octopus- Stainless Steel - Look Mirror Copper - Product Size 18.5 cm</t>
  </si>
  <si>
    <t>Fruit Stand Small</t>
  </si>
  <si>
    <t>Mendocino Small Footed Bowl - 5"Dx4"H</t>
  </si>
  <si>
    <t>1222 WOOD</t>
  </si>
  <si>
    <t>Fruit Stand Large</t>
  </si>
  <si>
    <t>Mendocino Large Footed Bowl - 11"Dx5.25"H</t>
  </si>
  <si>
    <t>Beach Bar | FOH Bar</t>
  </si>
  <si>
    <t>Aspen Stir Stick Organizer I 5.25” W x 5.25” D x 5.5” H</t>
  </si>
  <si>
    <t>BP003733</t>
  </si>
  <si>
    <t>GIO, Sealife Bottle Openers, Antique Brass, Set of 3 - Bottle Openers: 4"L x 2"W x 1"H, 5"L x 3"W x 1"H, 6"L x 2.5"W x 1"H</t>
  </si>
  <si>
    <t>Pool &amp; Beach</t>
  </si>
  <si>
    <t>Main Pool and Beach</t>
  </si>
  <si>
    <t>HUS045-012</t>
  </si>
  <si>
    <t>Bold Drinkware™ - Revel Wine Glass, 13 oz., unbreakable, dishwasher safe, Bold Polycarbonate drinkware, clear (12 each per case)</t>
  </si>
  <si>
    <t>HUS049-012</t>
  </si>
  <si>
    <t>Bold Drinkware™ - Revel Champagne Glass, 5.5 oz., unbreakable, polycarbonate, dishwasher safe, crystal sapphire (12 each per case)</t>
  </si>
  <si>
    <t>HUF090-003</t>
  </si>
  <si>
    <t>Bold Drinkware™ - Paradise Pitcher, 53 oz., unbreakable, polycarbonate, dishwasher safe, crystal sapphire (3 each per case)</t>
  </si>
  <si>
    <t>Dalebrook</t>
  </si>
  <si>
    <t>TSG4654BL</t>
  </si>
  <si>
    <t>Mayfair Small Dish - 131 dia x 63 mm - Blue</t>
  </si>
  <si>
    <t>TSG4656BL</t>
  </si>
  <si>
    <t>Mayfair Medium Dish - 201 dia x 63 mm - Blue</t>
  </si>
  <si>
    <t>TSG4655BL</t>
  </si>
  <si>
    <t>Mayfer Large Dish - 272 dia x 65 mm - Blue</t>
  </si>
  <si>
    <t>TSG4651BL</t>
  </si>
  <si>
    <t>Mayfair Small Plate - 139 dia. x 23 mm - Blue</t>
  </si>
  <si>
    <t>TSG4652BL</t>
  </si>
  <si>
    <t>Mayfair Medium Plate - 209 dia x 23 mm - Blue</t>
  </si>
  <si>
    <t>TSG4653BL</t>
  </si>
  <si>
    <t>Mayfair Large Plate - 278 dia x 22 mm - Blue</t>
  </si>
  <si>
    <t>TSG4654Y</t>
  </si>
  <si>
    <t>Mayfair Small Dish - 131 dia x 63 mm - Yellow</t>
  </si>
  <si>
    <t>TSG4656Y</t>
  </si>
  <si>
    <t>Mayfair Medium Dish - 201 dia x 63 mm - Yellow</t>
  </si>
  <si>
    <t>TSG4655Y</t>
  </si>
  <si>
    <t>Mayfer Large Dish - 272 dia x 65 mm - Yellow</t>
  </si>
  <si>
    <t>TSG4651Y</t>
  </si>
  <si>
    <t>Mayfair Small Plate - 139 dia. x 23 mm - Yellow</t>
  </si>
  <si>
    <t>TSG4652Y</t>
  </si>
  <si>
    <t>Mayfair Medium Plate - 209 dia x 23 mm - Yellow</t>
  </si>
  <si>
    <t>TSG4653Y</t>
  </si>
  <si>
    <t>Mayfair Large Plate - 278 dia x 22 mm - Yellow</t>
  </si>
  <si>
    <t>Tea spoon Matisse Vintage</t>
  </si>
  <si>
    <t>Moka / Demitasse spoon Matisse Vintage</t>
  </si>
  <si>
    <t>Jackie - Color: Argento - 50% Cotton – 35% Linen – 15% Polyester
527 JACKIE - SIZE 50 x50 cm</t>
  </si>
  <si>
    <t>American metalcraft</t>
  </si>
  <si>
    <t>CTS31</t>
  </si>
  <si>
    <t>TRAY STAND, METAL, DELUXE, CHROME, BLACK</t>
  </si>
  <si>
    <t>Drinique</t>
  </si>
  <si>
    <t>RW-BUCKET-9-1001</t>
  </si>
  <si>
    <t>Ombre Como Collection 9 in / 23 cm - Champagne / Wine Bucket</t>
  </si>
  <si>
    <t>Charola de Servicio 35 x 45 x 6 cm - Blueberry Marble</t>
  </si>
  <si>
    <t>LOR002A</t>
  </si>
  <si>
    <t>Picnic Basket 19.6” L x 15.7” W x 12.2” H</t>
  </si>
  <si>
    <t>TLA-002SET</t>
  </si>
  <si>
    <t>Cesto Picnic con asas de piel - 42cm L x 27cm W x 22cm H</t>
  </si>
  <si>
    <t>Mexican Izakaya</t>
  </si>
  <si>
    <t>Mystic™ Lamp, 4"H x 4-1/4" dia., hand blown glass, accommodates Hollowick's HD15, HD12 &amp; HD8</t>
  </si>
  <si>
    <t>5741 GLASS</t>
  </si>
  <si>
    <t xml:space="preserve">Pina Bud Vase Amber - 2.4"D x 4"H </t>
  </si>
  <si>
    <t>1-D4-714 - 02135 BLU Custom</t>
  </si>
  <si>
    <t>Karen - Color: Blu - Custom 100% Cotton  714 KAREN - HEM: 4 Hems Mitred Corners, Hemstitching, Bias Binding (for round tablecloth) - Product 
56 x 56</t>
  </si>
  <si>
    <t>100195 - 016</t>
  </si>
  <si>
    <t>Mini Basketwave Compact Oval* 12" × 16" 30 x 41 cm, Parchment Color</t>
  </si>
  <si>
    <t>Dessert fork Dakar acacia</t>
  </si>
  <si>
    <t>Appetizer/Dessert Knife</t>
  </si>
  <si>
    <t>Dessert knife hollow h. Dakar acacia</t>
  </si>
  <si>
    <t>Dessert spoon Dakar acacia</t>
  </si>
  <si>
    <t>Tea spoon Dakar acacia</t>
  </si>
  <si>
    <t>Moka spoon Dakar acacia</t>
  </si>
  <si>
    <t>Sharing Spoon</t>
  </si>
  <si>
    <t>Table spoon Dakar acacia</t>
  </si>
  <si>
    <t>Sharing Fork</t>
  </si>
  <si>
    <t>Table fork Dakar acacia</t>
  </si>
  <si>
    <t>Table knife hollow h. Dakar acacia</t>
  </si>
  <si>
    <t>FOH</t>
  </si>
  <si>
    <t>FSP000BEP23</t>
  </si>
  <si>
    <t>Asian Spoon</t>
  </si>
  <si>
    <t>5.5" Catalyst® Asian Spoon</t>
  </si>
  <si>
    <t>BUT012BBB93</t>
  </si>
  <si>
    <t>Renge Bamboo Spoon</t>
  </si>
  <si>
    <t>6.5" Bamboo Wide Mouth Spoon
Renewable Bamboo is durable, eco-friendly, and naturally antimicrobial.</t>
  </si>
  <si>
    <t>Korin</t>
  </si>
  <si>
    <t>CHS-CC223-50</t>
  </si>
  <si>
    <t>Chopsticks</t>
  </si>
  <si>
    <t>Ironwood Chopsticks 9" (50 Pairs) (20packs/cs)</t>
  </si>
  <si>
    <t>CHR-141</t>
  </si>
  <si>
    <t>Chopstick Rest</t>
  </si>
  <si>
    <t>Chopstick Rest, 2-1/2"L x 1/2"W x 1/2"H, rectangular, wooden, brown (20/1000)</t>
  </si>
  <si>
    <t>SPT-137</t>
  </si>
  <si>
    <t>Soy Pourer</t>
  </si>
  <si>
    <t>Black Bizen Sauce Dispenser 6 oz
Size: 3"Dia. x 3.5"H - 6 oz</t>
  </si>
  <si>
    <t>SPT-134-L</t>
  </si>
  <si>
    <t>Ponzu Pourer</t>
  </si>
  <si>
    <t>Mikage White Sauce Dispenser 7 oz
SKU: 
Size: 3"Dia. x 3.5"H - 7 oz</t>
  </si>
  <si>
    <t>NR-517</t>
  </si>
  <si>
    <t>Togarashi Dispenser</t>
  </si>
  <si>
    <t xml:space="preserve">Hyotan Shichimi Pepper Dispenser
Size: 2.25"Dia. x 4"H
</t>
  </si>
  <si>
    <t>SDS-A23816B</t>
  </si>
  <si>
    <t>Soy Dish</t>
  </si>
  <si>
    <t>Korin Durable Lapis Blue Round Sauce Dish
SKU: 
Size: 3.75"Dia. x 0.75"H - 1.8 oz
$1.95</t>
  </si>
  <si>
    <t>SDS-184</t>
  </si>
  <si>
    <t>Sauce Mini Dish</t>
  </si>
  <si>
    <t>Kokugama Square Sauce Bowl 3"
SKU: 
Size: 3"L x 3"W x 1.75"H - 4 oz</t>
  </si>
  <si>
    <t>SDS-MJ118-614</t>
  </si>
  <si>
    <t>Kinkessho Bronze Round Sauce Dish
Size: 3.75"Dia. x 1.25"H - 4 oz</t>
  </si>
  <si>
    <t>SDS-MJ-01-B</t>
  </si>
  <si>
    <t>Black Moss Round Sauce Bowl 3.25"
Size: 3.25"Dia. x 1.75"H - 3 oz</t>
  </si>
  <si>
    <t>SDS-150-821</t>
  </si>
  <si>
    <t>Toruko Nanban Round Sauce Dish
Size: 3.25"Dia. x 1.25"H - 2 oz</t>
  </si>
  <si>
    <t>6417MY025</t>
  </si>
  <si>
    <t>Sharing Plate 6"</t>
  </si>
  <si>
    <t>Wabi Sabi - Sienna - Deep Coupe Plate Embossed D 6 1/4" H 1 1/4</t>
  </si>
  <si>
    <t>6413MY025</t>
  </si>
  <si>
    <t>Wabi Sabi - Slate - Deep Coupe Plate Embossed D 6 1/4" H 1 1/4"</t>
  </si>
  <si>
    <t>6410MY025</t>
  </si>
  <si>
    <t>Wabi Sabi - Wheat - Deep Coupe Plate Embossed D 6 1/4" H 1 1/4</t>
  </si>
  <si>
    <t>6414MY025</t>
  </si>
  <si>
    <t>Wabi Sabi - Indigo - Deep Coupe Plate Embossed D 6 1/4" H 1 1/4"</t>
  </si>
  <si>
    <t>6413MY033</t>
  </si>
  <si>
    <t>Coupe Plate 8"</t>
  </si>
  <si>
    <t>Wabi Sabi Coupe Plate, 8.25" Slate, Rene Ozorio, Round, porcelain  (minimum = case quantity) (STOCK item)</t>
  </si>
  <si>
    <t>6414MY033</t>
  </si>
  <si>
    <t>Wabi Sabi Coupe Plate, 8.25"Wabi Sabi, Indigo, Rene Ozorio, Round, porcelain  (minimum = case quantity) (STOCK item)</t>
  </si>
  <si>
    <t xml:space="preserve">6413MY020 </t>
  </si>
  <si>
    <t>Round Tray 11"</t>
  </si>
  <si>
    <t>Wabi Sabi Round Tray D 11 1/4"  Slate, Rene Ozorio</t>
  </si>
  <si>
    <t>6414MY032</t>
  </si>
  <si>
    <t>Rice Bowl 5"</t>
  </si>
  <si>
    <t>Wabi Sabi Rice Bowl Indigo D 5 3/4" H 3" (22 oz)</t>
  </si>
  <si>
    <t>6413MY032</t>
  </si>
  <si>
    <t>Wabi Sabi Rice Bowl Slate D 5 3/4" H 3" (22 oz)</t>
  </si>
  <si>
    <t xml:space="preserve">6413MY015 </t>
  </si>
  <si>
    <t>Coupe Rim Bowl 9"</t>
  </si>
  <si>
    <t>Wabi Sabi Coupe Rim Bowl Slate D 9 5/8" H 2 5/8" (3 3/4 oz Well) (1 5/8 qt Full)</t>
  </si>
  <si>
    <t>1534 PORCELAIN</t>
  </si>
  <si>
    <t>Specialty - Saucer</t>
  </si>
  <si>
    <t>Cava Carafe - Porcelain - 4"L x 3"W x 3.3" H - 8.8oz</t>
  </si>
  <si>
    <t>1530 PORCELAIN</t>
  </si>
  <si>
    <t>Specialty - Oval Plate</t>
  </si>
  <si>
    <t>Fondata Oval Plate - Porcelain - 12.1"L x 6.5"W x 0.6"H</t>
  </si>
  <si>
    <t>1531 PORCELAIN</t>
  </si>
  <si>
    <t>Specialty - Deep Dish Large</t>
  </si>
  <si>
    <t>Orca Dish Large - Porcelain - 4.75"D x 2.6" H</t>
  </si>
  <si>
    <t>6413MY018</t>
  </si>
  <si>
    <t>Specialty - Rectangle Tray</t>
  </si>
  <si>
    <t>Rectangle Tray, 11.25"Wabi Sabi, Slate, Rene Ozorio, Rectangle, porcelain  (minimum = case quantity, 6 each per case) (STOCK item)</t>
  </si>
  <si>
    <t>6413MY019</t>
  </si>
  <si>
    <t>Rectangle Tray, 6.25"Wabi Sabi, Slate, Rene Ozorio, Rectangle, porcelain  (minimum = case quantity) (STOCK item)</t>
  </si>
  <si>
    <t>5850JX149</t>
  </si>
  <si>
    <t>Specialty - Ice cream Cup</t>
  </si>
  <si>
    <t>Ice Cream Cup, 8.75 oz, 4.0" x 6.0", Accessories, Stainless Steel, Williamsburg, 18/10 Stainless,  (minimum = case quantity) (STOCK item)</t>
  </si>
  <si>
    <t>7223</t>
  </si>
  <si>
    <t>La Mer Bowl Blue - Porcelain - 8" W x 9"L x 2.7" H - 20oz</t>
  </si>
  <si>
    <t>7224</t>
  </si>
  <si>
    <t>Specialty - Deep Plate</t>
  </si>
  <si>
    <t>La Mer Deep Plate Blue - Porcelain - 8" D x 2.3" H - 13oz</t>
  </si>
  <si>
    <t>NR-30233</t>
  </si>
  <si>
    <t>Sushi Board</t>
  </si>
  <si>
    <t>Wooden Sushi Geta Shiraki 11.75"
SKU: 
Size: 11.75"L x 4"W x 1.25"H</t>
  </si>
  <si>
    <t>NR-32225</t>
  </si>
  <si>
    <t>Wooden Sushi Geta 12"
SKU: 
Size: 12"L x 3.5"W x 0.9"H</t>
  </si>
  <si>
    <t>NR-119-38</t>
  </si>
  <si>
    <t>Sushi Oke</t>
  </si>
  <si>
    <t>Gold &amp; Purple Sushi Oke 15" (38cm)
SKU: 
Size: Inside: 15"Dia. x 2"H Outside: 17.25"Dia. x 3"H</t>
  </si>
  <si>
    <t>NR-114-25</t>
  </si>
  <si>
    <t>Light Blue Seiryu Sushi Oke 10" (25cm)
Size: Inside: 10"Dia. x 1.75"H Outside: 12"Dia. x 2.5"H</t>
  </si>
  <si>
    <t>Rattan Coaster for Coffee and Expresso</t>
  </si>
  <si>
    <t>UN-BG11091S</t>
  </si>
  <si>
    <t>Double Walled Expresso Cup</t>
  </si>
  <si>
    <t>Unno Taza Moka Doble Pared con handle 3 oz</t>
  </si>
  <si>
    <t>Double Walled Coffee Cup</t>
  </si>
  <si>
    <t>Unno Taza Café Doble Pared - 12 1/2 oz</t>
  </si>
  <si>
    <t>Bredemeijer</t>
  </si>
  <si>
    <t>G001B</t>
  </si>
  <si>
    <t>Tea Pot 1</t>
  </si>
  <si>
    <t>Teapot Xilin 0.8L, red, 181x216x136mm</t>
  </si>
  <si>
    <t>G001R</t>
  </si>
  <si>
    <t>Tea Pot 2</t>
  </si>
  <si>
    <t>Teapot Xilin 0.8L, Blue, 181x216x136mm</t>
  </si>
  <si>
    <t>Tea Cups</t>
  </si>
  <si>
    <t>Cups Xilin cast iron, aubergine</t>
  </si>
  <si>
    <t>TPZT017 Custom Size</t>
  </si>
  <si>
    <t>Charola de servicio grande  (Guamuchil) - 60cm D x 3cm H</t>
  </si>
  <si>
    <t>Wine Glass 13oz</t>
  </si>
  <si>
    <t>HGLAC01-004</t>
  </si>
  <si>
    <t>Hospitality Brands - Noble Tumbler, 9 oz., stackable, lead-free ultra clear crystal, sheer rim (4 each per case)</t>
  </si>
  <si>
    <t>HGLAC02-004</t>
  </si>
  <si>
    <t>High Ball / Beer Glass</t>
  </si>
  <si>
    <t>Hospitality Brands - Noble Tumbler Glass, 13.25 oz., stackable, lead-free ultra clear crystal, sheer rim (4 each per case)</t>
  </si>
  <si>
    <t>Z14025EL098</t>
  </si>
  <si>
    <t xml:space="preserve">Martini </t>
  </si>
  <si>
    <t>Martini Glass, 8-1/2 oz., 4-1/2" x 6-3/4", Glisten Matte Black &amp; Copper, Stolzle, Crystalline (minimum = case quantity, 24 per case) (Stock Item)</t>
  </si>
  <si>
    <t>N2760</t>
  </si>
  <si>
    <t>Arcoroc, Vina Cocktail Gin 24.0 Oz (H:7.375'' T:3.75'' M:4.5'' B:3.25''), , (12 PC In A Case), Minimum Purchasing Unit CS</t>
  </si>
  <si>
    <t>TREVI.141.000</t>
  </si>
  <si>
    <t>Specialty Rock</t>
  </si>
  <si>
    <t>Old Fashion Trevi Glass 9.6oz</t>
  </si>
  <si>
    <t>P44741</t>
  </si>
  <si>
    <t>Whiskey/Tequila Glass</t>
  </si>
  <si>
    <t>Capri
Brandy 9 1/4oz
H 4 5/8" M 3 1/4"
T 2 3/8" B 2 3/8"</t>
  </si>
  <si>
    <t xml:space="preserve"> GL-MF24-C</t>
  </si>
  <si>
    <t>Sake Glass for box</t>
  </si>
  <si>
    <t>Clear Glass Pedestal Sake Cup
Size: 2.25"Dia. x 2.5"H - 2.5 oz
$2.95</t>
  </si>
  <si>
    <t>NR-642</t>
  </si>
  <si>
    <t>Sake Cocktail Box</t>
  </si>
  <si>
    <t>Sake Box, 30 oz., 5-1/2"L x 5-1/2"W x 2-3/4"H, square, hinoki (cypress) wood (10/20)</t>
  </si>
  <si>
    <t>SAB-125-L</t>
  </si>
  <si>
    <t>Sake Bottle</t>
  </si>
  <si>
    <t>Sake Bottle, 9.4 oz., large, Seiryu, ceramic, black (0/12)</t>
  </si>
  <si>
    <t>SAC-SH000404</t>
  </si>
  <si>
    <t xml:space="preserve">Sake Cup 1 </t>
  </si>
  <si>
    <t>Sake Cup, 1 oz., 2" dia. x 1-1/2"H, round, dishwasher &amp; microwave safe, Shuin, red (0/5)</t>
  </si>
  <si>
    <t>SAC-125</t>
  </si>
  <si>
    <t>Sake Cup 2</t>
  </si>
  <si>
    <t>Sake Cup, 2 oz., 2-1/4" dia. x 1-1/4"H, Seiryu, black (0/20)</t>
  </si>
  <si>
    <t>SAC-SY0114GD</t>
  </si>
  <si>
    <t>Sake Cup 3</t>
  </si>
  <si>
    <t>Shusetsu Gold Sake Cup Size: 1.75"Dia. x 1.75"H - 1.5 oz</t>
  </si>
  <si>
    <t>SAC-104</t>
  </si>
  <si>
    <t>Sake Cup 4</t>
  </si>
  <si>
    <t>Bizen Fu Sake Cup
Size: 2.25"Dia. x 1.25"H - 2 oz
$3.95</t>
  </si>
  <si>
    <t>RW-BUCKET-6-1001</t>
  </si>
  <si>
    <t>Bucket for Sake</t>
  </si>
  <si>
    <t>Collectique Como Small Ice Bucket, 5.75" dia. x 6"H, dishwasher safe, handmade, resinware, ombre ivory/clear, BPA Free (1 each per box)</t>
  </si>
  <si>
    <t xml:space="preserve">Mexican Izakaya </t>
  </si>
  <si>
    <t>EDT-RK-AMB-24</t>
  </si>
  <si>
    <t>Amber Edition Rocks 10oz</t>
  </si>
  <si>
    <t>GET</t>
  </si>
  <si>
    <t>Mexican Izakaya | Outdoor Service</t>
  </si>
  <si>
    <t>B233106-CDB</t>
  </si>
  <si>
    <t>Elite Global Solutions - Plate, 10-5/8" dia., irregular round, dishwasher safe, melamine, dark blue, Catalina</t>
  </si>
  <si>
    <t>B233106-CLB</t>
  </si>
  <si>
    <t>Elite Global Solutions - Plate, 10-5/8" dia., irregular round, dishwasher safe, melamine, light blue, Catalina</t>
  </si>
  <si>
    <t>B235069-CDB</t>
  </si>
  <si>
    <t>Bowl 20oz</t>
  </si>
  <si>
    <t>Elite Global Solutions - Bowl, 20 oz., 6-7/8" dia., round, dishwasher safe, melamine, dark blue, Catalina</t>
  </si>
  <si>
    <t>B236089-CLB</t>
  </si>
  <si>
    <t>Bowl 36 oz</t>
  </si>
  <si>
    <t>Elite Global Solutions - Bowl, 36 oz., 9" dia., round, dishwasher safe, melamine, light blue, Catalina</t>
  </si>
  <si>
    <t>B231056-CDB</t>
  </si>
  <si>
    <t>Plate Square 5"</t>
  </si>
  <si>
    <t>Elite Global Solutions - Plate, 5-5/8" dia., square, dishwasher safe, melamine, dark blue, Catalina</t>
  </si>
  <si>
    <t>B230090-CDB</t>
  </si>
  <si>
    <t>Plate Rectangular 9"</t>
  </si>
  <si>
    <t>Elite Global Solutions - Plate, 9" x 4-1/4", rectangular, dishwasher safe, melamine, dark blue, Catalina</t>
  </si>
  <si>
    <t>B230115-CDB</t>
  </si>
  <si>
    <t>Plate Rectangular11"</t>
  </si>
  <si>
    <t>Elite Global Solutions - Plate, 11-1/2" x 4-7/8", rectangular, dishwasher safe, melamine, dark blue, Catalina</t>
  </si>
  <si>
    <t xml:space="preserve">WDR108 </t>
  </si>
  <si>
    <t>Sushi Platter 1</t>
  </si>
  <si>
    <t>Cheforward Wonder 11.8″ wonder terrazzo moonstone rectangle melamine tray, 11.8″L x 3.74″W x 1.2″H, GET, cheforward</t>
  </si>
  <si>
    <t>WDR103</t>
  </si>
  <si>
    <t>Sushi Platter 2</t>
  </si>
  <si>
    <t xml:space="preserve">Cheforward Wonder  – 9.6″ wonder terrazzo moonstone rectangle melamine tray, 9.6″L x 3.875″W x .8″H, GET, cheforward
WDR103
</t>
  </si>
  <si>
    <t>INF204</t>
  </si>
  <si>
    <t>Ramekin / Soy Dish</t>
  </si>
  <si>
    <t xml:space="preserve"> – 3.4 oz infuse stone grey round melamine ramekin, 3.5″L x 3.5″W x 1″H, GET, cheforward</t>
  </si>
  <si>
    <t>38768-SG</t>
  </si>
  <si>
    <t xml:space="preserve"> – 2oz infuse stone grey melamine ramekin, 2.69″L x 2.38″W x 1.5″H, GET, cheforward</t>
  </si>
  <si>
    <t>Pool Service Tray</t>
  </si>
  <si>
    <t>HUS018-012</t>
  </si>
  <si>
    <t>Bold Drinkware™ - Mirage Old Fashioned Glass, 10 oz., unbreakable, polycarbonate, dishwasher safe, crystal sapphire (12 each per case)</t>
  </si>
  <si>
    <t>HUS020-012</t>
  </si>
  <si>
    <t>Bold Drinkware™ - Mirage Hi-Ball Tumbler, 12.75 oz., unbreakable, polycarbonate, dishwasher safe, crystal sapphire (12 each per case)</t>
  </si>
  <si>
    <t>HUS340-012</t>
  </si>
  <si>
    <t>Specialty - Japanese Whisky Glass</t>
  </si>
  <si>
    <t>Bold Drinkware™ - Exuma Old Fashioned Glass (Rocks), 12 oz., unbreakable, polycarbonate, dishwasher safe, crystal sapphire  (12 each per case)</t>
  </si>
  <si>
    <t>Specialty - Mezcal/Tequila Shot Glass</t>
  </si>
  <si>
    <t>Mexican Izakaya | FOH Bar</t>
  </si>
  <si>
    <t>2-1916-14B</t>
  </si>
  <si>
    <t>Punch Bowl</t>
  </si>
  <si>
    <t>Black Powder Coated Punch Bowl - Size 14" D</t>
  </si>
  <si>
    <t>BP000709</t>
  </si>
  <si>
    <t>Fruit Stand for Bowl</t>
  </si>
  <si>
    <t>FABRE, #DNR#, Medium Natural Cake Stand, Pack/2 - Medium: 9.5"D x 4.5"H</t>
  </si>
  <si>
    <t>BW_RBO</t>
  </si>
  <si>
    <t>Fruit Bowl for Stand</t>
  </si>
  <si>
    <t>Large Olive Wood Rustic Bowl: L: 280 mm x W: 280 mm x H: 180 mm (L: 11 in x W: 11 in x H: 7 in)</t>
  </si>
  <si>
    <t>UR90210</t>
  </si>
  <si>
    <t>Syphon</t>
  </si>
  <si>
    <t>Syphon, 1.0 qt, 4.75" x 14.625"H, stainless steel, gold, Utopia, Syphons (minimum = case quantity) (stock item)</t>
  </si>
  <si>
    <t>CRFTHS.5.9211</t>
  </si>
  <si>
    <t>Smoke Cloche &amp; Base</t>
  </si>
  <si>
    <t>SOO Craft house Glass Smoke Cloche With Smoker &amp; Chips, 9.25"dia x 11"H, clear</t>
  </si>
  <si>
    <t>22407-6-110</t>
  </si>
  <si>
    <t>Aspen Stacking Organizer  I 6” W x 6” D x 7” H</t>
  </si>
  <si>
    <t xml:space="preserve">3308-110 </t>
  </si>
  <si>
    <t>M37071ANG</t>
  </si>
  <si>
    <t>Barfly® Spring Bar Strainer, 5-5/8" overall length, heavy duty, 4-prong, replaceable spring, hanging hole, 18/8 stainless steel core, Antique Gold-plated finish</t>
  </si>
  <si>
    <t>Other | Picnic Baskets and Pool basket Options</t>
  </si>
  <si>
    <t>LAN023</t>
  </si>
  <si>
    <t>Picnic Bag</t>
  </si>
  <si>
    <t>Picnic Bag 11.8” L x7.4” W x
5.9 “ H</t>
  </si>
  <si>
    <t>BOLS007</t>
  </si>
  <si>
    <t>Box</t>
  </si>
  <si>
    <t>Box 13.7” L x 10” W x
1.9” H</t>
  </si>
  <si>
    <t>Banquet</t>
  </si>
  <si>
    <t>BCSPSS01</t>
  </si>
  <si>
    <t>Salt Shaker</t>
  </si>
  <si>
    <t>Spectra Salt Shaker</t>
  </si>
  <si>
    <t>BCSPPS01</t>
  </si>
  <si>
    <t>Pepper Shaker</t>
  </si>
  <si>
    <t>Spectra Pepper Shaker</t>
  </si>
  <si>
    <t>6323T501</t>
  </si>
  <si>
    <t>Salt Shaker Stainless... 6" Salt &amp; Pepper Mills from Trudeau</t>
  </si>
  <si>
    <t>6323T502</t>
  </si>
  <si>
    <t>Pepper Mill Stainless... 6" Salt &amp; Pepper Mills from Trudeau</t>
  </si>
  <si>
    <t>Sambonet</t>
  </si>
  <si>
    <t>56770-00</t>
  </si>
  <si>
    <t>Sambonet Bamboo Butter cup - 9,5 cm x 7,0 cm - Mirror Steel Stainless Steel</t>
  </si>
  <si>
    <t>56591-24</t>
  </si>
  <si>
    <t>Bowl/Tray, 9-9/20", round, with handles, dishwasher safe, 18/10 stainless steel, Sambonet, Sphera S/S (Special Order Item)</t>
  </si>
  <si>
    <t>305 05 09 562</t>
  </si>
  <si>
    <t>4-jar jam holder, Ø Cm (foro) 4,5</t>
  </si>
  <si>
    <t>La Tavola - Dessert fork Gualtiero Marchesi St. steel</t>
  </si>
  <si>
    <t>La Tavola - Dessert knife Gualtiero Marchesi St. steel</t>
  </si>
  <si>
    <t>Appetizer/ Dessert Spoon</t>
  </si>
  <si>
    <t>La Tavola - Dessert spoon Gualtiero Marchesi St. steel</t>
  </si>
  <si>
    <t>1170500021</t>
  </si>
  <si>
    <t>Coffee/ Tea Spoon</t>
  </si>
  <si>
    <t>La Tavola - Tea spoon Gualtiero Marchesi St. steel</t>
  </si>
  <si>
    <t>1170500022</t>
  </si>
  <si>
    <t>La Tavola - Moka spoon Gualtiero Marchesi St. steel</t>
  </si>
  <si>
    <t>La Tavola - Table spoon Gualtiero Marchesi St. steel</t>
  </si>
  <si>
    <t>La Tavola - Table fork Gualtiero Marchesi St. steel</t>
  </si>
  <si>
    <t>La Tavola - Table knife Gualtiero Marchesi St. steel</t>
  </si>
  <si>
    <t xml:space="preserve"> Java steak knife 22,5 8,7/8 Ivory handle</t>
  </si>
  <si>
    <t>My Glass Studio</t>
  </si>
  <si>
    <t>171694; P2-F1-24-AGF413 Custom</t>
  </si>
  <si>
    <t>Show Plate</t>
  </si>
  <si>
    <t>Organic Shaped Plate in Almond SKU: 171694; P2-F1-24-AGF413 Custom to 30 cm diameter</t>
  </si>
  <si>
    <t>BCFRGD29</t>
  </si>
  <si>
    <t>Fedra Gourmet Deep Plate, 11.4", bone china (6 each per case)</t>
  </si>
  <si>
    <t>BCPORBW44</t>
  </si>
  <si>
    <t>Large asymmetric bowl 9"</t>
  </si>
  <si>
    <t>Pose Large asymmetric bowl 24.4 x 20.9 cm - 44 cl 9 3/5” x 8 2/9” - 14 7/8 oz
12</t>
  </si>
  <si>
    <t>BCPOPR28</t>
  </si>
  <si>
    <t>Specialty Flat Coupe Plate 11"</t>
  </si>
  <si>
    <t>Pose Flat Coupe Plate
28.8 x 27.1 cm
11 1/3” x 10 2/3”
12</t>
  </si>
  <si>
    <t>BCBVRDP01</t>
  </si>
  <si>
    <t>Raised Plate</t>
  </si>
  <si>
    <t>Bravura 16 x 15 cm - Ht. 8.5 cm
6 2/9” x 5 6/7” - Ht. 3 1/4” 4</t>
  </si>
  <si>
    <t>Bravura Jug
Ht. 16.5 cm - 36 cl
Ht. 6 1/2” - 12 2/7 oz
6</t>
  </si>
  <si>
    <t>BCFRCP29</t>
  </si>
  <si>
    <t>Coupe Plate 11"</t>
  </si>
  <si>
    <t>Fedra Coupe Plate, 11.4", bone china (12 each per case)</t>
  </si>
  <si>
    <t>BCFRCP24</t>
  </si>
  <si>
    <t>Coupe Plate, 9.5"</t>
  </si>
  <si>
    <t>Fedra Coupe Plate, 9.45", bone china (12 each per case)</t>
  </si>
  <si>
    <t>BCFRCP18</t>
  </si>
  <si>
    <t>Coupe Plate, 7"</t>
  </si>
  <si>
    <t>Fedra Coupe Plate, 7.08", bone china (24 each per case)</t>
  </si>
  <si>
    <t>BCFRDC27</t>
  </si>
  <si>
    <t>Coupe Deep Plate, 10.5"</t>
  </si>
  <si>
    <t>Fedra Coupe Deep Plate, 10.63", bone china (12 each per case)</t>
  </si>
  <si>
    <t>BCFRGD26</t>
  </si>
  <si>
    <t>Gourmet Deep Plate 10"</t>
  </si>
  <si>
    <t>Fedra Gourmet Deep Plate, 10.24", bone china (6 each per case)</t>
  </si>
  <si>
    <t>BCFRBW30</t>
  </si>
  <si>
    <t>Bowl 10oz - Ø 4 3/8” -</t>
  </si>
  <si>
    <t>Fedra Bowl, 10.14 oz., bone china (12 each per case)</t>
  </si>
  <si>
    <t>53601S136</t>
  </si>
  <si>
    <t>Water Pitcher w/Ice Guard, 1.5 qt, 7.125" x 4.5" x 8.125", Diva, Holloware, WNK, 18/10 Stainless, Stylish &amp; Durable Hollowware (minimum = case quantity) (STOCK item)</t>
  </si>
  <si>
    <t>53601S540</t>
  </si>
  <si>
    <t>Coffee Pot</t>
  </si>
  <si>
    <t>Double Wall Coffee Pot, 27.0 oz, 7.5" x 4.5" x 6.0", Diva, Holloware, WNK, 18/10 Stainless, Stylish &amp; Durable Hollowware (minimum = case quantity) (STOCK item)</t>
  </si>
  <si>
    <t>53601S139</t>
  </si>
  <si>
    <t>Single Wall Tea Pot L 5 1/4" W 3 3/8" H 4 7/8" (21 1/2 oz)</t>
  </si>
  <si>
    <t>MTS012-BS</t>
  </si>
  <si>
    <t>Brushed Stainless steel tray jack with black leather straps</t>
  </si>
  <si>
    <t>VENETO TUMBLER ORANGE</t>
  </si>
  <si>
    <t>AP Wine 18oz</t>
  </si>
  <si>
    <t>Zwiesel Glass Pure Cabernet Glass, (1) 18.2 oz., dishwasher safe, lead free, sheer rim, crystal glass (0.38 each weight) (Per case = 6 each) (ecomm dealers 4 case increments; special box will be added cost)</t>
  </si>
  <si>
    <t>0026.112420</t>
  </si>
  <si>
    <t>Red Wine 23oz</t>
  </si>
  <si>
    <t>V3872</t>
  </si>
  <si>
    <t xml:space="preserve">Beer Glass </t>
  </si>
  <si>
    <t>Arcoroc, Stemmed Beer Cervoise 12.5 Oz (H:7.0'' T:2.56'' M:3.0'' B:2.75''), ['Soda Lime Glass'], (24 PC In A Case), Minimum Purchasing Unit CS</t>
  </si>
  <si>
    <t>Shot Glasses</t>
  </si>
  <si>
    <t>Pure Shot Glass (35)
3.2oz, 3.7x1.9”
(.09L, 9.4x4.8cm)
6/pack, GR49-S-115B*</t>
  </si>
  <si>
    <t>Juice Glass</t>
  </si>
  <si>
    <t>Pure Juice, Aperitif (15)
8.3oz, 5.5x2.4”
(.25L, 14x6.1cm)
6/pack, GR44-N-185H*</t>
  </si>
  <si>
    <t>Decanter</t>
  </si>
  <si>
    <t>Electra Decanter (1 3/4 qt) H 8 1/4" M 7 1/8" T 2 1/2" B 3 7/8"</t>
  </si>
  <si>
    <t>Banquet  | Linen</t>
  </si>
  <si>
    <t>White Napkins</t>
  </si>
  <si>
    <t>Cotton - Patern Organic All Over White</t>
  </si>
  <si>
    <t>Damper 66</t>
  </si>
  <si>
    <t>Damper for 66" round table</t>
  </si>
  <si>
    <t>Damper 72</t>
  </si>
  <si>
    <t>Damper for 72" round table</t>
  </si>
  <si>
    <t>White Underlay - 66" Round Underlay  Table Cloth</t>
  </si>
  <si>
    <t>White Overlay - 66"</t>
  </si>
  <si>
    <t>White Underlay - 72" Round Underlay Table Cloth</t>
  </si>
  <si>
    <t>White Overlay - 72"</t>
  </si>
  <si>
    <t>Off White Underlay - 66" Round Underlay  Table Cloth</t>
  </si>
  <si>
    <t xml:space="preserve">Off White Overlay - 66" </t>
  </si>
  <si>
    <t>Off White Underlay - 72" Round Underlay  Table Cloth</t>
  </si>
  <si>
    <t>Off White Overlay - 72"</t>
  </si>
  <si>
    <t>Uline</t>
  </si>
  <si>
    <t>H-1978O</t>
  </si>
  <si>
    <t>Z Trolley</t>
  </si>
  <si>
    <t>Z Rack for BQ Linen</t>
  </si>
  <si>
    <t>Banquet | Buffet Display</t>
  </si>
  <si>
    <t>305 05 52 721</t>
  </si>
  <si>
    <t>Honey Dispenser</t>
  </si>
  <si>
    <t>Jambee jam/honey dispenser with wood base 23 oz</t>
  </si>
  <si>
    <t>Juice Dispenser</t>
  </si>
  <si>
    <t>Juice dispenser with drip tray and M Riser - 8L</t>
  </si>
  <si>
    <t>Sign  Holder</t>
  </si>
  <si>
    <t>Lableclip holder bleech</t>
  </si>
  <si>
    <t>NATURAL beechwood Paris Select 12 in</t>
  </si>
  <si>
    <t>CHOCOLATE beechwood Paris Select 12 in</t>
  </si>
  <si>
    <t>Storage Jar</t>
  </si>
  <si>
    <t>Glass Storage Jar 5 L</t>
  </si>
  <si>
    <t>Glass Storage Jar 2.5 L</t>
  </si>
  <si>
    <t>Basket or Bread Presentation 1</t>
  </si>
  <si>
    <t>WIRE BASKET, LARGE OVAL- Matt black metal  - 32,1 x 23,9 x 15,5 cm - 12 ¾ x 9 ½ x 6’’</t>
  </si>
  <si>
    <t>Basket or Bread Presentation 2</t>
  </si>
  <si>
    <t>OVAL DEEP BREAD BASKET Matt black metal 1 - 19,7 x 14,7 x 9,3 cm - 7 ¾ x 5 ¾ x 3 ¾’’</t>
  </si>
  <si>
    <t>Wood Display Riser Set</t>
  </si>
  <si>
    <t>Wood Display Riser Set of 3 - Ash Wood</t>
  </si>
  <si>
    <t>set</t>
  </si>
  <si>
    <t>Display Wooden Tray 1</t>
  </si>
  <si>
    <t>Wooden Box, 20-3/4"W x 12-3/4"D x 2-3/4"H, GN 1/1, maple</t>
  </si>
  <si>
    <t>656039</t>
  </si>
  <si>
    <t>Riser for Wooden Tray 1</t>
  </si>
  <si>
    <t>Riser, 22-1/4"W x 14"D x 4"H, high for GN 1/1, matt black metal, oak frame</t>
  </si>
  <si>
    <t>Display Wooden Tray 2</t>
  </si>
  <si>
    <t>Wooden Box, 12-3/4"W x 10-1/2"D x 2-3/4"H, GN 1/2, maple</t>
  </si>
  <si>
    <t>656041</t>
  </si>
  <si>
    <t>Riser for Wooden Tray 2</t>
  </si>
  <si>
    <t>Riser, 14"W x 11-3/4"D x 4"H, high for GN 1/2, matt black metal, oak frame</t>
  </si>
  <si>
    <t>661544</t>
  </si>
  <si>
    <t xml:space="preserve">Cake Stand 1 </t>
  </si>
  <si>
    <t>CARACTERE, CAKE STAND 30X20CM, Nutmeg/Cinnamon, 1, NOT STOCKED IN USA BUT CAN BE ORDERED AND AIFREIGHTED, Microwave oven and dishwasher safe, made in France</t>
  </si>
  <si>
    <t>661543</t>
  </si>
  <si>
    <t>Cake Stand 2</t>
  </si>
  <si>
    <t>CARACTERE, CAKE STAND 33X14CM, Tumeric/Cardamom, 1, NOT STOCKED IN USA BUT CAN BE ORDERED AND AIFREIGHTED, Microwave oven and dishwasher safe, made in France</t>
  </si>
  <si>
    <t>661548</t>
  </si>
  <si>
    <t>Cake Stand 3</t>
  </si>
  <si>
    <t>CARACTERE, CAKE STAND 26X10,5CM, Cardamom/Nutmeg, 1, NOT STOCKED IN USA BUT CAN BE ORDERED AND AIFREIGHTED, Microwave oven and dishwasher safe, made in France</t>
  </si>
  <si>
    <t>Cake Stand 2 Cloche</t>
  </si>
  <si>
    <t>Polycarbonate Cloche 31.2 cm</t>
  </si>
  <si>
    <t>Cake Stand 1 Cloche</t>
  </si>
  <si>
    <t>Polycarbonate Cloche 28 cm</t>
  </si>
  <si>
    <t>Black Round Riser 1</t>
  </si>
  <si>
    <t>Round Riser, small, metal, black, EN Scene (US stock)</t>
  </si>
  <si>
    <t>660295</t>
  </si>
  <si>
    <t>Black Round Riser 2</t>
  </si>
  <si>
    <t>Round Riser, medium, metal, black, EN Scene (US stock)</t>
  </si>
  <si>
    <t>660297</t>
  </si>
  <si>
    <t>Black Round Riser 3</t>
  </si>
  <si>
    <t>Round Riser, large, metal, black, EN Scene (US stock)</t>
  </si>
  <si>
    <t>Marble Plate for Risers</t>
  </si>
  <si>
    <t>White Marble Nacryl 20 cm</t>
  </si>
  <si>
    <t xml:space="preserve">Bowls for Display Riser </t>
  </si>
  <si>
    <t>(CO1832) Salad/Serving Bowl, 123-1/2 oz., 12-3/4" dia. x 3-1/4"H, round, oven, microwave, freezer &amp; dishwasher safe, porcelain, white cumulus, Caractere (US stocked item)</t>
  </si>
  <si>
    <t>(CO2725N-254) Salad Bowl, 81-1/4 oz., 9-3/4" dia. x 3-1/4"H, round, oven, microwave, freezer &amp; dishwasher safe, porcelain, cinnamon, Caractere (US stocked item)</t>
  </si>
  <si>
    <t>655560</t>
  </si>
  <si>
    <t>(CO2725N-255) Salad Bowl, 81-1/4 oz., 9-3/4" dia. x 3-1/4"H, round, oven, microwave, freezer &amp; dishwasher safe, porcelain, cardamom, Caractere (US stocked item)</t>
  </si>
  <si>
    <t>Coupe Bowl Pepper</t>
  </si>
  <si>
    <t>Salad Bowl 1</t>
  </si>
  <si>
    <t>Salad Bowl 2</t>
  </si>
  <si>
    <t>BW_307_D</t>
  </si>
  <si>
    <t>Olive Wood Bowl 1</t>
  </si>
  <si>
    <t>Olive Wood Bowl 2</t>
  </si>
  <si>
    <t>Rectangle Oblong Dish</t>
  </si>
  <si>
    <t>Rectangle Oblong Dish - White Cumulus - 34 x 25 x 6.5 - 2.8 L</t>
  </si>
  <si>
    <t>Rectangle Oblong Dish - Nutmeg - 26 x 18.5 x 6 cm -1.3 L</t>
  </si>
  <si>
    <t>Rectangle Oblong Dish - Cinnamon - 34 x 25 x 6.5 - 2.8 L</t>
  </si>
  <si>
    <t>Rectangle Oblong Dish - Cardamom - 26 x 18.5 x 6 cm -1.3 L</t>
  </si>
  <si>
    <t>Cocotte without Lid 8.75 oz</t>
  </si>
  <si>
    <t>Cocotte without Lid 8.75 oz - Cinnamon 14 x 12 x 5 cm</t>
  </si>
  <si>
    <t>Cocotte without Lid 8.75 oz - Cardamom 14 x 12 x 5 cm</t>
  </si>
  <si>
    <t>Platter Large</t>
  </si>
  <si>
    <t>(CO1746N-234) Serving Dish, 18-1/4" x 11-1/4" x 1-1/4"H oval, oven, microwave, freezer &amp; dishwasher safe, porcelain, white cumulus, Caractere (US stocked item)</t>
  </si>
  <si>
    <t>BU_BD3ONL</t>
  </si>
  <si>
    <t>Bread Box - 3 Drawers</t>
  </si>
  <si>
    <t>Oak 1.1 Bread Box: L: 349 x W: 530 x H: 190 mm (L: 13.7 × W: 20.9 × H: 7.4 in)</t>
  </si>
  <si>
    <t>Pala Negra</t>
  </si>
  <si>
    <t>Large Shovel Plate - Matt slate Style - 36 x 21 x 8.5cm</t>
  </si>
  <si>
    <t>Mini Jar set Oak</t>
  </si>
  <si>
    <t>Oak Mini Glass Jar set - Oak Mini Glass Jar set: L: 450 mm x W: 145 mm x H: 110 mm (L: 17.7 in x W: 5.7 in x H: 4.3 in)</t>
  </si>
  <si>
    <t>BU_GJ001</t>
  </si>
  <si>
    <t>Glass Jar</t>
  </si>
  <si>
    <t>Large Glass Jar: L: 218 mm x W: 218 mm x H: 165 mm (L: 8.6 in x W: 8.6 in x H: 6.5 in)</t>
  </si>
  <si>
    <t>BU_OL001</t>
  </si>
  <si>
    <t>Glass Jar Wooden Lid Oak</t>
  </si>
  <si>
    <t>Large Oak Jar Lid: L: 207 mm x W: 207 mm x H: 29 mm (L: 8.15 in x W: 8.15 in x H: 1.4 in)</t>
  </si>
  <si>
    <t>Wooden Oak Spoons</t>
  </si>
  <si>
    <t>Oak Spoon: L: 230 mm x W: 40 mm x H: 38 mm (L: 9 in x W: 1.6 in x H: 1.5 in)</t>
  </si>
  <si>
    <t>PW-CD58</t>
  </si>
  <si>
    <t>Wooden Long Bowl</t>
  </si>
  <si>
    <t>Wooden Food and Beverage Display</t>
  </si>
  <si>
    <t>DW724MWSS</t>
  </si>
  <si>
    <t>Carving Board</t>
  </si>
  <si>
    <t>CARVING BOARD 24 IN L X 18 IN W WOOD W/ FRAME AND MODERN FEET STAINLESS STEEL</t>
  </si>
  <si>
    <t>PM-IB100</t>
  </si>
  <si>
    <t>Sea Food Tray</t>
  </si>
  <si>
    <t>Glass Ice Bin with metal frame and drainage tray</t>
  </si>
  <si>
    <t>Banquet | Buffet Cold Display</t>
  </si>
  <si>
    <t>Chilling Station - Wooden Box</t>
  </si>
  <si>
    <t>Chilling Station Wooden Box, 21-3/4"W x 13-3/4"D x 3-1/2"H, GN 1/1, maple</t>
  </si>
  <si>
    <t>Chilling Box - Insulated Fabric</t>
  </si>
  <si>
    <t>Insulated Fabric, 19-3/4"W x 11-3/4"D x 2-1/4"H, GN 1/1, textile black &amp; grey</t>
  </si>
  <si>
    <t>Chilling Box - Eutectic Plates</t>
  </si>
  <si>
    <t>Eutectic Plate, 19"W x 11"D x 1"H, -12°C temperature, black</t>
  </si>
  <si>
    <t>Chilling Box - Tray</t>
  </si>
  <si>
    <t>(1A+M125443) Tray, 20-3/4"W x 12-3/4"D x 1/2"H, rectangular, stackable, shockproof, thermal shock resistant (-148°F to + 176°F), food safe, non-porous, dishwasher safe, Nacryl® resin, anthracite, (US stock)</t>
  </si>
  <si>
    <t>Banquet | Miniatures</t>
  </si>
  <si>
    <t>Glass Mini Flute</t>
  </si>
  <si>
    <t>Glass, D&amp;V Tasterz 5oz.</t>
  </si>
  <si>
    <t>DV.501100</t>
  </si>
  <si>
    <t>Glass Square Sampler 3oz.</t>
  </si>
  <si>
    <t>GLASS SQUARE SAMPLER 3 OZ D&amp;V TASTERZ SMALL</t>
  </si>
  <si>
    <t>DV.501053</t>
  </si>
  <si>
    <t>Glass D&amp;V Tasterz</t>
  </si>
  <si>
    <t>D&amp;V TASTERZ LARGE ROUND 5.15 OZ. (.15L), H 2" (4.5CM)</t>
  </si>
  <si>
    <t>ALU-00-010</t>
  </si>
  <si>
    <t>Tray, 9"</t>
  </si>
  <si>
    <t>Appetizer Spoon  4” (10cm)</t>
  </si>
  <si>
    <t>ALU-00-012</t>
  </si>
  <si>
    <t>China Spoon Appetizer Tasting 4"</t>
  </si>
  <si>
    <t>Tasting Bowls 5.75”, 5oz (14.5cm, .15L)</t>
  </si>
  <si>
    <t>Cast Aluminum Mini Crock</t>
  </si>
  <si>
    <t>Banquet | Buffet Hot Display</t>
  </si>
  <si>
    <t>DW0499MBK</t>
  </si>
  <si>
    <t>Single Heat Lamp Black</t>
  </si>
  <si>
    <t>Modern Black Single Head Heat Lamp</t>
  </si>
  <si>
    <t>Spring USA</t>
  </si>
  <si>
    <t>2565-6</t>
  </si>
  <si>
    <t>Sauce Marmite</t>
  </si>
  <si>
    <t>Sauce Marmite 1-1/2 L # 
w/ Ladle and Tray Holder for fuel can
Mat: S/S</t>
  </si>
  <si>
    <t>DWELINPC</t>
  </si>
  <si>
    <t>Power Cell Unit</t>
  </si>
  <si>
    <t xml:space="preserve">Cordless warming induction range - 110volt. </t>
  </si>
  <si>
    <t>DWFB15136BK</t>
  </si>
  <si>
    <t>Power cell cover up</t>
  </si>
  <si>
    <t>PowerCell Cover Up SS Black</t>
  </si>
  <si>
    <t>DWFB15133BK</t>
  </si>
  <si>
    <t>DWPELINPCCART6</t>
  </si>
  <si>
    <t>PowerCell Storage Cart</t>
  </si>
  <si>
    <t>PowerCell Storage Cart - L26" W18 1/8" H53 1/4" - Holds 6 units with coverups</t>
  </si>
  <si>
    <t>Induction Round Cocotte</t>
  </si>
  <si>
    <t>Induction Round Cocotte - Alabaster white with glass cover - 26 cm D - 4 L</t>
  </si>
  <si>
    <t>Induction Shallow Cocotte</t>
  </si>
  <si>
    <t>Induction Shallow Cocotte - Alabaster White - 31 cm D - 3.5 L</t>
  </si>
  <si>
    <t>Induction Rectangular Dish</t>
  </si>
  <si>
    <t>Induction Rectangular Dish - Alabaster White - 34 X 25 X 6.5 - 3.3 L</t>
  </si>
  <si>
    <t>Induction Round Cocotte - Alabaster White - Glass Cover 29 x 15.4 cm - 4L</t>
  </si>
  <si>
    <t>Lid Rest for Induction Cocottes</t>
  </si>
  <si>
    <t>SS Lis Rest 13.5 x 9 x 7.5 cm</t>
  </si>
  <si>
    <t>Zieher</t>
  </si>
  <si>
    <t>Banquet | Cocktail Pass Around</t>
  </si>
  <si>
    <t>Tray big</t>
  </si>
  <si>
    <t>Pass arround cocktail -  95.5x28x1.8  base tray “Modul”
 melamine, black, surface matt, food-safe, dishwasher
safe, not suitable for microwave and combi steam oven</t>
  </si>
  <si>
    <t>Tray medium</t>
  </si>
  <si>
    <t>Pass arround cocktail -  72.5x28x1.8 base tray “Modul”
 melamine, black, surface matt, food-safe, dishwasher
safe, not suitable for microwave and combi steam oven</t>
  </si>
  <si>
    <t>Sppon Rest Bridge</t>
  </si>
  <si>
    <t>Pass arround cocktail - spoon rest “Modul”
 melamine, black, surface matt, food-safe, dishwasher
safe, not suitable for microwave and combi steam oven, 
with 4 rubber feet (black)
 l x w x h in cm
 PU
 20x5x4 
2 pcs</t>
  </si>
  <si>
    <t>Bridge</t>
  </si>
  <si>
    <t>Pass arround cocktail -  bridge “Modul”
 melamine, black, surface matt, food-safe, dishwasher
safe, not suitable for microwave and combi steam oven, 
5 graded sockets (Ø top 5 cm, Ø bottom 2.5 cm), for 
several glass items (5257, 5405,...), with 4 rubber feet 
(black)
 l x w x h in cm
 PU
 41.5x7.7x6 
2 pcs</t>
  </si>
  <si>
    <t>Cutlery Napkin Box</t>
  </si>
  <si>
    <t>Pass arround cocktail -  cutlery/napkin box
 melamine, black, surface matt, food-safe, dishwasher
safe, with 4 rubber feet, not suitable for microwave and 
combi steam oven, for cocktail napkins folded to 1/8</t>
  </si>
  <si>
    <t>Party Spoon</t>
  </si>
  <si>
    <t>Pass arround cocktail -  party spoon
 stainless steel 18/10, 4.3 mm thick, heavy quality, 21 
cm long
 polished</t>
  </si>
  <si>
    <t xml:space="preserve">Bowl China </t>
  </si>
  <si>
    <t xml:space="preserve">Pass arround cocktail -  bowl “Modul”
 china, white, square, deep, for base trays “Modul” made 
of walnut and melamine
 11x11 
walnut with 
anti-slip mat </t>
  </si>
  <si>
    <t>Glass Miniature</t>
  </si>
  <si>
    <t>Pass arround cocktail - glass miniature
 clear glass, for bridges “Modul” items 4584 and 4724
 item Ø / height in cm content in l PU
 5/8.6 0.1 6 pcs</t>
  </si>
  <si>
    <t xml:space="preserve"> 4032.G and cork  1501</t>
  </si>
  <si>
    <t>Test Tube</t>
  </si>
  <si>
    <t>Pass arround cocktail -  test tube and cork
 borosilicate glass (temperature change resistant), with 
flanged rim and round bottom, for holder for test tube 
item 4680.S and cork item 1501
 item Ø / height in cm content in l PU
 2/15 0.04 24 pcs</t>
  </si>
  <si>
    <t>4032.G</t>
  </si>
  <si>
    <t>Holder for test tube</t>
  </si>
  <si>
    <t>Pass arround cocktail -  holder for test tubes
 silicone, Ø 4.6 cm, 2.7 cm high, with grooves on the 
inside for easy insertion of glass tubes, for test tube 
 item colour PU
 4680.S black 6 pcs</t>
  </si>
  <si>
    <t>Plate China</t>
  </si>
  <si>
    <t>Pass arround cocktail -  plate “Modul”
 content in l
 0.07
 PU
 12 pcs
 china, white, rectangular, flat, for base trays “Modul” 
made of walnut and melamine l x w in cm
 PU
 22x11 
12 pcs</t>
  </si>
  <si>
    <t>Amuse Spoon</t>
  </si>
  <si>
    <t>Pass arround cocktail  amuse gueule/tapas spoon
 china, white
 l x w x h in cm
 PU
 13x4x3 
12 pcs</t>
  </si>
  <si>
    <t>DESCONTINUADO</t>
  </si>
  <si>
    <t>Banquet | Coffee &amp; Juice Display</t>
  </si>
  <si>
    <t>V871842003</t>
  </si>
  <si>
    <t>Coffee and Tea Condiment Station</t>
  </si>
  <si>
    <t>URBAN BUFFET TOWER H. cm 34</t>
  </si>
  <si>
    <t>V870542CS2</t>
  </si>
  <si>
    <t>URBAN ORGANIZER CONTAINER L. cm 10, Larg. Cm 6.5, H. cm 4</t>
  </si>
  <si>
    <t>V870542V01</t>
  </si>
  <si>
    <t>URBAN ORGANIZER TRAY cm 20x19</t>
  </si>
  <si>
    <t>V870442CS4</t>
  </si>
  <si>
    <t>URBAN ORGANIZER CONTAINER L. cm 15, Larg. Cm 20, H. cm 8</t>
  </si>
  <si>
    <t>V870442CS5</t>
  </si>
  <si>
    <t>URBAN ORGANIZER CONTAINER L. cm 35, Larg. Cm 17.5, H. cm 4</t>
  </si>
  <si>
    <t>V870542A01</t>
  </si>
  <si>
    <t>URBAN ORGANIZER RING Ø cm 9</t>
  </si>
  <si>
    <t>V870542CS4</t>
  </si>
  <si>
    <t xml:space="preserve">CYLINDRICAL CONTAINER FOR RING  D7,6 cm H9,5 </t>
  </si>
  <si>
    <t>DW43WBKSS</t>
  </si>
  <si>
    <t>Coffee Urns 3 Gallons</t>
  </si>
  <si>
    <t>Tempo Fuel Coffee Urn  L 14" W 14" H 23" (3 gal) (11.4 L)</t>
  </si>
  <si>
    <t>DW41WBKSS</t>
  </si>
  <si>
    <t>Coffee Urns 1.5 Gallons</t>
  </si>
  <si>
    <t>Tempo Fuel Coffee Urn L 13" W 12" H 18 3/4" (1 1/2 gal) (5.7 L)</t>
  </si>
  <si>
    <t>Cal-mil</t>
  </si>
  <si>
    <t>1717-96</t>
  </si>
  <si>
    <t>Mini Table Top Trash Can Black</t>
  </si>
  <si>
    <t>Midnight Bamboo Countertop Trash Bin - 5.00in L x 5.00in W x 7.00in H
12.7cm L x 12.7cm W x 17.78cm H</t>
  </si>
  <si>
    <t>1 Ltr Jug White</t>
  </si>
  <si>
    <t>Thermos/Jug - Milk Server Vacuum Insulated
Stainless Liner w/ Wood Handle
L 6 5/8" W4 3/8" H 8 1/2" (1 L) White</t>
  </si>
  <si>
    <t>0.7 Ltr Jug White</t>
  </si>
  <si>
    <t>Thermos/Jug - Milk Server Vacuum Insulated
Stainless Liner w/ Wood Handle
L 6 1/2" W 4 1/2" H 7 1/2" (0.7 L) White</t>
  </si>
  <si>
    <t>1 Ltr Jug Champagne</t>
  </si>
  <si>
    <t>Thermos/Jug - Milk Server Vacuum Insulated
Stainless Liner w/ Wood Handle
L 6 5/8" W4 3/8" H 8 1/2" (1 L) Champagne</t>
  </si>
  <si>
    <t xml:space="preserve">7401MM122 </t>
  </si>
  <si>
    <t>0.7 Ltr Jug Champagne</t>
  </si>
  <si>
    <t>Thermos/Jug - Milk Server Vacuum Insulated
Stainless Liner w/ Wood Handle
L 6 1/2" W 4 1/2" H 7 1/2" (0.7 L) Champagne</t>
  </si>
  <si>
    <t>Banquet | Holloware and Serving Pieces</t>
  </si>
  <si>
    <t>644293</t>
  </si>
  <si>
    <t>Spoon Rest</t>
  </si>
  <si>
    <t>(RV1620) Cutlery Rest, 7-3/4" x 4" x 1-1/2"H, porcelain, matt slate, Revolution 2 (US stocked item)</t>
  </si>
  <si>
    <t>Ladle Rest</t>
  </si>
  <si>
    <t>55.0121.6140 and 55.0121.6043</t>
  </si>
  <si>
    <t>Table Number Stand S/S</t>
  </si>
  <si>
    <t>Pure Table number stand support</t>
  </si>
  <si>
    <t>Table Numbers Plastic</t>
  </si>
  <si>
    <t>Heavy Plastic Table Numbers 450 TABLE NUMBER, HEAVY PLASTIC, NOS. 1-50 4" L X 4" W</t>
  </si>
  <si>
    <t>SBC-5B-RESERVED</t>
  </si>
  <si>
    <t>Reserved Table Sign</t>
  </si>
  <si>
    <t>Reserved Signs</t>
  </si>
  <si>
    <t>Banquet | Meeting Room and Miscelleanous</t>
  </si>
  <si>
    <t>Board Room Bloter</t>
  </si>
  <si>
    <t>Meeting room blotter Black faux leather with embossed pattern L 55cm x W 41.3cm x H 1.3cm
DETAILS
Material:Faux leather
Color:Black 
With Logo</t>
  </si>
  <si>
    <t>8160 black</t>
  </si>
  <si>
    <t>Flip Chart Black</t>
  </si>
  <si>
    <t>Flip Chart</t>
  </si>
  <si>
    <t>Edward Don</t>
  </si>
  <si>
    <t>7J1121</t>
  </si>
  <si>
    <t>Black Wood Triangle</t>
  </si>
  <si>
    <t>Easel</t>
  </si>
  <si>
    <t>Chrome Beltrac Stanchion Black belt</t>
  </si>
  <si>
    <t>Staunchion</t>
  </si>
  <si>
    <t>Wasserstrom</t>
  </si>
  <si>
    <t>Big Foot Door Wedge Rubber Grey</t>
  </si>
  <si>
    <t>Door Stopper</t>
  </si>
  <si>
    <t>Tobi</t>
  </si>
  <si>
    <t>T9AB387221</t>
  </si>
  <si>
    <t>Econoco ST400 - Steam Butler II Garment Steamer</t>
  </si>
  <si>
    <t>Steamer</t>
  </si>
  <si>
    <t>Iron Medium</t>
  </si>
  <si>
    <t>Iron</t>
  </si>
  <si>
    <t>H-8664</t>
  </si>
  <si>
    <t>5 Gallon Dual Sided Office Trash Can</t>
  </si>
  <si>
    <t>simplehuman stainless steel Office Trash Can - 5 Gallon Recycling - Capacity 5 Gallon - Size L17xW9xH15"</t>
  </si>
  <si>
    <t>Rubbermaid</t>
  </si>
  <si>
    <t>Wet Floor Sign Stainless Steel</t>
  </si>
  <si>
    <t>Rubbermaid Executive 2-Sided Multi-Lingual Caution Sign, Black/White, 10 9/10 x 26 1/10</t>
  </si>
  <si>
    <t>Power Rotor Sweeper</t>
  </si>
  <si>
    <t>Dual Action Floor Sweeper</t>
  </si>
  <si>
    <t>Global Industries</t>
  </si>
  <si>
    <t>T9AB1106678</t>
  </si>
  <si>
    <t>DeWALT® DW088K Self-Leveling Cross Line Laser 100ft. Range</t>
  </si>
  <si>
    <t>Laser Level</t>
  </si>
  <si>
    <t>Banquet | Carts and Transport</t>
  </si>
  <si>
    <t>T9A700204</t>
  </si>
  <si>
    <t>Laser Measure</t>
  </si>
  <si>
    <t>Laser Measuring Tool</t>
  </si>
  <si>
    <t>American Hotel Register</t>
  </si>
  <si>
    <t>J85R40</t>
  </si>
  <si>
    <t>Meeting Chimes</t>
  </si>
  <si>
    <t>VC63POLE</t>
  </si>
  <si>
    <t>Beverage Cage 18x36</t>
  </si>
  <si>
    <t>Beverage Cage Trolley Posts</t>
  </si>
  <si>
    <t>VC-1836</t>
  </si>
  <si>
    <t>Beverag Cage Shelf for 18x36</t>
  </si>
  <si>
    <t>Beverage Cage Extra shelf</t>
  </si>
  <si>
    <t>VCS-2448</t>
  </si>
  <si>
    <t>Wire Shelving Set</t>
  </si>
  <si>
    <t>Metro Shelf on Casters</t>
  </si>
  <si>
    <t>24X48X74VUC</t>
  </si>
  <si>
    <t>Cover for Shelving Unit</t>
  </si>
  <si>
    <t>Cover for Metro Shelf</t>
  </si>
  <si>
    <t>VC-CTB</t>
  </si>
  <si>
    <t xml:space="preserve">Caster for 24x48 </t>
  </si>
  <si>
    <t>Metro Shelf Casters heavy duty</t>
  </si>
  <si>
    <t>Mogogo</t>
  </si>
  <si>
    <t>Banquet | Buffet Other</t>
  </si>
  <si>
    <t>MGCRNX11MBXX - Finishes TBD</t>
  </si>
  <si>
    <t>Service Cart Station</t>
  </si>
  <si>
    <t>Service Cart w/Leather Handle And Heavy Duty Bumper L 42 1/2" W 24" H 36 1/2"</t>
  </si>
  <si>
    <t>Evo</t>
  </si>
  <si>
    <t>10-0081 - Confirm if natural or propane Gas</t>
  </si>
  <si>
    <t>Evo Grill with Stand Natural Gas</t>
  </si>
  <si>
    <t>Evo Flat Top Gas on Stand</t>
  </si>
  <si>
    <t>Kamado Joe</t>
  </si>
  <si>
    <t>KJ15041021</t>
  </si>
  <si>
    <t>Mobile Charcoal Grills Red</t>
  </si>
  <si>
    <t>Big Joe III w/ Cart, Hyperbolic Insert, Aluminum Side Shelves, Heat Def, D&amp;C, Tools</t>
  </si>
  <si>
    <t xml:space="preserve">Gozney </t>
  </si>
  <si>
    <t>Mobile Pizza Oven</t>
  </si>
  <si>
    <t>Mobile Pizza Oven - Gozney Dome with Dome Stand and Dome Stand Cover. Peel and Turning Peel</t>
  </si>
  <si>
    <t>sets</t>
  </si>
  <si>
    <t>Buffet Lighting</t>
  </si>
  <si>
    <t>LED Chargable Lamps</t>
  </si>
  <si>
    <t>Couwboy Cauldron</t>
  </si>
  <si>
    <t>Couwboy Cauldron - Urban</t>
  </si>
  <si>
    <t>https://cowboycauldron.com/products/the-urban-cowboy</t>
  </si>
  <si>
    <t>Mill Scale</t>
  </si>
  <si>
    <t>Yakitori grill mill scale</t>
  </si>
  <si>
    <t>https://millscale.co/products/yakitori-ii</t>
  </si>
  <si>
    <t>H-9818</t>
  </si>
  <si>
    <t>Fly Ventilator</t>
  </si>
  <si>
    <t>Bug Fan set of 2 3 x 10"</t>
  </si>
  <si>
    <t>4420 - Custom Finishes Available</t>
  </si>
  <si>
    <t>Ice Carts</t>
  </si>
  <si>
    <t>Standard Ice Restock Cart –  insulated cabinet finished in high pressure laminate with stainless steel lid hinged in center. 170 lbs</t>
  </si>
  <si>
    <t>Banquet | BOH Bar</t>
  </si>
  <si>
    <t>22440-3</t>
  </si>
  <si>
    <t>Heritage Jar Displays -112 I 12.75” W x 4.25” D x 4” H | 3 Jar</t>
  </si>
  <si>
    <t>BC-6</t>
  </si>
  <si>
    <t xml:space="preserve">Plastic Bar Caddy Organizer </t>
  </si>
  <si>
    <t>Y Peeler, one size, multi</t>
  </si>
  <si>
    <t xml:space="preserve">Banquet </t>
  </si>
  <si>
    <t>06.7585.6040</t>
  </si>
  <si>
    <t>Marking Tray for Flatware</t>
  </si>
  <si>
    <t>WMF S/S 11 x 8" Rectangle Serving Tray Stainless Steel</t>
  </si>
  <si>
    <t>Employee Dining</t>
  </si>
  <si>
    <t>Cafeteria Tray</t>
  </si>
  <si>
    <t>1200P2401</t>
  </si>
  <si>
    <t>Tumbler</t>
  </si>
  <si>
    <t>TM-1316-W</t>
  </si>
  <si>
    <t>Mug, Plastic</t>
  </si>
  <si>
    <t>Mug, 12 oz. (16 oz. rim full), 3-1/2" dia., (4-3/4" with handle) x 4-1/8" deep, TRITAN, white</t>
  </si>
  <si>
    <t>CS-1100-W/CB</t>
  </si>
  <si>
    <t>Plate</t>
  </si>
  <si>
    <t>Settlement Bistro™ Enamelware Dinner Plate, 11", round, dishwasher safe, melamine, white with cobalt blue trim, NSF, BPA Free</t>
  </si>
  <si>
    <t>CS-800-W/CB</t>
  </si>
  <si>
    <t>Settlement Bistro™ Enamelware Side Dish Plate, 8" x 7/8", round, dishwasher safe, melamine, white with cobalt blue trim, NSF, BPA Free</t>
  </si>
  <si>
    <t>B-140-W/CB</t>
  </si>
  <si>
    <t>Plastic Bowl</t>
  </si>
  <si>
    <t>Settlement Bistro™ Enamelware Bowl, 14 oz. (16 oz. rim-full), 5-1/4" x 2-1/4", round, dishwasher safe, melamine, white with cobalt blue trim, NSF, BPA Free</t>
  </si>
  <si>
    <t>0026-03</t>
  </si>
  <si>
    <t>0026-05</t>
  </si>
  <si>
    <t>0026-08</t>
  </si>
  <si>
    <t>0026-01</t>
  </si>
  <si>
    <t>Coffee / Teaspoon</t>
  </si>
  <si>
    <t>TC1418110</t>
  </si>
  <si>
    <t>Bussing Utility Transport Cart</t>
  </si>
  <si>
    <t>Waring</t>
  </si>
  <si>
    <t>WCT708</t>
  </si>
  <si>
    <t>Toaster 4 Slot</t>
  </si>
  <si>
    <t>NH-5</t>
  </si>
  <si>
    <t>Napkin Dispenser</t>
  </si>
  <si>
    <t>Main Kitchen</t>
  </si>
  <si>
    <t>LADLES, SPOONS &amp; MEASURES</t>
  </si>
  <si>
    <t>11970-06</t>
  </si>
  <si>
    <t>Stainless Steel Ladle 6 cm - 2 3/8 inches diameter</t>
  </si>
  <si>
    <t xml:space="preserve">One Piece Ladle Ø Cm 6,5 S/Steel </t>
  </si>
  <si>
    <t>11970-08</t>
  </si>
  <si>
    <t>Stainless Steel Ladle 8 cm - 3 1/8 inches diameter</t>
  </si>
  <si>
    <t xml:space="preserve">One Piece Ladle Ø Cm 8 S/Steel </t>
  </si>
  <si>
    <t>11970-10</t>
  </si>
  <si>
    <t>Stainless Steel Ladle 10 cm - 4 inches diameter</t>
  </si>
  <si>
    <t xml:space="preserve">One Piece Ladle Ø Cm 10 S/Steel </t>
  </si>
  <si>
    <t>11970-12</t>
  </si>
  <si>
    <t>Stainless Steel Ladle 12 cm - 4 3/4 inches diameter</t>
  </si>
  <si>
    <t xml:space="preserve">One Piece Ladle Ø Cm 12 S/Steel </t>
  </si>
  <si>
    <t>11970-14</t>
  </si>
  <si>
    <t>Stainless Steel Ladle 14 cm - 5 1/2 inches diameter</t>
  </si>
  <si>
    <t xml:space="preserve">One Piece Ladle Ø Cm 14 S/Steel </t>
  </si>
  <si>
    <t>11970-16</t>
  </si>
  <si>
    <t>Stainless Steel Ladle 16 cm - 6 3/8 inches diameter</t>
  </si>
  <si>
    <t xml:space="preserve">One Piece Ladle Ø Cm 16 S/Steel </t>
  </si>
  <si>
    <t>11971-08</t>
  </si>
  <si>
    <t>Stainless Steel Skimmer 8 cm - 3 1/8 inches diamter</t>
  </si>
  <si>
    <t xml:space="preserve">One Piece Skimmer S/Steel </t>
  </si>
  <si>
    <t>11971-10</t>
  </si>
  <si>
    <t>Stainless Steel Skimmer 10 cm -  4 inches diameter</t>
  </si>
  <si>
    <t>11971-14</t>
  </si>
  <si>
    <t>Stainless Steel Skimmer 14cm - 5 1/2 inches diameter</t>
  </si>
  <si>
    <t>11971-16</t>
  </si>
  <si>
    <t>Stainless Steel Skimmer 16 cm - 6 3/8 inches diameter</t>
  </si>
  <si>
    <t>12641-14</t>
  </si>
  <si>
    <t>Wire Skimmer Stainless Steel 14 cm -  5 1/2 inches diameter</t>
  </si>
  <si>
    <t xml:space="preserve">Skimmer Cm 14 S/Steel </t>
  </si>
  <si>
    <t>12641-18</t>
  </si>
  <si>
    <t>Wire Skimmer Stainless Steel 18 cm -  7 Inches diameter</t>
  </si>
  <si>
    <t xml:space="preserve">Skimmer Cm 18 S/Steel </t>
  </si>
  <si>
    <t>12641-24</t>
  </si>
  <si>
    <t>Wire Skimmer Stainless Steel 24 cm -  9 1/2 inches diameter</t>
  </si>
  <si>
    <t xml:space="preserve">Skimmer Cm 24 S/Steel </t>
  </si>
  <si>
    <t>41675-00</t>
  </si>
  <si>
    <t xml:space="preserve">Stainless Steel Spoon All Purpose 29 cm - 11 inches length </t>
  </si>
  <si>
    <t xml:space="preserve">Basting Spoon Cm 29 S/Steel </t>
  </si>
  <si>
    <t>11982-38</t>
  </si>
  <si>
    <t>Stainless Steel Spoon Basting / Sauce 38 cm - 15 inches length</t>
  </si>
  <si>
    <t xml:space="preserve">One Piece Basting Spoon Cm 38 S/Steel </t>
  </si>
  <si>
    <t>41676-00</t>
  </si>
  <si>
    <t xml:space="preserve">Stainless Steel Perforated Spoon 32cm - 12.59 inches </t>
  </si>
  <si>
    <t xml:space="preserve">Perforated Basting Spoon Cm 32 S/Steel </t>
  </si>
  <si>
    <t>42609-10</t>
  </si>
  <si>
    <t>Ingredient Scoop All Purpose Aluminium small 18 cm - 7 1/3 inches</t>
  </si>
  <si>
    <t xml:space="preserve">Flour Scoop S/Steel </t>
  </si>
  <si>
    <t>42609-20</t>
  </si>
  <si>
    <t>Ingredient Scoop All Purpose Aluminium medium 25 cm - 9 3/4 inches</t>
  </si>
  <si>
    <t>42609-25</t>
  </si>
  <si>
    <t>Ingredient Scoop All Purpose Aluminium large 31 cm - 12 1/4 inches</t>
  </si>
  <si>
    <t>17610-05</t>
  </si>
  <si>
    <t xml:space="preserve">Ingredient Scoop Plastic Clear or white with handle small - 16 oz - 450 gram capacity </t>
  </si>
  <si>
    <t xml:space="preserve">Scoop Ml 500 Pp </t>
  </si>
  <si>
    <t>17610-10</t>
  </si>
  <si>
    <t>Ingredient Scoop Plastic Clear  or white with handle medium  - 32 oz  - 900 gram capacity</t>
  </si>
  <si>
    <t xml:space="preserve">Scoop L 1 Pp </t>
  </si>
  <si>
    <t>12940-20</t>
  </si>
  <si>
    <t>Ingredient Scoop Plastic Clear or white with handle large - 64 oz  - 1.8 kg capacity</t>
  </si>
  <si>
    <t xml:space="preserve">Scoop L 2 Pa+ </t>
  </si>
  <si>
    <t>Choice</t>
  </si>
  <si>
    <t>403frscpmd</t>
  </si>
  <si>
    <t>32 oz. Stainless Steel Flour / Breading Scoop</t>
  </si>
  <si>
    <t>44936-22</t>
  </si>
  <si>
    <t>Ice Machine Guardian System with Scoop</t>
  </si>
  <si>
    <t>Ice Scoop With Holder Lt 2,5 PC Dim Cm 61,5x47x25,4</t>
  </si>
  <si>
    <t>42581-05</t>
  </si>
  <si>
    <t>Stainless Steel Kitchen Measure with handle 0.5 ltr - 16 oz</t>
  </si>
  <si>
    <t xml:space="preserve">Graduated Measure Jug Stackable S/Steel </t>
  </si>
  <si>
    <t>42581-10</t>
  </si>
  <si>
    <t>Stainlss Steel Kitchen Measure with handle 1 ltr - 32 oz</t>
  </si>
  <si>
    <t>42581-20</t>
  </si>
  <si>
    <t>Stainless Steel Kitchen Measure with handle 2 ltr - 64 oz</t>
  </si>
  <si>
    <t>47606-10</t>
  </si>
  <si>
    <t>Plastic Measure w/ Scale &amp; Handle 1 ltr - 32 oz</t>
  </si>
  <si>
    <t xml:space="preserve">Measuring Jug Pp </t>
  </si>
  <si>
    <t>47606-30</t>
  </si>
  <si>
    <t>Plastic Measure w/ Scale &amp; Handle 3 ltr - 96 oz</t>
  </si>
  <si>
    <t>47606-50</t>
  </si>
  <si>
    <t>Plastic Measure w/ Scale &amp; Handle 5 ltr - 160 oz</t>
  </si>
  <si>
    <t>11976-99</t>
  </si>
  <si>
    <t>Stainless Steel Paddle Large Perforated - 1 meter - 39 3/8 inches long</t>
  </si>
  <si>
    <t xml:space="preserve">Perforated Slice S/Steel </t>
  </si>
  <si>
    <t>SPATULAS, TONGS &amp; SCRAPERS</t>
  </si>
  <si>
    <t>18520-06</t>
  </si>
  <si>
    <t>Spatula Triangular / Scraper - small 12 x 6 cm Plastic Handle</t>
  </si>
  <si>
    <t xml:space="preserve">Triangular Spatula Cm 12X6 Series 18500 S/Steel PP Handle </t>
  </si>
  <si>
    <t>18520-10</t>
  </si>
  <si>
    <t>Spatula Triangular / Scraper Medium 12 x 10 cm Plastic Handle</t>
  </si>
  <si>
    <t xml:space="preserve">Triangular Spatula Cm 12X10 Series 18500 S/Steel PP Handle </t>
  </si>
  <si>
    <t>18509-01</t>
  </si>
  <si>
    <t>Slotted Spatula / Fish Spatula - Angle Plastic Handle</t>
  </si>
  <si>
    <t xml:space="preserve">Slotted Spatula Cm 16X7,5 Series 18500 S/Steel PP Handle </t>
  </si>
  <si>
    <t>18511-15</t>
  </si>
  <si>
    <t>Superior Offset Spatula Heavy Duty 15 cm - 5.90 inches Plastic Handle</t>
  </si>
  <si>
    <t xml:space="preserve">Pizza Server Cm 15,5X8,7 Series 18500 S/Steel PP Handle </t>
  </si>
  <si>
    <t>18517-24</t>
  </si>
  <si>
    <t>Angle Spatula / Pan Turner Perforated 24 cm - 9 1/2 inches Plastic Handle</t>
  </si>
  <si>
    <t xml:space="preserve">Hamburger Turner Perforated Cm24X7,2 Series 18500 S/Steel PP Handle </t>
  </si>
  <si>
    <t>18516-24</t>
  </si>
  <si>
    <t>Angle Spatula / Pan Turner Solid 24 cm - 9 1/2 inches Plastic Handle</t>
  </si>
  <si>
    <t xml:space="preserve">Hamburger Turner Cm 24X7,2 Series 18500 S/Steel PP Handle </t>
  </si>
  <si>
    <t>18518-22</t>
  </si>
  <si>
    <t>Angle Spatula Straight / Icing Spatula 22 cm - 8 1/2 inches Plastic Handle</t>
  </si>
  <si>
    <t xml:space="preserve">Bent Icing Spatula Cm 22X3,4 Series 18500 S/Steel PP Handle </t>
  </si>
  <si>
    <t>18518-30</t>
  </si>
  <si>
    <t>Angle Spatula Straight / Icing Spatula 30 cm. - 11 3/4 inches Plastic Handle</t>
  </si>
  <si>
    <t xml:space="preserve">Bent Icing Spatula Cm 30X4,3 Series 18500 S/Steel PP Handle </t>
  </si>
  <si>
    <t>18519-15</t>
  </si>
  <si>
    <t>Spatula Straight 15.5cm - 6 inches Plastic Handle</t>
  </si>
  <si>
    <t xml:space="preserve">Straight Icing Spatula Cm 15,5X3 Series 18500 S/Steel PP Handle </t>
  </si>
  <si>
    <t>18519-22</t>
  </si>
  <si>
    <t>Spatula Straigh 22 cm - 8 1/2 inches Plastic Handle</t>
  </si>
  <si>
    <t xml:space="preserve">Straight Icing Spatula Cm 22X3,4 Series 18500 S/Steel PP Handle </t>
  </si>
  <si>
    <t>18519-26</t>
  </si>
  <si>
    <t>Spatula Straight 26 cm - 10 inches Plastic Handle</t>
  </si>
  <si>
    <t xml:space="preserve">Straight Icing Spatula Cm 26X3,7 Series 18500 S/Steel PP Handle </t>
  </si>
  <si>
    <t>18519-30</t>
  </si>
  <si>
    <t>Spatula Straight 30 cm - 11 3/4 inches Plastic Handle</t>
  </si>
  <si>
    <t xml:space="preserve">Straight Icing Spatula Cm 31X4,3 Series 18500 S/Steel PP Handle </t>
  </si>
  <si>
    <t>12915-25</t>
  </si>
  <si>
    <t xml:space="preserve">High Tempearture Rubber Scraper 26 cm - 10 inches </t>
  </si>
  <si>
    <t xml:space="preserve">Spatula Cm 25 Pa+ </t>
  </si>
  <si>
    <t>12915-35</t>
  </si>
  <si>
    <t xml:space="preserve">High Tempearture Rubber Scraper 33 cm - 13 inches </t>
  </si>
  <si>
    <t xml:space="preserve">Spatula Cm 35 Pa+ </t>
  </si>
  <si>
    <t>12905-35</t>
  </si>
  <si>
    <t>Spatula Exoglass 35cm - 13 3/4 inches</t>
  </si>
  <si>
    <t>12905-40</t>
  </si>
  <si>
    <t>Spatula Exoglass 40cm - 15 3/4 inches</t>
  </si>
  <si>
    <t xml:space="preserve">Spatula Cm 40 Pa+ </t>
  </si>
  <si>
    <t>41698-22</t>
  </si>
  <si>
    <t>Stainless Steel Heavy Duty All Purpose Tong 18 cm - 6 7/8 inches</t>
  </si>
  <si>
    <t xml:space="preserve">Grill Tweezer Cm 22,5 S/Steel </t>
  </si>
  <si>
    <t>41698-30</t>
  </si>
  <si>
    <t>Stainless Steel Heavy Duty All Purpose Tong 30 cm - 11 3/4 inches</t>
  </si>
  <si>
    <t xml:space="preserve">Grill Tweezer Cm 30 S/Steel </t>
  </si>
  <si>
    <t>12930-77</t>
  </si>
  <si>
    <t>Stainless Steel Tong with Nylon high heat front for non-stick pans 21 cm - 8.2 inches</t>
  </si>
  <si>
    <t xml:space="preserve">Toast Tongs Cm 21 PaPlus </t>
  </si>
  <si>
    <t>12930-78</t>
  </si>
  <si>
    <t>Stainless Steel Tong with Nylon high heat front for non-stick pans 30 cm - 11 3/4inches</t>
  </si>
  <si>
    <t xml:space="preserve">Toast Tongs Cm 25 PaPlus </t>
  </si>
  <si>
    <t>12930-51</t>
  </si>
  <si>
    <t xml:space="preserve">Black All Purpose Polycarbonate Tong 23cm - 9 inches </t>
  </si>
  <si>
    <t xml:space="preserve">Salad Tongs Cm 25 PaPlus </t>
  </si>
  <si>
    <t>42902-30</t>
  </si>
  <si>
    <t>Chefs Tweezers 30 cm - 11 3/4 inches</t>
  </si>
  <si>
    <t xml:space="preserve">Tongs S/Steel </t>
  </si>
  <si>
    <t>42592-01</t>
  </si>
  <si>
    <t>Fish Tweezers</t>
  </si>
  <si>
    <t xml:space="preserve">Fish-Bone Remover S/Steel </t>
  </si>
  <si>
    <t>KNIVES, CUTTERS, WISKS</t>
  </si>
  <si>
    <t>18236-30</t>
  </si>
  <si>
    <t>Sharpening Steel Oval Standard Cut, Black Plastic Handle  30 cm - 11 3/4 inches</t>
  </si>
  <si>
    <t>Oval Sharpening Steel Cm 30 Series 18200 Black Handle</t>
  </si>
  <si>
    <t>18235-30</t>
  </si>
  <si>
    <t>Sharpening Steel Round Standard Cut, Black Plastic 30 cm - 11 3/4 inches</t>
  </si>
  <si>
    <t>Sharpening Steel Cm 30 Series 18200 Black Handle</t>
  </si>
  <si>
    <t>18251-01</t>
  </si>
  <si>
    <t>Sharpening Stone Grit 1000/240 Series 18200 Cm 21X7X3</t>
  </si>
  <si>
    <t>18026-07</t>
  </si>
  <si>
    <t>Curved Paring knife, Black Plastic Handle 7 cm - 2 3/4 inches</t>
  </si>
  <si>
    <t>Bent Paring Knife Cm 7 Series 18000 Black Handle</t>
  </si>
  <si>
    <t>18024-11</t>
  </si>
  <si>
    <t>Straight Paring knife, Black Plastic Handle 11cm - 4 inches</t>
  </si>
  <si>
    <t>Paring Knife Cm 11 Series 18000 Black Handle</t>
  </si>
  <si>
    <t>18000-20</t>
  </si>
  <si>
    <t>Chefs Knife, Black Plastic Handle, Blade 20 cm - 8 inches</t>
  </si>
  <si>
    <t>Cook's Knife Cm 20 Series 18000 Black Handle</t>
  </si>
  <si>
    <t>18000-26</t>
  </si>
  <si>
    <t>Chefs Knife, Black Plastic Handle, Blade 25 cm - 10 inches</t>
  </si>
  <si>
    <t>Cook's Knife Cm 26 Series 18000 Black Handle</t>
  </si>
  <si>
    <t>18000-30</t>
  </si>
  <si>
    <t>Chefs Knife, Black Plastic Handle, Blade 31 cm - 12 inches</t>
  </si>
  <si>
    <t>Cook's Knife Cm 30 Series 18000 Black Handle</t>
  </si>
  <si>
    <t>18000Y26</t>
  </si>
  <si>
    <t>Chefs Knife, Yellow Plastic Handle for Poultry, Blade 25 cm - 10 inches</t>
  </si>
  <si>
    <t>Cook's Knife Cm 26 Series 18000 Yellow Handle</t>
  </si>
  <si>
    <t>18000R26</t>
  </si>
  <si>
    <t>Chefs Kife, Red Plastic Handle for Meat, Blade 25 cm - 10 inches</t>
  </si>
  <si>
    <t>Cook's Knife Cm 26 Series 18000 Red Handle</t>
  </si>
  <si>
    <t>18000B26</t>
  </si>
  <si>
    <t>Chefs Knife, Blue Plastic Handle for Fish/Seafood, Blade 25 cm - 10 inches</t>
  </si>
  <si>
    <t>Cook's Knife Cm 26 Series 18000 Blue Handle</t>
  </si>
  <si>
    <t>18016Y14</t>
  </si>
  <si>
    <t>Boning Knife Flex Blade, Yellow Plastic Handle, for Poultry, Blade 15 cm - 6 inches</t>
  </si>
  <si>
    <t>Boning Knife Cm 14 Series 18000 Yellow Handle</t>
  </si>
  <si>
    <t>18016R14</t>
  </si>
  <si>
    <t>Boning Knife Flex Blade, Red Plastic Handle, for Poultry, Blade 15 cm - 6 inches</t>
  </si>
  <si>
    <t>Boning Knife Cm 14 Series 18000 Red Handle</t>
  </si>
  <si>
    <t>18016B14</t>
  </si>
  <si>
    <t>Boning Knife Flex Blade, Blue Plastic Handle for Fish/Seafood, Blade 15 cm - 6 inches</t>
  </si>
  <si>
    <t>Boning Knife Cm 14 Series 18000 Blue Handle</t>
  </si>
  <si>
    <t>18007-36</t>
  </si>
  <si>
    <t>Chefs Slicing Knife, Straight, Black Plastic Handle, Blade 36 cm - 14 inches</t>
  </si>
  <si>
    <t>Slicing Knife Wavy Blade Cm 36 Series 18000 Black Handle</t>
  </si>
  <si>
    <t>18007-30</t>
  </si>
  <si>
    <t>Chefs Slicing Knive, Serrated Wavy Edge, Black Plastic Handle, Blade 30 cm - 12 inches</t>
  </si>
  <si>
    <t>Slicing Knife Wavy Blade Cm 30 Series 18000 Black Handle</t>
  </si>
  <si>
    <t>18028-25</t>
  </si>
  <si>
    <t xml:space="preserve">Bread Knife, Serrated Wavy Edge - wide blade, Black Plastic Handle, Blade 25 cm - 10 inches </t>
  </si>
  <si>
    <t>Bread Knife Cm 25 Series 18000 Black Handle</t>
  </si>
  <si>
    <t>18028W25</t>
  </si>
  <si>
    <t xml:space="preserve">Bread Knife, Serrated Wavy Edge - wide blade, White Plastic Handle, Blade 25 cm - 10 inches </t>
  </si>
  <si>
    <t>Bread Knife Cm 25 Series 18000 White Handle</t>
  </si>
  <si>
    <t>18029W36</t>
  </si>
  <si>
    <t>Cake/Pastry Slicing Knife Serrated Wavy Edge, White Handle, Blade 36 cm - 14 inches</t>
  </si>
  <si>
    <t>Confectioner's Knife Cm 36 Series 18000 White Handle</t>
  </si>
  <si>
    <t>48215-30</t>
  </si>
  <si>
    <t>Knife Mincing Double Blade, Black Plastic Handle, 23cm - 9 inches</t>
  </si>
  <si>
    <t xml:space="preserve">Double Blade Mincing Knife S/Steel </t>
  </si>
  <si>
    <t>18220-20</t>
  </si>
  <si>
    <t>Heavy Duty Cleaver, Black Platic Handle, 20 cm - 7 3/4 inches</t>
  </si>
  <si>
    <t xml:space="preserve">Meat Cleaver Cm 20 Series 18200 </t>
  </si>
  <si>
    <t>42502-11</t>
  </si>
  <si>
    <t>Meat Tenderizer Flat</t>
  </si>
  <si>
    <t xml:space="preserve">Meat Tenderizer Kg 1,1 S/Steel </t>
  </si>
  <si>
    <t>42508-01</t>
  </si>
  <si>
    <t>Meat Tenderizer Hammer Style</t>
  </si>
  <si>
    <t xml:space="preserve">Steak Hammer Kg 0,41 Aluminium </t>
  </si>
  <si>
    <t>48280-37</t>
  </si>
  <si>
    <t>Scaler Fish Stainless Steel</t>
  </si>
  <si>
    <t xml:space="preserve">Fish Scaler Cm 22,5 Series 48280 S/Steel PP Handle </t>
  </si>
  <si>
    <t>18209-06</t>
  </si>
  <si>
    <t>Oyster Knife, Black or White Plastic Handle - no guard</t>
  </si>
  <si>
    <t xml:space="preserve">Oyster Knife Cm 15 Series 18200 </t>
  </si>
  <si>
    <t>48280-05</t>
  </si>
  <si>
    <t>Oyster Knife with Guard, Black Plastic Handle</t>
  </si>
  <si>
    <t xml:space="preserve">Oyster Knife Cm 20,5 Series 48280 S/Steel PP Handle </t>
  </si>
  <si>
    <t>18272-00</t>
  </si>
  <si>
    <t>Kitchen Shears</t>
  </si>
  <si>
    <t xml:space="preserve">All Purpose Scissors Cm 18,5 S/Steel PP </t>
  </si>
  <si>
    <t>12928-25</t>
  </si>
  <si>
    <t>Balloon Whisk, Stainless Steel 25 cm - 10 inches</t>
  </si>
  <si>
    <t xml:space="preserve">Wire Whip, 8 Wires Cm 25  </t>
  </si>
  <si>
    <t>12928-30</t>
  </si>
  <si>
    <t>Ballon Whisk, Stainless Steel 30 cm - 11 7/8  inches</t>
  </si>
  <si>
    <t xml:space="preserve">Wire Whip, 8 Wires Cm 30  </t>
  </si>
  <si>
    <t>12928-35</t>
  </si>
  <si>
    <t>Balloon Whisk, Stainless Steel 35 cm - 14 ches</t>
  </si>
  <si>
    <t xml:space="preserve">Wire Whip, 8 Wires Cm 35  </t>
  </si>
  <si>
    <t>12928-45</t>
  </si>
  <si>
    <t>Balloon Whisk, Stainless Steel, 45 cm - 18 inches</t>
  </si>
  <si>
    <t xml:space="preserve">Wire Whip, 8 Wires Cm 45  </t>
  </si>
  <si>
    <t>12929-25</t>
  </si>
  <si>
    <t>French Whisk, Stainless Steel, 20 cm - 7 3/4 inches</t>
  </si>
  <si>
    <t xml:space="preserve">Egg Whisk, 11 Wires Cm 25  </t>
  </si>
  <si>
    <t>12929-30</t>
  </si>
  <si>
    <t>French Whisk, Stainless Steel, 30 cm - 11 7/8 inches</t>
  </si>
  <si>
    <t xml:space="preserve">Egg Whisk, 11 Wires Cm 30  </t>
  </si>
  <si>
    <t>12929-45</t>
  </si>
  <si>
    <t>French Whisk, Stainless Steel, 40 cm - 16 inches</t>
  </si>
  <si>
    <t xml:space="preserve">Egg Whisk, 11 Wires Cm 45  </t>
  </si>
  <si>
    <t>41980-99</t>
  </si>
  <si>
    <t>Giant Kettle Whisk, 1 meter - 40 inches</t>
  </si>
  <si>
    <t xml:space="preserve">Whisk For Basin S/Steel </t>
  </si>
  <si>
    <t>48237-00</t>
  </si>
  <si>
    <t>Truffle Slicer / Cutter</t>
  </si>
  <si>
    <t xml:space="preserve">Truffle-Slicer S/Steel </t>
  </si>
  <si>
    <t>49753-06</t>
  </si>
  <si>
    <t>Japanese Mandoline "little beni"</t>
  </si>
  <si>
    <t xml:space="preserve">Japanese Mandoline Slicer Abs S/Steel </t>
  </si>
  <si>
    <t>49829-11</t>
  </si>
  <si>
    <t>Bron Stainless Steel Mandoline with Guard</t>
  </si>
  <si>
    <t xml:space="preserve">Slicer 7 Blades Cm 39X12,5X5,5 S/Steel </t>
  </si>
  <si>
    <t>48280-25</t>
  </si>
  <si>
    <t>Apple Corer, Black Plastic Handle</t>
  </si>
  <si>
    <t xml:space="preserve">Apple Corer Ø Cm 1,2 Series 48280 S/Steel PP Handle </t>
  </si>
  <si>
    <t>48280-24</t>
  </si>
  <si>
    <t>Round Baller, Black Plastic Handle 10 mm - 3/8 inches diameter</t>
  </si>
  <si>
    <t xml:space="preserve">Mellon Baller Ø Cm 1 Series 48280 S/Steel PP Handle </t>
  </si>
  <si>
    <t>48280-30</t>
  </si>
  <si>
    <t>Round Baller Black Plastic Handle 15mm - 9/32 inches diameter</t>
  </si>
  <si>
    <t xml:space="preserve">Mellon Baller Ø Cm 1,5 Series 48280 S/Steel PP Handle </t>
  </si>
  <si>
    <t>48280-35</t>
  </si>
  <si>
    <t>Round Baller Black Plastic Handle, 25mm - 7/8 inches diameter</t>
  </si>
  <si>
    <t xml:space="preserve">Mellon Baller Ø Cm 2,3 Series 48280 S/Steel PP Handle </t>
  </si>
  <si>
    <t>48280-26</t>
  </si>
  <si>
    <t>Oval Baller, Black Plastic Handle, 26 x 15mm - 7/8 x 9/32 inches</t>
  </si>
  <si>
    <t xml:space="preserve">Oval Melon Baller Ø Cm 1,9 Series 48280 S/Steel PP Handle </t>
  </si>
  <si>
    <t>48280-90</t>
  </si>
  <si>
    <t>Julienne Zester Fine (6 lines) Black Plastic Handle</t>
  </si>
  <si>
    <t xml:space="preserve">Citrus Zester Cm 17 Series 48280 S/Steel PP Handle </t>
  </si>
  <si>
    <t>42569-04</t>
  </si>
  <si>
    <t>Microplane, 4 Sided Box Grater</t>
  </si>
  <si>
    <t xml:space="preserve">4-Ways Grater S/Steel </t>
  </si>
  <si>
    <t>42560-08</t>
  </si>
  <si>
    <t>Micropane Professional Grater Stainless Steel, Fine</t>
  </si>
  <si>
    <t xml:space="preserve">Grater S/Steel </t>
  </si>
  <si>
    <t>42560-06</t>
  </si>
  <si>
    <t>Microplane Professional Grater Stainless Steel, Medium</t>
  </si>
  <si>
    <t>42560-01</t>
  </si>
  <si>
    <t>Microplane Professional Grater Stainless Steel, Coarse</t>
  </si>
  <si>
    <t>47323-12</t>
  </si>
  <si>
    <t>Cutters Square , Stainless Steel, Plain, Set of 8 pieces</t>
  </si>
  <si>
    <t xml:space="preserve">Square Set 6 Pcs S/Steel </t>
  </si>
  <si>
    <t>47326-10</t>
  </si>
  <si>
    <t>Cutters Oval,  Plain, Stainless Steel, Set of 9 pieces</t>
  </si>
  <si>
    <t xml:space="preserve">Oval S/Steel </t>
  </si>
  <si>
    <t>47316-10</t>
  </si>
  <si>
    <t>Cutters Round, Plain, Stainless Steel - Set of 10 pieces</t>
  </si>
  <si>
    <t xml:space="preserve">Ring S/Steel </t>
  </si>
  <si>
    <t>47317-10</t>
  </si>
  <si>
    <t>Cutter Round, Exoglass, Fluted, Set of 9 pieces</t>
  </si>
  <si>
    <t xml:space="preserve">Fancy Ring S/Steel Set 11 </t>
  </si>
  <si>
    <t>42597-00</t>
  </si>
  <si>
    <t>Egg Cutter/Divider, 6 pieces Stainless Steel</t>
  </si>
  <si>
    <t xml:space="preserve">Egg Wedger S/Steel </t>
  </si>
  <si>
    <t>42588-01</t>
  </si>
  <si>
    <t>Egg Slicer</t>
  </si>
  <si>
    <t xml:space="preserve">Egg-Slicer Aluminium </t>
  </si>
  <si>
    <t>42589-00</t>
  </si>
  <si>
    <t>Peeler Potato Rex Movable Blade White</t>
  </si>
  <si>
    <t xml:space="preserve">Potato Peeler S/Steel </t>
  </si>
  <si>
    <t>PASTRY SPECIFIC</t>
  </si>
  <si>
    <t>47042-25</t>
  </si>
  <si>
    <t>Proofing Basket Round, 24 cm - 9 1/2 inches</t>
  </si>
  <si>
    <t xml:space="preserve">Proofing Basket For Bread Ø 25 Blue 1,5 Kg </t>
  </si>
  <si>
    <t>47043-42</t>
  </si>
  <si>
    <t>Proofing Basket Long, 41 cm - 16 1/4 inches</t>
  </si>
  <si>
    <t xml:space="preserve">Proofing Basket For Bread Cm 14X42 Blue 1,5 Kg </t>
  </si>
  <si>
    <t>47642-30</t>
  </si>
  <si>
    <t>Flat Pastry/Baker Brush 30 mm - 1 inch</t>
  </si>
  <si>
    <t xml:space="preserve">Pastry Brush Plastic Handle S/S Ferrule </t>
  </si>
  <si>
    <t>47642-40</t>
  </si>
  <si>
    <t>Flat Pastry/Baker Brush 40 mm - 1.57 inches</t>
  </si>
  <si>
    <t>47642-50</t>
  </si>
  <si>
    <t>Flat Pastry/Baker Brush 50 mm - 1 3/4 inches</t>
  </si>
  <si>
    <t>47642-60</t>
  </si>
  <si>
    <t>Flat Pastry/Baker Brush 60mm - 2 3/8 inches</t>
  </si>
  <si>
    <t xml:space="preserve">Round Pastry/Baker Brush </t>
  </si>
  <si>
    <t>Natural bristle round pastry brush - Diam15x210mm</t>
  </si>
  <si>
    <t>41758-65</t>
  </si>
  <si>
    <t>Baguette Sheet - Tray for 6 Baguettes</t>
  </si>
  <si>
    <t xml:space="preserve">French Bread Pan Perforated Aluminium Silicone Coating </t>
  </si>
  <si>
    <t>41745-60</t>
  </si>
  <si>
    <t>Blue Steel Baking Tray/Sheet 60x40 cm</t>
  </si>
  <si>
    <t xml:space="preserve">Baking Pan Rectangular Cm 60X40 Blue Steel </t>
  </si>
  <si>
    <t>47098-26</t>
  </si>
  <si>
    <t>Tray Cake Cooling Round - 25 cm - 9 inches</t>
  </si>
  <si>
    <t xml:space="preserve">Cake Cooling Tray Cm 26 Chromed </t>
  </si>
  <si>
    <t>44431-60</t>
  </si>
  <si>
    <t>Confectionary Rack with Feet</t>
  </si>
  <si>
    <t>Wire Grid With Feet S/Steel Cm 60X40</t>
  </si>
  <si>
    <t>44431-46</t>
  </si>
  <si>
    <t>Wire Grid with feet</t>
  </si>
  <si>
    <t>Wire Grid With Feet S/Steel Cm 46X30</t>
  </si>
  <si>
    <t>44422-00</t>
  </si>
  <si>
    <t>Freezer Grid Tray GN 1/1</t>
  </si>
  <si>
    <t>Wire Grid Gn 1/1 Gastronorm S/Steel Cm 53X32,5</t>
  </si>
  <si>
    <t>47712-20</t>
  </si>
  <si>
    <t xml:space="preserve">Pan Quiche non stick - removeable bottom 20 cm </t>
  </si>
  <si>
    <t xml:space="preserve">Fluted Cake Tin Loose Base Ø Cm 20 Non Stick Coated </t>
  </si>
  <si>
    <t>Cake/ Mousse Frame</t>
  </si>
  <si>
    <t>Matfer Bourgeat Stackable Cake/Mousse Frame Set, sheet and 3 frames - Set of 4: includes 1 stainless steel sheet and 3 stackable frames of different heights  22.5x14.5 inches - size 23 3/4 x 15 3/4 inches</t>
  </si>
  <si>
    <t>Tuiles Mold Sheet</t>
  </si>
  <si>
    <t xml:space="preserve">S/S Tuiles Biscuits Sheet 35X30x2.5 Cm  </t>
  </si>
  <si>
    <t>47680-40</t>
  </si>
  <si>
    <t>Half Size Silicone Baking Mat 30 cm x 40 cm - 11 5/8 x 16 3/8 inches</t>
  </si>
  <si>
    <t xml:space="preserve">Baking Mat Silpat Cm 40X30 Fiberglass Silicone Coating </t>
  </si>
  <si>
    <t>47680-60</t>
  </si>
  <si>
    <t xml:space="preserve">Full Size Silicone Baking Mat 60 x 40 cm - 16 3/8 x 24 1/2 inches </t>
  </si>
  <si>
    <t xml:space="preserve">Baking Mat Silpat Cm 60X40 Fiberglass Silicone Coating </t>
  </si>
  <si>
    <t>47670-02</t>
  </si>
  <si>
    <t>Comb - Charlotte</t>
  </si>
  <si>
    <t>Comb For Charlotte With Frame S/Steel - 57x36.5cm</t>
  </si>
  <si>
    <t>47626-55</t>
  </si>
  <si>
    <t>Plastic Mousse Frame, Ruler</t>
  </si>
  <si>
    <t xml:space="preserve">Biscuit Spatula Cm 55,5 ABS </t>
  </si>
  <si>
    <t>Caramel Ruler</t>
  </si>
  <si>
    <t>Set of 6pcs, polished aluminum - 2 rulers 3mm, 2 rulers 5mm, 2 rulers 10mm thick</t>
  </si>
  <si>
    <t>47754-24</t>
  </si>
  <si>
    <t xml:space="preserve">Cake pan spring form  24 cm - 9 1/2 inches </t>
  </si>
  <si>
    <t xml:space="preserve">Cake Tin Loose Base Ø Cm 24 Non Stick Coated </t>
  </si>
  <si>
    <t>47754-28</t>
  </si>
  <si>
    <t xml:space="preserve">Cake pan spring form  28 cm - 11 inches </t>
  </si>
  <si>
    <t xml:space="preserve">Cake Tin Loose Base Ø Cm 28 Non Stick Coated </t>
  </si>
  <si>
    <t>47528-05</t>
  </si>
  <si>
    <t>Adjustable Rectangle/Square Cake Form</t>
  </si>
  <si>
    <t>Rectangular Cake Setting Ring Flexible S/Steel cm 19x28/34x54</t>
  </si>
  <si>
    <t>47705-22</t>
  </si>
  <si>
    <t>Kugelhopf Form 22 cm - 8.6 inches</t>
  </si>
  <si>
    <t xml:space="preserve">Gugelhupf Cake Pan Ø Cm 22 Non Stick Coated </t>
  </si>
  <si>
    <t>47033-08</t>
  </si>
  <si>
    <t>Cake Marker / Tart Divider (8-12 pieces) 18cm dia / 7 inches</t>
  </si>
  <si>
    <t>Cake Marker Double-Sided Pp Dia 18 CM</t>
  </si>
  <si>
    <t>47033-12</t>
  </si>
  <si>
    <t xml:space="preserve">Cake Marker / Tart Divider (12-14 pieces) Plastic 27 cm - 10 1/2 inchese diameter </t>
  </si>
  <si>
    <t>Cake Marker Double-Sided Pp dia 26,5 CM</t>
  </si>
  <si>
    <t>47033-14</t>
  </si>
  <si>
    <t>Cake Marker / Tart Divider (14 -18 pieces) Plastic 27 cm -- 10 1/2 inches diameter</t>
  </si>
  <si>
    <t>47532-18</t>
  </si>
  <si>
    <t>Mousse Ring 18 cm</t>
  </si>
  <si>
    <t xml:space="preserve">Cake Ring Ø Cm 18 H 4,5 S/Steel </t>
  </si>
  <si>
    <t>47532-24</t>
  </si>
  <si>
    <t xml:space="preserve">Mouse Ring 24 cm </t>
  </si>
  <si>
    <t xml:space="preserve">Cake Ring Ø Cm 24 H 4,5 S/Steel </t>
  </si>
  <si>
    <t>47532-26</t>
  </si>
  <si>
    <t>Mousse Ring 28 cm</t>
  </si>
  <si>
    <t xml:space="preserve">Cake Ring Ø Cm 26 H 4,5 S/Steel </t>
  </si>
  <si>
    <t>47529-07</t>
  </si>
  <si>
    <t xml:space="preserve">Adjustable Tart Ring </t>
  </si>
  <si>
    <t xml:space="preserve">Cake Setting Ring Ø Cm 16,5-32 H 8 S/Steel </t>
  </si>
  <si>
    <t>47425-10</t>
  </si>
  <si>
    <t xml:space="preserve">Ring Nonette Mould Rectangular </t>
  </si>
  <si>
    <t xml:space="preserve">6 Pcs Cutters Rect.  </t>
  </si>
  <si>
    <t>47425-30</t>
  </si>
  <si>
    <t>Ring Nonnette Diamond/Hexagonal</t>
  </si>
  <si>
    <t>6 Pcs Cutters Hexagon H 30  mm</t>
  </si>
  <si>
    <t>47425-02</t>
  </si>
  <si>
    <t>Ring Nonette Round</t>
  </si>
  <si>
    <t xml:space="preserve">6 Pcs Cutters Round H 30 Ø 50  </t>
  </si>
  <si>
    <t>47425-26</t>
  </si>
  <si>
    <t>Ring Nonnette Teardrop</t>
  </si>
  <si>
    <t>6 Pcs Cutters Teardrop H 30  mm</t>
  </si>
  <si>
    <t>47425-06</t>
  </si>
  <si>
    <t>Ring  Nonnette Triangular</t>
  </si>
  <si>
    <t>6 Pcs Cutters Triang. H 30  mm</t>
  </si>
  <si>
    <t>47621-03</t>
  </si>
  <si>
    <t xml:space="preserve">Dough Scraper Plastic  </t>
  </si>
  <si>
    <t xml:space="preserve">Dough Scraper, 10 Pcs Mm 120X88 Pp Red </t>
  </si>
  <si>
    <t>18501-02</t>
  </si>
  <si>
    <t>Dough Scraper Stainless Steel</t>
  </si>
  <si>
    <t xml:space="preserve">Dough Scraper Flexible Cm 12X9,5 Series 18500 S/Steel PP Handle </t>
  </si>
  <si>
    <t>47740-13</t>
  </si>
  <si>
    <t>Flexipan 24 Pyramide Mould</t>
  </si>
  <si>
    <t>Mold Pyramids Silicone Flexipan Origine Cm 60X40 Pcs 24 Ml 90</t>
  </si>
  <si>
    <t>47740-12</t>
  </si>
  <si>
    <t>Flexipan 54 Petit Fours Pyramide Mould</t>
  </si>
  <si>
    <t>Mold Small Pyramids Silicone Flexipan Origine Cm 60X40 Pcs 54 Ml 15</t>
  </si>
  <si>
    <t>47740-62</t>
  </si>
  <si>
    <t>Flexipan 15 Florentine Moulds</t>
  </si>
  <si>
    <t>Mold Quiches Silicone Flexipan Origine Cm 60X40 Pcs 15 Ml 140</t>
  </si>
  <si>
    <t>47740-84</t>
  </si>
  <si>
    <t>Flexipan 40 Florentiner Mould</t>
  </si>
  <si>
    <t>Mold Small Quiches Silicone Flexipan Origine Cm 60X40 Pcs 40 Ml 35</t>
  </si>
  <si>
    <t>47740-58</t>
  </si>
  <si>
    <t>Flexipan 24 Brioche Mould</t>
  </si>
  <si>
    <t>Mold Fluted Brioches Silicone Flexipan Origine Cm 60X40 Pcs 24 Ml 60</t>
  </si>
  <si>
    <t>47740-15</t>
  </si>
  <si>
    <t xml:space="preserve">Flexipan 24 Savarin Mould </t>
  </si>
  <si>
    <t>Mold Savarins Silicone Flexipan Origine Cm 60X40 Pcs 24 Ml 65</t>
  </si>
  <si>
    <t>47740-31</t>
  </si>
  <si>
    <t>Flexipan 48 Tartlette Mould</t>
  </si>
  <si>
    <t>Mold Small Oval Tartlets Silicone Flexipan Origine Cm 60X40 Pcs 48 Ml 10</t>
  </si>
  <si>
    <t>47740-51</t>
  </si>
  <si>
    <t>Flexipan 50 Mini Muffin Mould</t>
  </si>
  <si>
    <t>Mold Small Cylinders Silicone Flexipan Origine Cm 60X40 Pcs 48 Ml 25</t>
  </si>
  <si>
    <t>47740-07</t>
  </si>
  <si>
    <t xml:space="preserve">Flexipan 60 Petit Fours Tartlette Mould </t>
  </si>
  <si>
    <t>Mold Small Quiches Silicone Flexipan Origine Cm 60X40 Pcs 60 Ml 13</t>
  </si>
  <si>
    <t>47740-01</t>
  </si>
  <si>
    <t xml:space="preserve">Flexipan 70 Petits Fours Min i Half Sphere </t>
  </si>
  <si>
    <t>Mold Small Half Sphere Silicone Flexipan Origine Cm 60X40 Pcs 70 Ml 10</t>
  </si>
  <si>
    <t>47740-44</t>
  </si>
  <si>
    <t>Flexipan Oval Savarin Mould</t>
  </si>
  <si>
    <t>Mold Oval Savarins Silicone Flexipan Origine Cm 60X40 Pcs 24 Ml 70</t>
  </si>
  <si>
    <t>47740-67</t>
  </si>
  <si>
    <t>Flexipan 40 Mini Muffin Mould</t>
  </si>
  <si>
    <t>Mold Small Muffins Silicone Flexipan Origine Cm 60X40 Pcs 40 Ml 45</t>
  </si>
  <si>
    <t>47740-19</t>
  </si>
  <si>
    <t>Flexipan 24 Muffin Mould</t>
  </si>
  <si>
    <t>Mold Muffins Silicone Flexipan Origine Cm 60X40 Pcs 24 Ml 125</t>
  </si>
  <si>
    <t>47793-13</t>
  </si>
  <si>
    <t>Mould Easter Boy-Bunny w/ Basket 130mm</t>
  </si>
  <si>
    <t xml:space="preserve">Rabbit H 14 Cm X1 3D Hollow Mould, Pc </t>
  </si>
  <si>
    <t>47876-11</t>
  </si>
  <si>
    <t>choclate Mould Egg Large</t>
  </si>
  <si>
    <t xml:space="preserve">Egg Mould Cm 25X17 </t>
  </si>
  <si>
    <t>47862-83</t>
  </si>
  <si>
    <t>Choclate Mould Egg Medium</t>
  </si>
  <si>
    <t xml:space="preserve">Egg MOld 104X150 Mm 230Gr 2 Halves Pc </t>
  </si>
  <si>
    <t>47722-06</t>
  </si>
  <si>
    <t xml:space="preserve">Mould tartlet, 6 cm non-stick, </t>
  </si>
  <si>
    <t xml:space="preserve">Mini Cake Tin Ø Cm 6 Non Stick Coated </t>
  </si>
  <si>
    <t>47219-55</t>
  </si>
  <si>
    <t>Nozzles Decorating Set - different shapes</t>
  </si>
  <si>
    <t xml:space="preserve">Set Of 55 Assorted Nozzles S/Steel </t>
  </si>
  <si>
    <t>47127-06</t>
  </si>
  <si>
    <t>Nozzles Filling, Set</t>
  </si>
  <si>
    <t xml:space="preserve">Packaging 10 Pcs Special Tube  </t>
  </si>
  <si>
    <t>47357-20</t>
  </si>
  <si>
    <t xml:space="preserve">Nozzles Plain Set </t>
  </si>
  <si>
    <t xml:space="preserve">12 Pcs Decorating Tubes  </t>
  </si>
  <si>
    <t>47357-21+47357-22</t>
  </si>
  <si>
    <t>Nozzles Star Set</t>
  </si>
  <si>
    <t xml:space="preserve">7+8 Pcs Decorating Tubes  </t>
  </si>
  <si>
    <t>47111-40</t>
  </si>
  <si>
    <t>Pastry Bags Roll Of 100 Disposable 40cm</t>
  </si>
  <si>
    <t xml:space="preserve">100 Pcs Disposable Icing Bags Cm 40 Pe 80My </t>
  </si>
  <si>
    <t>47027-11</t>
  </si>
  <si>
    <t>Croissant Cutter</t>
  </si>
  <si>
    <t xml:space="preserve">Croissant Cutter Cm 18X20 S-S/Polyprophylene Hdls </t>
  </si>
  <si>
    <t>47820-05</t>
  </si>
  <si>
    <t>Wheel Dough Divider Expand 5 Wheels Plain</t>
  </si>
  <si>
    <t xml:space="preserve">Expanding Pastry Cutter Plain Wheels S/Steel </t>
  </si>
  <si>
    <t>18324-10</t>
  </si>
  <si>
    <t>Wheel Pizza Plain Stainless Steel, white or black plastic handle</t>
  </si>
  <si>
    <t xml:space="preserve">Pizza Wheel Cm 10  </t>
  </si>
  <si>
    <t>47026-06</t>
  </si>
  <si>
    <t>Roller Cutter Strips</t>
  </si>
  <si>
    <t xml:space="preserve">Cutting Roller Pom </t>
  </si>
  <si>
    <t>47028-12</t>
  </si>
  <si>
    <t xml:space="preserve">Roller w/ Spikes </t>
  </si>
  <si>
    <t xml:space="preserve">Cutting Roller S/Steel </t>
  </si>
  <si>
    <t>47036-30</t>
  </si>
  <si>
    <t xml:space="preserve">Rolling Pin  Wooden 30 cm </t>
  </si>
  <si>
    <t>Rolling Pin Wood 30cm</t>
  </si>
  <si>
    <t>47036-50</t>
  </si>
  <si>
    <t>Rolling Pin Wooden with Handles 50 cm</t>
  </si>
  <si>
    <t>Rolling Pin Wood 50cm</t>
  </si>
  <si>
    <t>47034-52</t>
  </si>
  <si>
    <t>French Rolling Pin Wooden w/o Handles</t>
  </si>
  <si>
    <t xml:space="preserve">Rolling Pin Ø Cm 5 L 50 Wood </t>
  </si>
  <si>
    <t>41468-20</t>
  </si>
  <si>
    <t>Scoop Ice Cream Alu w/ Heat Conducting Liquid For Easy Portioning 1/16 ltr 49mm dia</t>
  </si>
  <si>
    <t xml:space="preserve">Ice-Dipper Aluminium </t>
  </si>
  <si>
    <t>41468-24</t>
  </si>
  <si>
    <t>Scoop Ice Cream Alu w/ Heat Conducting Liquid For Easy Portioning 1/16 ltr 56mm dia</t>
  </si>
  <si>
    <t>Ice-Dipper Aluminium Liquid Heat Conductor In The Handle</t>
  </si>
  <si>
    <t>41473-44</t>
  </si>
  <si>
    <t>Ice Cream Scoop 45 mm</t>
  </si>
  <si>
    <t xml:space="preserve">Ice Cream Scoop Mm 44 S/Steel </t>
  </si>
  <si>
    <t>41473-56</t>
  </si>
  <si>
    <t>Ice Cream Scoop 56 mm</t>
  </si>
  <si>
    <t xml:space="preserve">Ice Cream Scoop S/Steel </t>
  </si>
  <si>
    <t>41473-66</t>
  </si>
  <si>
    <t>Ice Cream Scoop 67 mm</t>
  </si>
  <si>
    <t>41474-00</t>
  </si>
  <si>
    <t>Oval Ice Cream Scoop 57 cm</t>
  </si>
  <si>
    <t xml:space="preserve">Oval Ice Cream Scoop S/Steel </t>
  </si>
  <si>
    <t>12605-30</t>
  </si>
  <si>
    <t>Sieve Flour Fine Mesh</t>
  </si>
  <si>
    <t xml:space="preserve">Flour Sieve Cm 30 S/Steel </t>
  </si>
  <si>
    <t>12604-30</t>
  </si>
  <si>
    <t>Sieve Flour Medium Mesh</t>
  </si>
  <si>
    <t xml:space="preserve">Bread Sieve Cm 30 S/Steel </t>
  </si>
  <si>
    <t>12607-30</t>
  </si>
  <si>
    <t>Sieve Flour Coarse Mesh</t>
  </si>
  <si>
    <t>47023-01</t>
  </si>
  <si>
    <t>Icing Sugar Dredger Perforated Cover S/S</t>
  </si>
  <si>
    <t xml:space="preserve">Sugar Dredger S/Steel </t>
  </si>
  <si>
    <t>15409-30</t>
  </si>
  <si>
    <t>Bowl Copper Round 30cm dia 8.1 ltr</t>
  </si>
  <si>
    <t xml:space="preserve">Mixing Bowl With Foot Cm 30 Series 15300-15400 Copper </t>
  </si>
  <si>
    <t>15406-16</t>
  </si>
  <si>
    <t>Pan Sugar w/ Lip/Spout Copper 1.9 ltr/quart</t>
  </si>
  <si>
    <t xml:space="preserve">Sugar Saucepan Ø Cm 16 H 9 Series 15400 Copper </t>
  </si>
  <si>
    <t>47843-00</t>
  </si>
  <si>
    <t>Thermometer Sugar/Candy 60°C - 160ºC, 50 - 130R</t>
  </si>
  <si>
    <t>Sugar Thermometer Cm 30,5 S/Steel Range +80+200°C</t>
  </si>
  <si>
    <t>Airmaster Airbrush, 110V</t>
  </si>
  <si>
    <t>Airmaster Compressor &amp; Airbrush - 110V (1 to 2.4bars)</t>
  </si>
  <si>
    <t>47841-03</t>
  </si>
  <si>
    <t>Blow Torch</t>
  </si>
  <si>
    <t xml:space="preserve">Chef'S Torch Cm 8X7X16 Ml 200  </t>
  </si>
  <si>
    <t>47103-32</t>
  </si>
  <si>
    <t>Cake Stand Tilting &amp; Revolving</t>
  </si>
  <si>
    <t xml:space="preserve">Cake Plate Swivel Base Ø Cm 32 Melamine White </t>
  </si>
  <si>
    <t>48280-41</t>
  </si>
  <si>
    <t>Hand Shaver Chocolate</t>
  </si>
  <si>
    <t xml:space="preserve">Cheese Slicer Cm 25 Series 48280 S/Steel PP Handle </t>
  </si>
  <si>
    <t>49836-00</t>
  </si>
  <si>
    <t>Machine Apple Peeling Girole</t>
  </si>
  <si>
    <t>Apple Peeler Cm 30X10X13 S/Steel Steel+Epoxy Painted With Vacuum-Power Base</t>
  </si>
  <si>
    <t>Robot Coupe</t>
  </si>
  <si>
    <t>MACHINES</t>
  </si>
  <si>
    <t>R652</t>
  </si>
  <si>
    <t>Robot Coupe CL 50 Ultra with Blades - Vegetable Cutting/Dicing/Slicing - 110V</t>
  </si>
  <si>
    <t>Robot Coupe R 502 - 5.5 Liters</t>
  </si>
  <si>
    <t>BLIXER3</t>
  </si>
  <si>
    <t>Robot Coupe 301 Ultra - Food Processor - 110V</t>
  </si>
  <si>
    <t>Blixer® Commercial Blender/Mixer, vertical, 3.7 liter capacity, stainless steel bowl with handle, stainless steel fine serrated "S" blade assembly, on/off buttons, pulse switch, single speed 3450 RPM, 1-1/2 HP, 120v/60/1-ph, 10.5 amps, NEMA 5-15P, cETLus, ETL-Sanitation</t>
  </si>
  <si>
    <t>27447</t>
  </si>
  <si>
    <t>Additional Knife for 301 Ultra</t>
  </si>
  <si>
    <t>"S" Blade Assembly, fine serrated edge, stainless steel, for BLIXER 3</t>
  </si>
  <si>
    <t>WSB50</t>
  </si>
  <si>
    <t>12" Heavy-Duty Big Stik Immersion Blender</t>
  </si>
  <si>
    <t>Waring Immersion Blender</t>
  </si>
  <si>
    <t>MP450COMBI</t>
  </si>
  <si>
    <t>Robot Coupe High Speed Immersion Stick Blender 74 cm - 29 inches MP800 - 110-120V</t>
  </si>
  <si>
    <t>Robot Coupe MP450 Combi</t>
  </si>
  <si>
    <t>Tritan</t>
  </si>
  <si>
    <t>CB15P</t>
  </si>
  <si>
    <t>High Capacity Industrial Blender - 2 Ltr/QRT capacity 110 - 120V</t>
  </si>
  <si>
    <t>Food Blender, heavy-duty, 1 gallon (128 oz.) capacity, 3-speed with Max Pulse, electronic controls, removable Tritan® copolyester container &amp; rubber lid, stainless steel blade &amp; coupling system, die-cast housing, rubber feet, 3-3/4 HP, 1.8kW, 120v/60/1-ph, 15.0 amps, cord, NEMA 5-15P, NSF, cETLus, Made in USA</t>
  </si>
  <si>
    <t>Hamilton</t>
  </si>
  <si>
    <t>HBF900S</t>
  </si>
  <si>
    <t>Mixer/ Blender 4 ltr Transparent Mixing Beaker Variable Speed Range From 800-1600rpm 110 - 120V</t>
  </si>
  <si>
    <t>EXPEDITOR™ 900S Culinary Blender – 1 Gal / 4 L</t>
  </si>
  <si>
    <t>KitchenAid</t>
  </si>
  <si>
    <t> KSM150PSBK</t>
  </si>
  <si>
    <t>Table Top Mixer 5 Ltr. 110-120V</t>
  </si>
  <si>
    <t>Artisan Series 5 Quart Tilt-Head Stand Mixer</t>
  </si>
  <si>
    <t>K5THSBP</t>
  </si>
  <si>
    <t>Spare Bowl for Table Top Mixer 5 Ltr.</t>
  </si>
  <si>
    <t>5 Quart Tilt Head Hammered Stainless Steel BOWL</t>
  </si>
  <si>
    <t>J80 Ultra</t>
  </si>
  <si>
    <t>Centrifuial Juicer/Extractor, commercial grade 110-120 V</t>
  </si>
  <si>
    <t>Centrifugal Juicer/Juice Extractor, table top, 7 liter waste container, ejection chute, auto-feed system, stainless steel juicer basket, high clearance (10-5/64") no-splash spout &amp; drip tray, includes grating disc and filter, magnetic safety switch, stainless steel motor base, 3,450 RPM, 1.3 HP, 120v/60/1-ph, NEMA 5-15P, cETLus, ETL-Sanitation</t>
  </si>
  <si>
    <t>*073170</t>
  </si>
  <si>
    <t>Noodle Machine Imperia  120V/ 50hz Ajustable To 10 Different Thicknesses</t>
  </si>
  <si>
    <t>Imperia Pasta Machine 110V</t>
  </si>
  <si>
    <t>*073182</t>
  </si>
  <si>
    <t>Tagliatelle Cutter</t>
  </si>
  <si>
    <t>Cutting Die - Tagliatelle - Size mm 290x100x96 - Pasta mm 2</t>
  </si>
  <si>
    <t>*073186</t>
  </si>
  <si>
    <t>Fettucini Cutter</t>
  </si>
  <si>
    <t>Cutting Die - Fettuccine - Size mm 290x100x96 - Pasta mm 6.5</t>
  </si>
  <si>
    <t>*073180</t>
  </si>
  <si>
    <t>Spaghetti Cutter</t>
  </si>
  <si>
    <t>Cutting Die - Spaghetti - Size mm 290x100x96 - Pasta mm Dia. 2</t>
  </si>
  <si>
    <t>Vollrath</t>
  </si>
  <si>
    <t>Soup Kettle / Server Black - 10 or 11 ltr / quarts</t>
  </si>
  <si>
    <t>Soup Kettle 7 quart</t>
  </si>
  <si>
    <t>Dualit</t>
  </si>
  <si>
    <t>Commercial Toaster 4 Slots (2x2 controls) 110 - 120 V</t>
  </si>
  <si>
    <t>Four Slot Toaster Crhome</t>
  </si>
  <si>
    <t>41458-05</t>
  </si>
  <si>
    <t>ISI 0.5 ltr</t>
  </si>
  <si>
    <t xml:space="preserve">Cream/Mousse Whipper Professional Lt 0,5 S/Steel </t>
  </si>
  <si>
    <t>41458-10</t>
  </si>
  <si>
    <t>ISI 1 ltr</t>
  </si>
  <si>
    <t xml:space="preserve">Cream/Mousse Whipper Professional Lt 1,0 S/Steel </t>
  </si>
  <si>
    <t>41455-CA</t>
  </si>
  <si>
    <t>Charger Bulbs</t>
  </si>
  <si>
    <t xml:space="preserve">Pack 24 Pcs Cream Charger  </t>
  </si>
  <si>
    <t>Paco Jet 110-120 V</t>
  </si>
  <si>
    <t>(16003) Pacojet 2 PLUS Food Processor System, micropurées food, preparation with repeat function, new blade locking system, touchpad/touchscreen controls, color graphic display, on/off rocker switch, includes: (1) Pacojet 2 PLUS machine, (1) Gold-PLUS pacotizing blade, (1) spray guard, (2) 1 liter beakers with lids, (1) outer protective beaker, (1) chrome spatula, (1) use instruction book, (1) Pacojet 2 PLUS recipe book, and (1) cleaning kit (with washing insert), stainless steel exterior, 6,000 RMP motor/2,000 RPM Pacotizing blade, cETLus, NSF (Contact distributor for additional discount information)</t>
  </si>
  <si>
    <t>Pacojet</t>
  </si>
  <si>
    <t>42249</t>
  </si>
  <si>
    <t>Pacojet Pacotizing Beaker</t>
  </si>
  <si>
    <t>Pacojet Pacotizing Beaker, steel with white plastic lid (set of 4)</t>
  </si>
  <si>
    <t>10156</t>
  </si>
  <si>
    <t>Pacojet - Spare blade - silver grey die-cast stainless steel alloy</t>
  </si>
  <si>
    <t>Pacotizing Blade, silver-grey die cast stainless steel alloy</t>
  </si>
  <si>
    <t>30531</t>
  </si>
  <si>
    <t>Pacojet Spare Lids for Pacojet</t>
  </si>
  <si>
    <t>Pacojet Pacotizing Beaker Lid, white plastic</t>
  </si>
  <si>
    <t>Sirman</t>
  </si>
  <si>
    <t>CORT R PS</t>
  </si>
  <si>
    <t>Panini/ Sandwich Contact Grill Model w/ Cast Iron Plates Grooved 110-120 V</t>
  </si>
  <si>
    <t>(34A2305105SI) Panini Grill, single, grooved top &amp; grooved bottom, removable 14-1/2"W x 10"D cast iron cooking surface with Paninonstick® non-stick ceramic coating, adjustable self-balancing upper plates, adjustable thermostat, timer up to 15-min, removable drip tray, includes scraping brush, stainless steel body, 1700 watts, ETL, ETL-Sanitation</t>
  </si>
  <si>
    <t>Nemco</t>
  </si>
  <si>
    <t>7030A</t>
  </si>
  <si>
    <t>Waffle Cone Maker 110 -120V</t>
  </si>
  <si>
    <t>Cone Baker, single, 7" fixed cast aluminum lock down grid, digital programmable controls with countdown timer, LED display &amp; electronic audible alarm, top-mounted control panel, "Cool Touch" coil spring handles, stainless steel construction, non-skid neoprene adjustable feet, preheats in approximately 12 min., up to 60 cones per/hour, 890W, NEMA 5-15P, 120v/60/1ph, 7.4 amps</t>
  </si>
  <si>
    <t>Belgium Waffle Maker Double Unit 120V</t>
  </si>
  <si>
    <t>Commercial WW250X2 120V Double Belgian Waffle Maker</t>
  </si>
  <si>
    <t>National</t>
  </si>
  <si>
    <t>Rice Cooker 25 cups, 110 -120 V</t>
  </si>
  <si>
    <t>RiceMaster® Rice Cooker/Warmer/Steamer, electric, 25 cup uncooked capacity, one touch, auto cook/hold, cooks in 44 minutes, 230v/50/60/1-ph, 7 amps, 1500 watts, NEMA 6-20P, ETL, NSF</t>
  </si>
  <si>
    <t>MERCURIO L</t>
  </si>
  <si>
    <t>Citrus Juicer</t>
  </si>
  <si>
    <t>(65220008) Citrus Juicer, electric, removable 304 stainless steel bowl, removable ABS plastic reamer, (2) interchangeable cones for different sized fruit, safety interlock, top lever with stainless steel cup &amp; deflector, direct gear transmission, fan-cooled motor, stainless steel internal structure, anodized aluminum body, 320 rpm, 1/5 HP, 150 watts, 120v/60/1-ph, 1.54 amps, ETL-Sanitation</t>
  </si>
  <si>
    <t>741020 + 748901</t>
  </si>
  <si>
    <t>Sous Vide Immersion Circulator with bath 110 - 120V</t>
  </si>
  <si>
    <t>S/S GN Container 1/1 H 200 mm + Lid</t>
  </si>
  <si>
    <t>Sous Vide Immersion Circulator 110 - 120V</t>
  </si>
  <si>
    <t>Chef Sous Vide Professional Polyscience</t>
  </si>
  <si>
    <t>Thermomix</t>
  </si>
  <si>
    <t>TM6</t>
  </si>
  <si>
    <t xml:space="preserve">Thermomix 110 - 120V </t>
  </si>
  <si>
    <t>Thermomix TM6 - Versatile cooking robot</t>
  </si>
  <si>
    <t>Amana / Webstaurant</t>
  </si>
  <si>
    <t>HDC12A2</t>
  </si>
  <si>
    <t>Commercial Microwave with Push Button Controls</t>
  </si>
  <si>
    <t>Heavy Duty Stainless Steel Commercial Microwave with Push Button Controls - 120V, 1200W</t>
  </si>
  <si>
    <t>CONCERTO 5</t>
  </si>
  <si>
    <t>Pasta Extruder  110 volt</t>
  </si>
  <si>
    <t>CONCERTO 5 - Pasta machines - Sirman</t>
  </si>
  <si>
    <t>TRAFILE/DIES Ø75</t>
  </si>
  <si>
    <t>Brass Dies</t>
  </si>
  <si>
    <t>TRAFILE/DIES Ø75 - Pasta machines - Sirman</t>
  </si>
  <si>
    <t>MISCELLANEOUS</t>
  </si>
  <si>
    <t>47800-22</t>
  </si>
  <si>
    <t>Dispenser Sauce/ Funnel 1.9 ltr cap, 2 Opening 4/8mm Stainless steel with Stand/Support</t>
  </si>
  <si>
    <t xml:space="preserve">Confectionery Funnel S/Steel </t>
  </si>
  <si>
    <t>42562-12</t>
  </si>
  <si>
    <t>Funnel Stainless Steel w/ Handle 10cm dia</t>
  </si>
  <si>
    <t xml:space="preserve">Funnel S/Steel </t>
  </si>
  <si>
    <t>42562-14</t>
  </si>
  <si>
    <t>Funnel Stainless Steel w/ Handle 12cm dia</t>
  </si>
  <si>
    <t xml:space="preserve">Funnel Cm 14 S/Steel </t>
  </si>
  <si>
    <t>42562-25</t>
  </si>
  <si>
    <t>Funnel Stainless Steel w/ Handle 25cm dia</t>
  </si>
  <si>
    <t>41606-22</t>
  </si>
  <si>
    <t>Citrus Juicer Manual</t>
  </si>
  <si>
    <t xml:space="preserve">Lemon/Lime Squeezer Aluminum </t>
  </si>
  <si>
    <t>42566-03</t>
  </si>
  <si>
    <t>Potato Puree Press / Ricer - Extra Heavy Stainless Steel</t>
  </si>
  <si>
    <t xml:space="preserve">Potato Ricer With 3 Discs S/Steel </t>
  </si>
  <si>
    <t>48280-03</t>
  </si>
  <si>
    <t>Manual Handheld Can Opener Stainless Steel</t>
  </si>
  <si>
    <t xml:space="preserve">Can Opener Cm 22 Series 48280 S/Steel PP Handle </t>
  </si>
  <si>
    <t>49720-00</t>
  </si>
  <si>
    <t>Digital Kitchen Timer</t>
  </si>
  <si>
    <t>Digital Timer Cm 7X5,5  Count Down 23H-59M-59S</t>
  </si>
  <si>
    <t>19701-00</t>
  </si>
  <si>
    <t>Thermometer Pocket Temp – Fahrenheit/Celsius</t>
  </si>
  <si>
    <t>Pocket Thermometer  Range -50+150°C</t>
  </si>
  <si>
    <t>49883-00</t>
  </si>
  <si>
    <t>Therma Waterproof</t>
  </si>
  <si>
    <t>Digital Thermometer Cm 13X5,5X2,5 ABS S/Steel Range -50+300°C</t>
  </si>
  <si>
    <t>19810-00</t>
  </si>
  <si>
    <t>Opener Can / Tin Table Model 55cm length - exchangable Knife and Gear / easy clean</t>
  </si>
  <si>
    <t xml:space="preserve">Table Top Can Opener H Cm 56 Cast Aluminum Steel </t>
  </si>
  <si>
    <t>19810-AA</t>
  </si>
  <si>
    <t>Can Openener Knife and Gear Replacement Kit</t>
  </si>
  <si>
    <t xml:space="preserve">Spare Blade For 19810-00 S/Steel </t>
  </si>
  <si>
    <t>42506-12</t>
  </si>
  <si>
    <t>Meat Hook S-Shape two spikes Stainless Steel 120 x 5mm</t>
  </si>
  <si>
    <t xml:space="preserve">Meat Hook 1 Peak S/Steel </t>
  </si>
  <si>
    <t>42506-18</t>
  </si>
  <si>
    <t>Meat Hook S-Shape twp spikes Stainless Steel 180 x 7mm</t>
  </si>
  <si>
    <t>48505-01</t>
  </si>
  <si>
    <t>Butcher Safety  Glove Left / Chainmail Small</t>
  </si>
  <si>
    <t xml:space="preserve">Chainmail Glove Small Size S/Steel, Nylon Strap </t>
  </si>
  <si>
    <t>48505-02</t>
  </si>
  <si>
    <t>Butcher Safety Glove Left / Chainmail Medium</t>
  </si>
  <si>
    <t xml:space="preserve">Chainmail Glove Medium Size S/Steel, Nylon Strap </t>
  </si>
  <si>
    <t>48505-03</t>
  </si>
  <si>
    <t>Butcher Safety Glove Left / Chainmail Large</t>
  </si>
  <si>
    <t xml:space="preserve">Chainmail Glove Large Size S/Steel, Nylon Strap </t>
  </si>
  <si>
    <t>48501-76</t>
  </si>
  <si>
    <t>Butcher Apron White 110cm length</t>
  </si>
  <si>
    <t xml:space="preserve">Protective Apron S/Steel </t>
  </si>
  <si>
    <t>42509-50</t>
  </si>
  <si>
    <t>Tab Grabber / Order Rack Satined Aluminium Medium</t>
  </si>
  <si>
    <t xml:space="preserve">Tab Grabber Cm 50 S/Steel </t>
  </si>
  <si>
    <t>42509-99</t>
  </si>
  <si>
    <t>Tab Grabber / Order Rack Satined Aluminium Long</t>
  </si>
  <si>
    <t xml:space="preserve">Tab Grabber Cm 100 S/Steel </t>
  </si>
  <si>
    <t>12504-20</t>
  </si>
  <si>
    <t xml:space="preserve">Check Spindle </t>
  </si>
  <si>
    <t xml:space="preserve">Hat Pin For Tickets S/Steel </t>
  </si>
  <si>
    <t>41761-02</t>
  </si>
  <si>
    <t>Broom Oven 50cm length</t>
  </si>
  <si>
    <t xml:space="preserve">Double-Sided Brush Handle 100 Cm Brass, Steel </t>
  </si>
  <si>
    <t>41773-00</t>
  </si>
  <si>
    <t>Brush Grill 4 Rows w/ Scraper</t>
  </si>
  <si>
    <t xml:space="preserve">Brush For Grill  </t>
  </si>
  <si>
    <t>41380-01</t>
  </si>
  <si>
    <t>Wall Clock</t>
  </si>
  <si>
    <t xml:space="preserve">Wall Clock Ø 29 Metal </t>
  </si>
  <si>
    <t>48040-50</t>
  </si>
  <si>
    <t>Knife Sanitizer Box</t>
  </si>
  <si>
    <t xml:space="preserve">Knife Sanitizing System S/Steel </t>
  </si>
  <si>
    <t>49775-05</t>
  </si>
  <si>
    <t>Digital Scale 1 gram to 5 kg</t>
  </si>
  <si>
    <t>Digital Scale Kg 5 S/Steel ABS Accuracy 1 Gr Cm 24,5X31X9,5</t>
  </si>
  <si>
    <t>47801-20</t>
  </si>
  <si>
    <t>Batter / Pancake Dispenser</t>
  </si>
  <si>
    <t xml:space="preserve">Confectionery Funnel Ø Cm 14 Lt 0,9 PC </t>
  </si>
  <si>
    <t>Excalibur</t>
  </si>
  <si>
    <t>EXC10EL</t>
  </si>
  <si>
    <t>Fruit Dryer</t>
  </si>
  <si>
    <t>Excalibur 10-tray, Stainless Steel Dehydrator</t>
  </si>
  <si>
    <t>69014P20</t>
  </si>
  <si>
    <t xml:space="preserve">PEUGOT PEPPERMILL, 8.5 inches / 22 cm NATURAL COLOR </t>
  </si>
  <si>
    <t xml:space="preserve">Pepper Mill Cm 20,5 Wood Natural </t>
  </si>
  <si>
    <t>41526-B1</t>
  </si>
  <si>
    <t>Dispenser/ Bottle Squeeze 8oz Transparent</t>
  </si>
  <si>
    <t xml:space="preserve">Squeeze Bottle Pe </t>
  </si>
  <si>
    <t>41526-B2</t>
  </si>
  <si>
    <t>Dispenser/ Bottle Squeeze 12oz Transparent</t>
  </si>
  <si>
    <t xml:space="preserve">Squeeze Bottle Lt 0.36 No Colour Pe </t>
  </si>
  <si>
    <t>41526-B3</t>
  </si>
  <si>
    <t>Dispenser/ Bottle Squeeze 16oz Transparent</t>
  </si>
  <si>
    <t>42616-04</t>
  </si>
  <si>
    <t>MEASURE CUP SET,4 PC,S/S</t>
  </si>
  <si>
    <t xml:space="preserve">Measuring Cups S/Steel </t>
  </si>
  <si>
    <t>42615-04</t>
  </si>
  <si>
    <t>MEASURE SPOON SET,4 PC,S/</t>
  </si>
  <si>
    <t xml:space="preserve">Measuring Spoons S/Steel </t>
  </si>
  <si>
    <t>49888-10</t>
  </si>
  <si>
    <t>Salad Spinner - large</t>
  </si>
  <si>
    <t>Manual Salad Spinner PP S/Steel Aluminium Ø Cm 33 H 43 Lt 12   | LT. 25 ALSO AVAILABLLE</t>
  </si>
  <si>
    <t>Cusinart</t>
  </si>
  <si>
    <t>CTG-00-SASC</t>
  </si>
  <si>
    <t>Salad Spinner - small</t>
  </si>
  <si>
    <t xml:space="preserve">Salad Spinner Dimensions : 10.00" x 7.00" x 10.00"  </t>
  </si>
  <si>
    <t>42570-32</t>
  </si>
  <si>
    <t>Food Mill, 3 discs</t>
  </si>
  <si>
    <t xml:space="preserve">Sieve 3 Discs Cm 31 S/Steel </t>
  </si>
  <si>
    <t>48514-00</t>
  </si>
  <si>
    <t xml:space="preserve">MITT,OVEN,SILICONE,17",BL </t>
  </si>
  <si>
    <t xml:space="preserve">Oven Mitt Silicon </t>
  </si>
  <si>
    <t>11740-26</t>
  </si>
  <si>
    <t>Pizza pan Black Steel 18 gauge, 9 inches, 27 cm</t>
  </si>
  <si>
    <t xml:space="preserve">Pizza Pan Cm 26 Blue Steel </t>
  </si>
  <si>
    <t>11740-32</t>
  </si>
  <si>
    <t>Pizza pan Black Steel 18 gauge, 12 inches, 31 cm</t>
  </si>
  <si>
    <t xml:space="preserve">Pizza Pan Cm 32 Blue Steel </t>
  </si>
  <si>
    <t>41727-28</t>
  </si>
  <si>
    <t>Pizza Screen 9 inches, 27 cm Aluminium</t>
  </si>
  <si>
    <t xml:space="preserve">Pizza Screen Ø Cm 28 Aluminium </t>
  </si>
  <si>
    <t>41727-33</t>
  </si>
  <si>
    <t>Pizza Screen 12 inches, 31 cm Aluminium</t>
  </si>
  <si>
    <t xml:space="preserve">Pizza Screen Ø Cm 33 Aluminium </t>
  </si>
  <si>
    <t>41736-32</t>
  </si>
  <si>
    <t>Pizza Peel, Aluminim with handle</t>
  </si>
  <si>
    <t xml:space="preserve">Rectangular Pizza Peel, Alusteel Cm 32 </t>
  </si>
  <si>
    <t>41769-01</t>
  </si>
  <si>
    <t xml:space="preserve">Pizza Peel Hanger Rail </t>
  </si>
  <si>
    <t xml:space="preserve">Pizza Peel Wall Rack Aluminium </t>
  </si>
  <si>
    <t>41766-16</t>
  </si>
  <si>
    <t xml:space="preserve">Pizza Oven Brush with handle </t>
  </si>
  <si>
    <t>Adjustable Brush  - 16x5cm</t>
  </si>
  <si>
    <t>H-7892</t>
  </si>
  <si>
    <t>Folding Step Ladder, three steps with handrail</t>
  </si>
  <si>
    <t>Little Giant® Folding Step Ladder - 3 Steps</t>
  </si>
  <si>
    <t>STRAINERS, COLANDERS, SIEVES</t>
  </si>
  <si>
    <t>11927-32</t>
  </si>
  <si>
    <t>Strainer Conical Vegetable 32cm S/S 8.8 Ltr</t>
  </si>
  <si>
    <t xml:space="preserve">Conical Colander Stainless Steel S/Steel </t>
  </si>
  <si>
    <t>11927-40</t>
  </si>
  <si>
    <t>Strainer Conical Vegetable 40cm S/S</t>
  </si>
  <si>
    <t>11927-50</t>
  </si>
  <si>
    <t>Strainer Conical Vegetable 50cm S/S</t>
  </si>
  <si>
    <t>11928-36</t>
  </si>
  <si>
    <t>Strainer Conical Vegetable w/foot Bottom &amp; Side Perforation, 2 Handles S/S 12 Ltr</t>
  </si>
  <si>
    <t xml:space="preserve">Colander Stainless Steel S/Steel </t>
  </si>
  <si>
    <t>11928-40</t>
  </si>
  <si>
    <t>Strainer Conical Vegetable w/foot Bottom &amp; Side Perforation, 2 Handles S/S 14.5 Ltr</t>
  </si>
  <si>
    <t>11932-20</t>
  </si>
  <si>
    <t>Chinois with Wire Protection 20 cm</t>
  </si>
  <si>
    <t xml:space="preserve">Chinese Colander With Wire Protection S/S </t>
  </si>
  <si>
    <t>11932-24</t>
  </si>
  <si>
    <t>Chinose with Wire Protection 24 cm</t>
  </si>
  <si>
    <t>41925-18</t>
  </si>
  <si>
    <t>Chinois perforated 18 cm</t>
  </si>
  <si>
    <t xml:space="preserve">Chinese Colander S/Steel </t>
  </si>
  <si>
    <t>41925-20</t>
  </si>
  <si>
    <t>Chinois perforated 20 cm</t>
  </si>
  <si>
    <t>41925-24</t>
  </si>
  <si>
    <t>Chinois perforated 24 cm</t>
  </si>
  <si>
    <t>12633-16</t>
  </si>
  <si>
    <t>Strainer Small Fine Mesh 16cm dia</t>
  </si>
  <si>
    <t xml:space="preserve">Soup Strainer Cm 16 Double Mesh S/Steel </t>
  </si>
  <si>
    <t>12622-20</t>
  </si>
  <si>
    <t>Strainer/ Bouillon Sieve Medium Mesh 20cm dia</t>
  </si>
  <si>
    <t xml:space="preserve">Soup Strainer Cm 20 S/Steel </t>
  </si>
  <si>
    <t>12622-23</t>
  </si>
  <si>
    <t>Strainer/ Bouillon Sieve Medium Mesh 24cm dia</t>
  </si>
  <si>
    <t xml:space="preserve">Soup Strainer Cm 23 S/Steel </t>
  </si>
  <si>
    <t>11924-20</t>
  </si>
  <si>
    <t>Noodle Strainer 20 cm</t>
  </si>
  <si>
    <t xml:space="preserve">Strainer With Hook Stainless Steel S/Steel </t>
  </si>
  <si>
    <t>BOWLS &amp; BAIN MARIE PANS</t>
  </si>
  <si>
    <t>44502-02</t>
  </si>
  <si>
    <t>Bain Marie Stackable 3.5 ltr Square</t>
  </si>
  <si>
    <t xml:space="preserve">Bain-Marie Cm 15,5X15,5X16 Lt 3,5 S/Steel </t>
  </si>
  <si>
    <t>44502-03</t>
  </si>
  <si>
    <t>Bain Marie Stackable 1.5 Ltr Square</t>
  </si>
  <si>
    <t xml:space="preserve">Bain-Marie Cm 15,5X15,5X7,5 Lt 1,5 S/Steel </t>
  </si>
  <si>
    <t>11957-20</t>
  </si>
  <si>
    <t xml:space="preserve">Mixing Bowl Hemisperical 20 cm </t>
  </si>
  <si>
    <t xml:space="preserve">Hemispherical Mixing Bowl Cm 20 S/Steel </t>
  </si>
  <si>
    <t>11957-25</t>
  </si>
  <si>
    <t>Mixing Bowl Hemisperical 25 cm</t>
  </si>
  <si>
    <t xml:space="preserve">Hemispherical Mixing Bowl Cm 25 S/Steel </t>
  </si>
  <si>
    <t>11957-35</t>
  </si>
  <si>
    <t>Mixing Bowl Hemisperical 35 cm</t>
  </si>
  <si>
    <t xml:space="preserve">Hemispherical Mixing Bowl Cm 35 S/Steel </t>
  </si>
  <si>
    <t>12580-17</t>
  </si>
  <si>
    <t>Bowl Kitchen S/S Round 16cm dia Flat Bottom</t>
  </si>
  <si>
    <t>Kitchenbowl High Cm 15,5 S/Steel H Cm 9 Lt 1</t>
  </si>
  <si>
    <t>12580-21</t>
  </si>
  <si>
    <t>Bowl Kitchen S/S Round 20cm  Flat Bottom</t>
  </si>
  <si>
    <t>Kitchenbowl High Cm 19 S/Steel H Cm 11,5 Lt 2</t>
  </si>
  <si>
    <t>12580-24</t>
  </si>
  <si>
    <t>Bowl Kitchen S/S Round 22 cm Flat Bottom</t>
  </si>
  <si>
    <t>Kitchenbowl High Cm 22 S/Steel H Cm 12 Lt 3</t>
  </si>
  <si>
    <t>12580-30</t>
  </si>
  <si>
    <t>Bowl Kitchen S/S Round 30 cm Flat Bottom</t>
  </si>
  <si>
    <t>Kitchenbowl High Cm 29 S/Steel H Cm 15 Lt 6</t>
  </si>
  <si>
    <t>12580-40</t>
  </si>
  <si>
    <t>Bowl Kitchen S/S Round 40 cm Flat Bottom</t>
  </si>
  <si>
    <t>Kitchenbowl High Cm 40 S/Steel H Cm 20 Lt 17</t>
  </si>
  <si>
    <t>11955-45</t>
  </si>
  <si>
    <t>Landaise Basin with Handles 45 cm</t>
  </si>
  <si>
    <t>Kitchenbowl With Handles Cm 45 S/Steel H Cm 22,5 Lt 24,5</t>
  </si>
  <si>
    <t>11955-50</t>
  </si>
  <si>
    <t>Landaise Basin with Handles 50 cm</t>
  </si>
  <si>
    <t>Kitchenbowl With Handles Cm 50 S/Steel H Cm 24 Lt 32,5</t>
  </si>
  <si>
    <t>STAND,BOWL,W/30 QT BOWL,</t>
  </si>
  <si>
    <t>Mixing Bowl Stand with Trayslide</t>
  </si>
  <si>
    <t>TK-602-01-39</t>
  </si>
  <si>
    <t>HANGIRI WOODEN 15.35" KORIN JAPANESE TRADING CORP. #TK-602-01-39 (SUSHI RICE TUBS)</t>
  </si>
  <si>
    <t>TK-602-01-072</t>
  </si>
  <si>
    <t>HANGIRI WOODEN 28" KORIN JAPANESE TRADING CORP. # TK-602-01-072 (SUSHI RICE TUBS)</t>
  </si>
  <si>
    <t>POTS &amp; PANS</t>
  </si>
  <si>
    <t>11008-16</t>
  </si>
  <si>
    <t xml:space="preserve">Saute Pan, straight sides, 1.3 ltr Stainless Steel, Induction </t>
  </si>
  <si>
    <t>Sauté Pan 1 Handle Cm 16 Series 1000 S/Steel H Cm 6,5 Lt 1,3</t>
  </si>
  <si>
    <t>11008-20</t>
  </si>
  <si>
    <t>Saute Pan, straight sides, 2.5 ltr Stainless Steel, Induction heavy duty</t>
  </si>
  <si>
    <t>Sauté Pan 1 Handle Cm 20 Series 1000 S/Steel H Cm 7,5 Lt 2,5</t>
  </si>
  <si>
    <t>11008-28</t>
  </si>
  <si>
    <t>Saute Pan, straight sides 5.8 ltr, Stainless Steel Induction heavy duty</t>
  </si>
  <si>
    <t>Sauté Pan 1 Handle Cm 28 Series 1000 S/Steel H Cm 9,5 Lt 5,8</t>
  </si>
  <si>
    <t>11013-18</t>
  </si>
  <si>
    <t>Curved Saute Pan 1.7 ltr, Stainless Steel Induction heavy duty</t>
  </si>
  <si>
    <t>Sauté Pan Rounded Bottom Cm 18 Series 1000 S/Steel H Cm 7 Lt 1,7</t>
  </si>
  <si>
    <t>11013-20</t>
  </si>
  <si>
    <t>Curved Saute Pan 2.2 ltr, Stainless Steel Induction heavy duty</t>
  </si>
  <si>
    <t>Sauté Pan Rounded Bottom Cm 20 Series 1000 S/Steel H Cm 7,5 Lt 2,2</t>
  </si>
  <si>
    <t>11013-24</t>
  </si>
  <si>
    <t>Curved Saute Pan 3 ltr, Stainless Steel Induction heavy duty</t>
  </si>
  <si>
    <t>Sauté Pan Rounded Bottom Cm 24 Series 1000 S/Steel H Cm 8,5 Lt 3,3</t>
  </si>
  <si>
    <t>11009-32</t>
  </si>
  <si>
    <t>Casserole 10 ltr, Stainless Steel induction heavy duty</t>
  </si>
  <si>
    <t>Low Casserole Pot 2 Handles Cm 32 Series 1000 S/Steel H Cm 11 Lt 9,2</t>
  </si>
  <si>
    <t>11009-40</t>
  </si>
  <si>
    <t>Casserole 14.2 ltr, Stainless Steel Induction heavy duty</t>
  </si>
  <si>
    <t>Low Casserole Pot 2 Handles Cm 40 Series 1000 S/Steel H Cm 14,5 Lt 18</t>
  </si>
  <si>
    <t>11009-45</t>
  </si>
  <si>
    <t>Casserole 24.6 ltr, Stainless Steel Induction heavy duty</t>
  </si>
  <si>
    <t>Low Casserole Pot 2 Handles Cm 45 Series 1000 S/Steel H Cm 15,5 Lt 24,6</t>
  </si>
  <si>
    <t>11007-32</t>
  </si>
  <si>
    <t>Sauce Pot 15.4 ltr, Stainless Steel Induction heavy duty</t>
  </si>
  <si>
    <t>Saucepot 2 Handles Cm 32 Series 1000 S/Steel H Cm 19,5 Lt 15,4</t>
  </si>
  <si>
    <t>11007-36</t>
  </si>
  <si>
    <t>Sauce Pot 22 ltr, Stainless Steel Induction heavy duty</t>
  </si>
  <si>
    <t>Saucepot 2 Handles Cm 36 Series 1000 S/Steel H Cm 21,5 Lt 20,5</t>
  </si>
  <si>
    <t>11007-45</t>
  </si>
  <si>
    <t>Sauce Pot 42.9 ltr, Stainless Steel Induction heavy duty</t>
  </si>
  <si>
    <t>Saucepot 2 Handles Cm 45 Series 1000 S/Steel H Cm 27 Lt 42,9</t>
  </si>
  <si>
    <t>11001-40</t>
  </si>
  <si>
    <t>Stock Pot 50 ltr, Stainless Steel Induction heavy duty</t>
  </si>
  <si>
    <t>Stock Pot Cm 40 Series 1000 S/Steel H Cm 40 Lt 50</t>
  </si>
  <si>
    <t>11001-45</t>
  </si>
  <si>
    <t>Stock Pot  63.5 ltr, Stainless Steel Induction heavy duty</t>
  </si>
  <si>
    <t>Stock Pot Cm 45 Series 1000 S/Steel H Cm 40 Lt 63,5</t>
  </si>
  <si>
    <t>11716-20</t>
  </si>
  <si>
    <t>Thermalloy Fry Pan 20 cm / Black Steel Pan</t>
  </si>
  <si>
    <t xml:space="preserve">Frypan Cm 20 Bluesteel </t>
  </si>
  <si>
    <t>11716-24</t>
  </si>
  <si>
    <t>Thermalloy Fry Pan 24 cm / Black Steel Pan</t>
  </si>
  <si>
    <t xml:space="preserve">Frypan Cm 24 Bluesteel </t>
  </si>
  <si>
    <t>11716-32</t>
  </si>
  <si>
    <t>Thermalloy Fry Pan 32cm / Black Steel Pan</t>
  </si>
  <si>
    <t xml:space="preserve">Frypan Cm 32 Bluesteel </t>
  </si>
  <si>
    <t>11014-20</t>
  </si>
  <si>
    <t>Stainless Steel Frying Pan, no coating, 20 cm, Induction heavy duty</t>
  </si>
  <si>
    <t xml:space="preserve">Frypan 1 Handle Cm 20 H 5 Series 1000 S/Steel </t>
  </si>
  <si>
    <t>11014-24</t>
  </si>
  <si>
    <t>Stainless Steel Frying Pan, no coating, 24 cm Induction heavy duty</t>
  </si>
  <si>
    <t xml:space="preserve">Frypan 1 Handle Cm 24 H 5 Series 1000 S/Steel </t>
  </si>
  <si>
    <t>11117-20</t>
  </si>
  <si>
    <t>Non Stick Frying Pan, 20 cm, Induction</t>
  </si>
  <si>
    <t xml:space="preserve">Non-Stick Frypan Cm 20 H 5 Series 1100 S/Steel </t>
  </si>
  <si>
    <t>11117-24</t>
  </si>
  <si>
    <t>Non Stick Frying Pan, 24 cm Induction</t>
  </si>
  <si>
    <t xml:space="preserve">Non-Stick Frypan Cm 24 H 5 Series 1100 S/Steel </t>
  </si>
  <si>
    <t>11117-28</t>
  </si>
  <si>
    <t>Non Stick Frying Pan, 28 cm Induction</t>
  </si>
  <si>
    <t xml:space="preserve">Non-Stick Frypan Cm 28 H 5,5 Series 1100 S/Steel </t>
  </si>
  <si>
    <t>11943-45</t>
  </si>
  <si>
    <t>Pan Roaster Gauge Steel S/S 45x30cm h cm9</t>
  </si>
  <si>
    <t xml:space="preserve">Roasting Pan Fixed Handles Cm 45 Heavy S/Steel </t>
  </si>
  <si>
    <t>11943-61</t>
  </si>
  <si>
    <t>Pan Roaster Gauge Steel 61x43cm h cm 9</t>
  </si>
  <si>
    <t xml:space="preserve">Roasting Pan Fixed Handles Cm 61 Heavy S/Steel </t>
  </si>
  <si>
    <t>COOKER,PASTA,QUARTER SIZE</t>
  </si>
  <si>
    <t>11922-36</t>
  </si>
  <si>
    <t>Stainless Steel Complementary Cookware
Colander 1/4-segment
Stainless Steel - number of handles: 1 - For Items: 11007, 11107, 12007, 12107, 16929</t>
  </si>
  <si>
    <t xml:space="preserve">1/4 Segmental Colander Cm 36 S/Steel </t>
  </si>
  <si>
    <t>GN CONTAINERS &amp; TRAYS SS</t>
  </si>
  <si>
    <t>ALXP - 2618H</t>
  </si>
  <si>
    <t>US Sheet Pan Full Size</t>
  </si>
  <si>
    <t>Aluminum Sheet Pan, Closed Bead</t>
  </si>
  <si>
    <t>ALXP - 1813H</t>
  </si>
  <si>
    <t>US Half Sheet PAN</t>
  </si>
  <si>
    <t>ALXP-1813H - Aluminum Sheet Pan, Closed Bead</t>
  </si>
  <si>
    <t>14302-02</t>
  </si>
  <si>
    <t>Tray GN 1/1 S/S 18/10 325 x 530 x 20mm - Full Size US Pan 3/4 inch deep</t>
  </si>
  <si>
    <t>Baking Pan Gn 1/1 Gastronorm S/Steel Cm 53X32,5X2</t>
  </si>
  <si>
    <t>14102-06</t>
  </si>
  <si>
    <t xml:space="preserve">Pan GN 1/1 S/S 530 x 325 x 65mm </t>
  </si>
  <si>
    <t>Pan Gn 1/1 Gastronorm S/Steel Cm 53X32,5X6,5</t>
  </si>
  <si>
    <t>14102-10</t>
  </si>
  <si>
    <t xml:space="preserve">Pan GN 1/1 S/S 530 x 325 x 100mm </t>
  </si>
  <si>
    <t>Pan Gn 1/1 Gastronorm S/Steel Cm 53X32,5X10</t>
  </si>
  <si>
    <t>14102-15</t>
  </si>
  <si>
    <t>Pan GN 1/1 S/S 530 x 325 x 150mm</t>
  </si>
  <si>
    <t>Pan Gn 1/1 Gastronorm S/Steel Cm 53X32,5X15</t>
  </si>
  <si>
    <t>14102-20</t>
  </si>
  <si>
    <t xml:space="preserve">Pan GN 1/1 S/S 530 x 325 x 200mm </t>
  </si>
  <si>
    <t>Pan Gn 1/1 Gastronorm S/Steel Cm 53X32,5X20</t>
  </si>
  <si>
    <t>14202-06</t>
  </si>
  <si>
    <t>Pan GN 1/1 65mm perforated</t>
  </si>
  <si>
    <t>Pan Gn 1/1 Perforated Gastronorm S/Steel Cm 53X32,5X6,5</t>
  </si>
  <si>
    <t>14202-10</t>
  </si>
  <si>
    <t>Pan GN 1/1 perforated 100mm perforated</t>
  </si>
  <si>
    <t>Pan Gn 1/1 Perforated Gastronorm S/Steel Cm 53X32,5X10</t>
  </si>
  <si>
    <t>14105-06</t>
  </si>
  <si>
    <t>Pan GN 1/2 65mm</t>
  </si>
  <si>
    <t>Pan Gn 1/2 Gastronorm S/Steel Cm 32X26,5X6,5</t>
  </si>
  <si>
    <t>14105-10</t>
  </si>
  <si>
    <t>Pan GN 1/2 100mm</t>
  </si>
  <si>
    <t>Pan Gn 1/2 Gastronorm S/Steel Cm 32X26,5X10</t>
  </si>
  <si>
    <t>14105-15</t>
  </si>
  <si>
    <t>Pan GN 1/2 150mm</t>
  </si>
  <si>
    <t>Pan Gn 1/2 Gastronorm S/Steel Cm 32X26,5X15</t>
  </si>
  <si>
    <t>14107-06</t>
  </si>
  <si>
    <t>Pan GN 1/3 S/S 65mm</t>
  </si>
  <si>
    <t>Pan Gn 1/3 Gastronorm S/Steel Cm 32,5X18X6,5</t>
  </si>
  <si>
    <t>14107-10</t>
  </si>
  <si>
    <t xml:space="preserve">Pan GN 1/3 S/S 100mm  </t>
  </si>
  <si>
    <t>Pan Gn 1/3 Gastronorm S/Steel Cm 32,5X18X10</t>
  </si>
  <si>
    <t>14107-15</t>
  </si>
  <si>
    <t xml:space="preserve">Pan GN 1/3 S/S 150mm  </t>
  </si>
  <si>
    <t>Pan Gn 1/3 Gastronorm S/Steel Cm 32,5X18X15</t>
  </si>
  <si>
    <t>14109-10</t>
  </si>
  <si>
    <t xml:space="preserve">Pan GN 1/6 S/S 100mm </t>
  </si>
  <si>
    <t>Pan Gn 1/6 Gastronorm S/Steel Cm 17,6X16X10</t>
  </si>
  <si>
    <t>14109-15</t>
  </si>
  <si>
    <t xml:space="preserve">Pan GN 1/6 S/S 150mm </t>
  </si>
  <si>
    <t>Pan Gn 1/6 Gastronorm S/Steel Cm 17,6X16X15</t>
  </si>
  <si>
    <t>14110-06</t>
  </si>
  <si>
    <t xml:space="preserve">Pan GN 1/9 S/S 65mm </t>
  </si>
  <si>
    <t>Pan Gn 1/9 Gastronorm S/Steel Cm 17,6X11X6,5</t>
  </si>
  <si>
    <t>14110-10</t>
  </si>
  <si>
    <t xml:space="preserve">Pan GN 1/9 S/S 100mm </t>
  </si>
  <si>
    <t>Pan Gn 1/9 Gastronorm S/Steel Cm 17,6X11X10</t>
  </si>
  <si>
    <t>14409-01</t>
  </si>
  <si>
    <t>Adapter Bar 1/1</t>
  </si>
  <si>
    <t xml:space="preserve">Adaptor Bar Gn 1/1 Gastronorm S/Steel </t>
  </si>
  <si>
    <t>14409-02</t>
  </si>
  <si>
    <t>Adapter Bar 2/1</t>
  </si>
  <si>
    <t xml:space="preserve">Adaptor Bar Gn 2/1 Gastronorm S/Steel </t>
  </si>
  <si>
    <t>14502-00</t>
  </si>
  <si>
    <t xml:space="preserve">Lid GN 1/1 Plain w/handle S/S </t>
  </si>
  <si>
    <t xml:space="preserve">Lid Gn 1/1 Gastronorm S/Steel </t>
  </si>
  <si>
    <t>14507-00</t>
  </si>
  <si>
    <t xml:space="preserve">Lid GN 1/3 Plain w/handle S/S  </t>
  </si>
  <si>
    <t xml:space="preserve">Lid Gn 1/3 Gastronorm S/Steel </t>
  </si>
  <si>
    <t>14509-00</t>
  </si>
  <si>
    <t xml:space="preserve">Lid GN 1/6 Plain w/handle S/S  </t>
  </si>
  <si>
    <t xml:space="preserve">Lid Gn 1/6 Gastronorm S/Steel </t>
  </si>
  <si>
    <t>14510-00</t>
  </si>
  <si>
    <t xml:space="preserve">Lid GN 1/9 Plain w/handle S/S  </t>
  </si>
  <si>
    <t xml:space="preserve">Lid Gn 1/9 Gastronorm S/Steel </t>
  </si>
  <si>
    <t>CUTTING BOARDS &amp; HYGIENE</t>
  </si>
  <si>
    <t>42522-00</t>
  </si>
  <si>
    <t>Cutting board - Rectangular White - 32,0 cm x 26,5 cm - h 2,0 cm</t>
  </si>
  <si>
    <t>42539-00</t>
  </si>
  <si>
    <t>Cutting board - Rectangular White - 60,0 cm x 40,0 cm - h 2,0 cm</t>
  </si>
  <si>
    <t>42538-03</t>
  </si>
  <si>
    <t>Cutting board - Rectangular Red- 53,0 cm x 32,5 cm - h 2,0 cm</t>
  </si>
  <si>
    <t>42539-03</t>
  </si>
  <si>
    <t>Cutting board - Rectangular Red - 60,0 cm x 40,0 cm - h 2,0 cm</t>
  </si>
  <si>
    <t>42538-01</t>
  </si>
  <si>
    <t>Cutting board - Rectangular Yellow - 53,0 cm x 32,5 cm - h 2,0 cm</t>
  </si>
  <si>
    <t>42539-01</t>
  </si>
  <si>
    <t>Cutting board - Rectangular Yellow - 60,0 cm x 40,0 cm - h 2,0 cm</t>
  </si>
  <si>
    <t>42538-05</t>
  </si>
  <si>
    <t>Cutting board - Rectangular Green - 53,0 cm x 32,5 cm - h 2,0 cm</t>
  </si>
  <si>
    <t>42539-05</t>
  </si>
  <si>
    <t>Cutting board - Rectangular Green - 60,0 cm x 40,0 cm - h 2,0 cm</t>
  </si>
  <si>
    <t>42538-04</t>
  </si>
  <si>
    <t>Cutting board - Rectangular Blue - 53,0 cm x 32,5 cm - h 2,0 cm</t>
  </si>
  <si>
    <t>42539-04</t>
  </si>
  <si>
    <t>Cutting board - Rectangular Blue - 60,0 cm x 40,0 cm - h 2,0 cm</t>
  </si>
  <si>
    <t>CBM1016</t>
  </si>
  <si>
    <t>San Jamar  Saf-T-Grip Board-Mate 16" x 10" White Cutting Board Mat</t>
  </si>
  <si>
    <t>CBM1622</t>
  </si>
  <si>
    <t>af-T-Grip Board-Mate 22" x 16" White Cutting Board Mat</t>
  </si>
  <si>
    <t xml:space="preserve">San Jamar </t>
  </si>
  <si>
    <t>CBCWLCTST</t>
  </si>
  <si>
    <t>17" x 11" Customizable Color-Coded Cutting Board Smart Chart</t>
  </si>
  <si>
    <t>42542-00</t>
  </si>
  <si>
    <t>Cutting board rack -  30x26x27,5CM</t>
  </si>
  <si>
    <t>Carlisle</t>
  </si>
  <si>
    <t>4002100 </t>
  </si>
  <si>
    <t>Sparta Hand and Nail Brush Kit</t>
  </si>
  <si>
    <t>S-20782</t>
  </si>
  <si>
    <t>SDS Compliance Center - Bilingual</t>
  </si>
  <si>
    <t>KP97GR</t>
  </si>
  <si>
    <t xml:space="preserve">Cleaning Pail </t>
  </si>
  <si>
    <t>KP97RD</t>
  </si>
  <si>
    <t>KP196GR</t>
  </si>
  <si>
    <t>KP196RD</t>
  </si>
  <si>
    <t>19709-00</t>
  </si>
  <si>
    <t>Oven Thermometer</t>
  </si>
  <si>
    <t>STORAGE BOXES</t>
  </si>
  <si>
    <t>14562-10</t>
  </si>
  <si>
    <t xml:space="preserve">GN Pan Polycarbonate 1/1 100 mm </t>
  </si>
  <si>
    <t>Pan Gn 1/1 Gastronorm PC Cm 53X32,5X10</t>
  </si>
  <si>
    <t>14562-15</t>
  </si>
  <si>
    <t xml:space="preserve">GN Pan Polycarbonate 1/1 150 mm </t>
  </si>
  <si>
    <t>Pan Gn 1/1 Gastronorm PC Cm 53X32,5X15</t>
  </si>
  <si>
    <t>14565-06</t>
  </si>
  <si>
    <t>GN Pan Polycarbonate 1/2 65mm 3.7 ltr</t>
  </si>
  <si>
    <t>Pan Gn 1/2 Gastronorm PC Cm 32X26,5X6,5</t>
  </si>
  <si>
    <t>14565-10</t>
  </si>
  <si>
    <t>GN Pan Polycarbonate 1/2 100mm 6.3 ltr</t>
  </si>
  <si>
    <t>Pan Gn 1/2 Gastronorm PC Cm 32X26,5X10</t>
  </si>
  <si>
    <t>14565-20</t>
  </si>
  <si>
    <t>GN Pan Polycarbonate 1/2 200mm 12.7 ltr</t>
  </si>
  <si>
    <t>Pan Gn 1/2 Gastronorm PC Cm 32X26,5X20</t>
  </si>
  <si>
    <t>14567-10</t>
  </si>
  <si>
    <t>Pan GN Polycarbonate 1/3 100mm 3.7 ltr</t>
  </si>
  <si>
    <t>Pan Gn 1/3 Gastronorm PC Cm 32,5X18X10</t>
  </si>
  <si>
    <t>14567-15</t>
  </si>
  <si>
    <t>GN Pan Polycarbonate 1/3 150mm 5.7 ltr</t>
  </si>
  <si>
    <t>Pan Gn 1/3 Gastronorm PC Cm 32,5X18X15</t>
  </si>
  <si>
    <t>14567-20</t>
  </si>
  <si>
    <t>GN Pan Polycarbonate 1/3 200mm 7.7 ltr</t>
  </si>
  <si>
    <t>Pan Gn 1/3 Gastronorm PC Cm 32,5X18X20</t>
  </si>
  <si>
    <t>14569-10</t>
  </si>
  <si>
    <t>GN Pan Polycarbonate 1/6 100mm 1.7 ltr</t>
  </si>
  <si>
    <t>Pan Gn 1/6 Gastronorm PC Cm 17,6X16X10</t>
  </si>
  <si>
    <t>14569-15</t>
  </si>
  <si>
    <t>GN Pan Polycarbonate 1/6 150mm 2.2 ltr</t>
  </si>
  <si>
    <t>Pan Gn 1/6 Gastronorm PC Cm 17,6X16X15</t>
  </si>
  <si>
    <t>14570-06</t>
  </si>
  <si>
    <t>Pan GN Polycarbonate 1/9 65mm 0.5 ltr</t>
  </si>
  <si>
    <t>Pan Gn 1/9 Gastronorm PC Cm 17,6X11X6,5</t>
  </si>
  <si>
    <t>14570-10</t>
  </si>
  <si>
    <t>Pan GN Polycarbonate 1/9 100mm 0.8 ltr</t>
  </si>
  <si>
    <t>Pan Gn 1/9 Gastronorm PC Cm 17,6X11X10</t>
  </si>
  <si>
    <t>14592-00</t>
  </si>
  <si>
    <t>Drain Tray for GN 1/1  Polycarbonate - hotel pan size</t>
  </si>
  <si>
    <t xml:space="preserve">Drainer Plate Gn 1/1 Gastronorm PC </t>
  </si>
  <si>
    <t>14572-00</t>
  </si>
  <si>
    <t>Lid GN 1/1 Plain Polycarbonate</t>
  </si>
  <si>
    <t xml:space="preserve">Lid Gn 1/1 Gastronorm PC </t>
  </si>
  <si>
    <t>14575-00</t>
  </si>
  <si>
    <t>Lid GN 1/2 Plain Polycarbonate</t>
  </si>
  <si>
    <t xml:space="preserve">Lid Gn 1/2 Gastronorm PC </t>
  </si>
  <si>
    <t>14577-00</t>
  </si>
  <si>
    <t>Lid GN 1/3 Plain Polycarbonate</t>
  </si>
  <si>
    <t xml:space="preserve">Lid Gn 1/3 Gastronorm PC </t>
  </si>
  <si>
    <t>14579-00</t>
  </si>
  <si>
    <t>Lid GN 1/6 Plain Polycarbonate</t>
  </si>
  <si>
    <t xml:space="preserve">Lid Gn 1/6 Gastronorm PC </t>
  </si>
  <si>
    <t>14580-00</t>
  </si>
  <si>
    <t>Lid GN Seal 1/9</t>
  </si>
  <si>
    <t xml:space="preserve">Lid Gn 1/9 Gastronorm PC </t>
  </si>
  <si>
    <t>41782-04</t>
  </si>
  <si>
    <t>Stainless Steel Compartment Box (4 x GN 1/9 pans) w/ Transparent Lid</t>
  </si>
  <si>
    <t xml:space="preserve">Spice Box S/Steel </t>
  </si>
  <si>
    <t>44628-02</t>
  </si>
  <si>
    <t>Container Stackable Transparent 1.9 ltr</t>
  </si>
  <si>
    <t>Food Container Lt 1,9 PC Dim Cm 18x18x9,6</t>
  </si>
  <si>
    <t>44628-04</t>
  </si>
  <si>
    <t>Container Stackable Transparent 3.8 ltr</t>
  </si>
  <si>
    <t>Food Container Lt 3,8 PC Dim Cm 18x18x18,5</t>
  </si>
  <si>
    <t>44628-06</t>
  </si>
  <si>
    <t>Container Stackable Transparent 5.7 ltr</t>
  </si>
  <si>
    <t>Food Container Lt 5,7 PC Dim Cm 22,2x22,2x18,6</t>
  </si>
  <si>
    <t>44628-08</t>
  </si>
  <si>
    <t>Container Stackable Transparent 7.6 ltr</t>
  </si>
  <si>
    <t>Food Container Lt 7,6 PC Dim Cm 22,2x22,2x22,8</t>
  </si>
  <si>
    <t>44628-11</t>
  </si>
  <si>
    <t>Container Stackable Transparent 11.4 ltr</t>
  </si>
  <si>
    <t>Food Container Lt 11,4 PC Dim Cm 28,3x28,3x21</t>
  </si>
  <si>
    <t>44628-17</t>
  </si>
  <si>
    <t>Container Stackable Transparent 17.0 ltr</t>
  </si>
  <si>
    <t>Food Container Lt 17 PC Dim Cm 28,3x28,3x32</t>
  </si>
  <si>
    <t>44628-20</t>
  </si>
  <si>
    <t>Container Stackable Transparent 20.8 ltr</t>
  </si>
  <si>
    <t>Food Container Lt 20,8 PC Dim Cm 28,3x28,3x40</t>
  </si>
  <si>
    <t>44628-22</t>
  </si>
  <si>
    <t>Lid Square Red For Medium Food Container</t>
  </si>
  <si>
    <t>Square Lid X Food Container Lt 5,7-7,6 PE (22.8 x 22.8 x 1.6 cm)</t>
  </si>
  <si>
    <t>44628-23</t>
  </si>
  <si>
    <t>Lid Square Blue For Big Food Container</t>
  </si>
  <si>
    <t xml:space="preserve">Square Lid X Food Container Lt 11,4-20,8 PE (28.9 x 29.9 x 1.6 cm) </t>
  </si>
  <si>
    <t>44628-21</t>
  </si>
  <si>
    <t>Lid Square Green For Small Food Container</t>
  </si>
  <si>
    <t>Square Lid X Food Container Lt 1,9-3,8 PE (18.5 X 18.5 X 1.6 cm)</t>
  </si>
  <si>
    <t>41762-09</t>
  </si>
  <si>
    <t>Dough Boxes Stackable Pastry White 60 x 40 x 9cm</t>
  </si>
  <si>
    <t>Box For Dough Cm 9 Pe Stackable - 60x40x9,5 CM</t>
  </si>
  <si>
    <t>41763-00</t>
  </si>
  <si>
    <t>Lid for Dough Boxes Food Container 60 x 40 cm</t>
  </si>
  <si>
    <t xml:space="preserve">Cover For Dough Box Pe </t>
  </si>
  <si>
    <t>FG360288WHT</t>
  </si>
  <si>
    <t>Bin Ingredient w/ Silding Lid 100 ltr</t>
  </si>
  <si>
    <t>ProSave 26.2 Gallon / 415 Cup White Slant Top Mobile Ingredient Storage Bin with Sliding Lid</t>
  </si>
  <si>
    <t>FG360388WHT</t>
  </si>
  <si>
    <t>Bin Ingredient w/ Silding Lid 121 ltr</t>
  </si>
  <si>
    <t>ProSave 30.8 Gallon / 490 Cup White Slant Top Mobile Ingredient Storage Bin with Sliding Lid &amp; Scoop</t>
  </si>
  <si>
    <t>Recycle Away</t>
  </si>
  <si>
    <t>STEWARDING</t>
  </si>
  <si>
    <t>C-SIMPLE SORT-3</t>
  </si>
  <si>
    <t>Large Simple Sort Triple Recycling Station - Configurable</t>
  </si>
  <si>
    <t>Large Simple Sort Triple Recycling Station - Configurable - Total Capacity: 69 Gal - Unit Capacity: 23 Gal - # of Units: 3 - Dimensions: 33" w x 20" l x 30" h</t>
  </si>
  <si>
    <t>CONTAINER,8 GAL,STEP-ON,BLACK</t>
  </si>
  <si>
    <t>Slim Jim Resin Black Rectangular Front Step-On Trash Can - 32 Qt. / 8 Gallon</t>
  </si>
  <si>
    <t>H-7928</t>
  </si>
  <si>
    <t>DOLLY,CONTNR,BLACK</t>
  </si>
  <si>
    <t>Uline Trash Can Dolly - size 6 x 18" - capacity 250lbs</t>
  </si>
  <si>
    <t>H-3688GR</t>
  </si>
  <si>
    <t>CONTNR,44 GL,GRAY</t>
  </si>
  <si>
    <t>Uline Trash Can - 44 Gallon, Gray - size 31 x 24"</t>
  </si>
  <si>
    <t>San Jamar / Webstaurant</t>
  </si>
  <si>
    <t>KA4400</t>
  </si>
  <si>
    <t>CUTTLERY CATCH, MAGNETIC LID FOR CONTNR 44 GL</t>
  </si>
  <si>
    <t>San Jamar KA4400 KatchAll Magnetic Flatware Retriever 44 Gallon Trash Can Lid</t>
  </si>
  <si>
    <t>FG354007BLU</t>
  </si>
  <si>
    <t>CONTAINER,SLIM JIM,23 GAL,BLUE</t>
  </si>
  <si>
    <t>Slim Jim 23 Gallon Blue Rectangular Recycling Bin</t>
  </si>
  <si>
    <t>49931-87</t>
  </si>
  <si>
    <t>CONTAINER,SLIM JIM,23 GAL,GRAY</t>
  </si>
  <si>
    <t xml:space="preserve">Waste Container Lt 87 Grey Pe, Slim Jim </t>
  </si>
  <si>
    <t>FG354007GRN</t>
  </si>
  <si>
    <t>CONTAINER,WASTE,23 GALLON,GREEN</t>
  </si>
  <si>
    <t xml:space="preserve"> Slim Jim 23 Gallon Green Rectangular Recycling Bin</t>
  </si>
  <si>
    <t>44077-00</t>
  </si>
  <si>
    <t>SIGN,FLOOR,"CAUTION WET FLOOR"</t>
  </si>
  <si>
    <t xml:space="preserve">Floor Sign H Cm 57 PP Yellow </t>
  </si>
  <si>
    <t>44169B14</t>
  </si>
  <si>
    <t>BUCKET,14 QT,GRAY</t>
  </si>
  <si>
    <t xml:space="preserve">Graduated Bucket Blue Lt 15 Pp </t>
  </si>
  <si>
    <t xml:space="preserve"> FG200500CHAR</t>
  </si>
  <si>
    <t>DUSTPAN,HAND,CHARCOAL</t>
  </si>
  <si>
    <t>12 1/4" Heavy-Duty Plastic Dust Pan</t>
  </si>
  <si>
    <t>44172-30</t>
  </si>
  <si>
    <t>WAVE BRAKE MOPPING COMBO,35QT</t>
  </si>
  <si>
    <t>Floor Cleaning Trolley Lt 30 PP Yellow Blue Cm 47X40X93</t>
  </si>
  <si>
    <t>18520-08</t>
  </si>
  <si>
    <t>KNIFE,PUTTY,</t>
  </si>
  <si>
    <t xml:space="preserve">Triangular Spatula Cm 12X8 Series 18500 S/Steel PP Handle </t>
  </si>
  <si>
    <t>44170-01</t>
  </si>
  <si>
    <t>Toy Brooms</t>
  </si>
  <si>
    <t xml:space="preserve">Broom With  aluminum rod, Cm 80 Painted Steel PP PVC </t>
  </si>
  <si>
    <t>H-3460BL</t>
  </si>
  <si>
    <t xml:space="preserve">BROOM/BRUSH,PUSH,24",BLACK - </t>
  </si>
  <si>
    <t>Black Push Broom with 60" fiberglass handle</t>
  </si>
  <si>
    <t>44160-03</t>
  </si>
  <si>
    <t>MOP,DUST CUT END 5"X36"</t>
  </si>
  <si>
    <t>Scissor Dust Mop Cm 134 Chromed Metal Cotton with Handle</t>
  </si>
  <si>
    <t>FGM255000000</t>
  </si>
  <si>
    <t>FRAME,WIRE, 5" X 36" BLACK</t>
  </si>
  <si>
    <t>36" Snap-On Wire Dust Mop Frame</t>
  </si>
  <si>
    <t>44167-13</t>
  </si>
  <si>
    <t xml:space="preserve">HANDLE, 51"SNAP ON CONNECTOR </t>
  </si>
  <si>
    <t xml:space="preserve">Mop Hanlde Cm 130 For 44166-28 Steel </t>
  </si>
  <si>
    <t>44166-28</t>
  </si>
  <si>
    <t>MOP, WEBFOOT LG, BLUE 1" HB LR</t>
  </si>
  <si>
    <t xml:space="preserve">Mop Gr 280 Cotton </t>
  </si>
  <si>
    <t>483ss100scrub</t>
  </si>
  <si>
    <t>SCRUBBER,STAINLESS STEEL,LARGE</t>
  </si>
  <si>
    <t>100g Large Stainless Steel Scrubber - 12/Pack</t>
  </si>
  <si>
    <t>3M / Wasserstrom</t>
  </si>
  <si>
    <t xml:space="preserve">PAD,SCOURING,GEN PURPOSE,20/BX </t>
  </si>
  <si>
    <t>3M™ 96 Scotch-Brite General Purpose Scouring Pad - 20 / BX</t>
  </si>
  <si>
    <t>H-1354</t>
  </si>
  <si>
    <t>SQUEEGEE,24",FLOOR,STRAIGHT</t>
  </si>
  <si>
    <t xml:space="preserve">Straight Industrial Floor Squeegee - 24" </t>
  </si>
  <si>
    <t>SQUEEGEE,WINDOW,12",SINGLE</t>
  </si>
  <si>
    <t>Flo-Pac® Professional Single-Blade Rubber Window Squeegee With A Zinc Plated Steel Handle 12" - Black</t>
  </si>
  <si>
    <t>SQUEEGEE,WINDOW,16",SINGLE</t>
  </si>
  <si>
    <t>Professional Single Blade Rubber Squeegee With Zinc Plated Handle 16" - Black</t>
  </si>
  <si>
    <t xml:space="preserve">HANDLE,MOP,60" </t>
  </si>
  <si>
    <t>Rubbermaid Commercial Spill Mop Handle</t>
  </si>
  <si>
    <t>Express C-Fold</t>
  </si>
  <si>
    <t>S1010</t>
  </si>
  <si>
    <t>TOWEL,C-FOLD,10.25X12.75 CB520</t>
  </si>
  <si>
    <t>Empress S1010 White 10 x 12.75 In C-Fold Premium Towel - 2400 / CS</t>
  </si>
  <si>
    <t>FG199200GRAY</t>
  </si>
  <si>
    <t>HOLDER,BROOM,18"</t>
  </si>
  <si>
    <t>Closet Organizer and Tool Holder Kit, Gray</t>
  </si>
  <si>
    <t xml:space="preserve"> 42585-04</t>
  </si>
  <si>
    <t>BIN,CUTLERY,GREY,21X12X4</t>
  </si>
  <si>
    <t>Cutlery Dispenser - 32,5x53cm</t>
  </si>
  <si>
    <t>44031-05</t>
  </si>
  <si>
    <t>BOX,GRAY,15"X20"X7",NSF</t>
  </si>
  <si>
    <t>Multipurpose Box- 52x39x17,7</t>
  </si>
  <si>
    <t>Chef master / Wasserstrom</t>
  </si>
  <si>
    <t>Grill Scraper</t>
  </si>
  <si>
    <t>Griddle scraper Long (18 inch) frame with top handle
5 1/2" sharpened stainless steel blade</t>
  </si>
  <si>
    <t>BLADE,F/SCRAPER</t>
  </si>
  <si>
    <t>Chef-Master™ 90003HD Replacement Blade for Scraper</t>
  </si>
  <si>
    <t>Grill Brush</t>
  </si>
  <si>
    <t>H-494L</t>
  </si>
  <si>
    <t xml:space="preserve"> Large Back Support </t>
  </si>
  <si>
    <t>Industrial Back Support Belt with Suspender - Large - L (34-38")</t>
  </si>
  <si>
    <t>H-494M</t>
  </si>
  <si>
    <t xml:space="preserve"> Medium Back Support  </t>
  </si>
  <si>
    <t>Uline Industrial Back Support Belt with Suspender - Medium (30-34")</t>
  </si>
  <si>
    <t>H-494S</t>
  </si>
  <si>
    <t xml:space="preserve">606505Small Back Support  </t>
  </si>
  <si>
    <t>Uline Industrial Back Support Belt with Suspender - Small - S (25-30")</t>
  </si>
  <si>
    <t>Lakeside</t>
  </si>
  <si>
    <t>TROLLEYS AND TRANSPORTS</t>
  </si>
  <si>
    <t>4 Shelf Queen Mary</t>
  </si>
  <si>
    <t>Lakeside 564 - Queen Mary Banquet Cart, 4 Shelf: 28″ x 62″, 3 Edges up and 1 Down, 1,000-Lb. Capacity
Item Dimention (67 in x 30.75 in x 64.75 in) Materia l- Stainless Steel</t>
  </si>
  <si>
    <t>Sheet pan dolly for GN 2/1 and Full Size</t>
  </si>
  <si>
    <t>Mobile Sheet Pan Dolly, NSF, Aluminum, (1) Storage Tier with Sides, (1) Push Handle.
Securely holds and transports 18" x 26" (457 x 660), 14"x 18" (356 x 457), and 13" x 18" (330 x 457) sheet pans and trays.
Dimentions : 27 in x 21 in x 33.5 in</t>
  </si>
  <si>
    <t>49378-00</t>
  </si>
  <si>
    <t>40 x 70 PLATFORM TRUCK, BLACK  SZ 30X60</t>
  </si>
  <si>
    <t>Transport Cart PE Cm 82,6X52X98,7</t>
  </si>
  <si>
    <t>44807-18</t>
  </si>
  <si>
    <t>Universal pan rack holds half size US Sheet pan and/or GN 1/1 Hotel pan</t>
  </si>
  <si>
    <t>Gn 1/1 Baking Sheet Trolley S/Steel 38x62x164cm</t>
  </si>
  <si>
    <t>44807-36</t>
  </si>
  <si>
    <t>Universal pan rack full size US Sheet pan and/or GN 2/1 pan</t>
  </si>
  <si>
    <t>Gn Baking Sheet Trolley S/Steel - 73x62x171</t>
  </si>
  <si>
    <t>44832-99</t>
  </si>
  <si>
    <t>Cover For Platemate Cart</t>
  </si>
  <si>
    <t>Zipperd Cover For 44830-72/44830-99 Plastic Cm 159X72X72</t>
  </si>
  <si>
    <t>44830-99</t>
  </si>
  <si>
    <t>Plate Mate Cart Collapsible</t>
  </si>
  <si>
    <t xml:space="preserve">Mobile Plate Rack for 104 Plates S/Steel </t>
  </si>
  <si>
    <t>44819-03</t>
  </si>
  <si>
    <t>Food Transport Cart - Heavy Duty Stainless Steel 3 Shelf - 500 lbs / 250 KG</t>
  </si>
  <si>
    <t xml:space="preserve">3-Tier Trolley S/Steel </t>
  </si>
  <si>
    <t>44819-02</t>
  </si>
  <si>
    <t>Food Transport Cart - Heavy Duty Stainless Steel 2 Shelf - 500 lbs / 250 KG</t>
  </si>
  <si>
    <t xml:space="preserve">2-Tier Trolley S/Steel </t>
  </si>
  <si>
    <t>44024-00</t>
  </si>
  <si>
    <t>Glass Rack Dolly, no handle</t>
  </si>
  <si>
    <t xml:space="preserve">Dolly For Glass Racks Pp, S/Steel </t>
  </si>
  <si>
    <t>44023-00</t>
  </si>
  <si>
    <t>Glass Rack Dolly, with handle</t>
  </si>
  <si>
    <t xml:space="preserve">Dolly With Handle For Racks Pp, S/Steel </t>
  </si>
  <si>
    <t>49304-06</t>
  </si>
  <si>
    <t>Plate Doillies adustable, with cover</t>
  </si>
  <si>
    <t xml:space="preserve">Adjustable Dish Dolly 4 Dividers, Pe </t>
  </si>
  <si>
    <t>FWEUHRS-10</t>
  </si>
  <si>
    <t>Transport Thermo Trolley, universal pan slide</t>
  </si>
  <si>
    <t>Dual temperature Hot/Cold transport trolley</t>
  </si>
  <si>
    <t xml:space="preserve">Iwatani </t>
  </si>
  <si>
    <t>OPERATING SUPPLIES | DISPOSABLES</t>
  </si>
  <si>
    <t xml:space="preserve">GM-5/897 </t>
  </si>
  <si>
    <t>Lighter Gun Gas</t>
  </si>
  <si>
    <t>Iwatani GM-5/897 Butane Lighter with Safety Lock</t>
  </si>
  <si>
    <t>Cellucap</t>
  </si>
  <si>
    <t>HN500BK</t>
  </si>
  <si>
    <t>Hairnets</t>
  </si>
  <si>
    <t>Hairnets Black</t>
  </si>
  <si>
    <t>Darling</t>
  </si>
  <si>
    <t>Medium Latex Glove</t>
  </si>
  <si>
    <t>Darling Food Service Medium Powder Free Vinyl Gloves - 1000 </t>
  </si>
  <si>
    <t>Large Latex Glove</t>
  </si>
  <si>
    <t>Darling Food Service Large Powder Free Vinyl Gloves - 1000</t>
  </si>
  <si>
    <t>Drawing Room</t>
  </si>
  <si>
    <t>82000AND0124</t>
  </si>
  <si>
    <t>SALT H 6.7cm H 2 5/8" William Edwards Whiteware Collection</t>
  </si>
  <si>
    <t>82000AND0125</t>
  </si>
  <si>
    <t>PEPPER H 6.7cm H 2 5/8" William Edwards Whiteware Collection</t>
  </si>
  <si>
    <t>LD090003</t>
  </si>
  <si>
    <t>Olimpia - GOLD - H 10.2" W bottom 3" W Top 5.9"</t>
  </si>
  <si>
    <t>AV02</t>
  </si>
  <si>
    <t>Aurum - Vase/Lantern H11.75in</t>
  </si>
  <si>
    <t>01001 CANVAS</t>
  </si>
  <si>
    <t>Eco Friendly - Canvas - WHITE - 80% COTTON – 20% LINEN - 826 CANVAS
HEM: Two Hems &amp; Two Selvedges, 4 Hems, Mitred Corners,
Product ID: 1-G1-826</t>
  </si>
  <si>
    <t>82106AND0249</t>
  </si>
  <si>
    <t>Butter Dish / Condiment Pot</t>
  </si>
  <si>
    <t>CONDIMENT POT D 6.5cm H 3.3cm (5.0cl) / D 2 1/2" H 1 3/8" (1 3/4oz) William Edwards Trellis</t>
  </si>
  <si>
    <t>54.7205.6040</t>
  </si>
  <si>
    <t>Dessert Fork, 8-1/4", 18/10 stainless steel, Nordic by WMF</t>
  </si>
  <si>
    <t>54.7206.6049</t>
  </si>
  <si>
    <t>Dessert Knife, 9", monobloc, 18/10 stainless steel, Nordic by WMF</t>
  </si>
  <si>
    <t>54.7204.6040</t>
  </si>
  <si>
    <t>Dessert Spoon, 8-1/4", 18/10 stainless steel, Nordic by WMF</t>
  </si>
  <si>
    <t>54.7207.6040</t>
  </si>
  <si>
    <t>Tea/Coffee Spoon, 5-1/2", 18/10 stainless steel, Nordic by WMF</t>
  </si>
  <si>
    <t>54.7209.6040</t>
  </si>
  <si>
    <t>Demitasse Spoon, 4-1/4", 18/10 stainless steel, Nordic by WMF</t>
  </si>
  <si>
    <t>54.7201.6040</t>
  </si>
  <si>
    <t>Tablespoon</t>
  </si>
  <si>
    <t>Table Spoon, 9", 18/10 stainless steel, Nordic by WMF</t>
  </si>
  <si>
    <t>54.7202.6040</t>
  </si>
  <si>
    <t>Table Fork, 9", 18/10 stainless steel, Nordic by WMF</t>
  </si>
  <si>
    <t>54.7203.6049</t>
  </si>
  <si>
    <t>Table Knife, 9-3/4", monobloc, 18/10 stainless steel, Nordic by WMF</t>
  </si>
  <si>
    <t>54.7266.6049</t>
  </si>
  <si>
    <t>Butter Knife / Spreader</t>
  </si>
  <si>
    <t>Butter Knife, 6-3/4", monobloc, 18/10 stainless steel, Nordic by WMF</t>
  </si>
  <si>
    <t xml:space="preserve">Glass tray - clear glass, 4 deepenings (Ø 4.6 cm), for inserts and
portion jam up to Ø 4.4 cm (e.g. Darbo portion jam, 28 g
and 40 g) - l x w x h in cm PU 23.5x6.2x3 </t>
  </si>
  <si>
    <t>82106AND0421</t>
  </si>
  <si>
    <t>Coupe Plate 6.5"</t>
  </si>
  <si>
    <t>Coupe Plate, 6.5" x 0.75", Signature, Trellis, William Edwards, Round, Bone China  (minimum = case quantity) (NON STOCK item)</t>
  </si>
  <si>
    <t>82106AND0163</t>
  </si>
  <si>
    <t>Coupe Plate, 8.25" x 0.875", Signature, Trellis, William Edwards, Round, Bone China  (minimum = case quantity) (NON STOCK item)</t>
  </si>
  <si>
    <t>82106AND0244</t>
  </si>
  <si>
    <t>Coupe Plate, 10.5" x 0.875", Signature, Trellis, William Edwards, Round, Bone China  (minimum = case quantity) (NON STOCK item)</t>
  </si>
  <si>
    <t>82115AND0103</t>
  </si>
  <si>
    <t>Plate 7"</t>
  </si>
  <si>
    <t>PLATE D 22.0cm D 8 3/4" -William Edwards Diamond</t>
  </si>
  <si>
    <t>82115AND0101V2</t>
  </si>
  <si>
    <t>PLATE D 30.0cm D 11 3/4" - William Edwards Diamond</t>
  </si>
  <si>
    <t>82115AND0132</t>
  </si>
  <si>
    <t>Pasta Bowl 11"</t>
  </si>
  <si>
    <t>LARGE RIM BOWL - D 28.0cm H 5.7cm (60.0cl) - D 11" H 2 1/8" (21oz) William Edwards Diamond</t>
  </si>
  <si>
    <t>82106AND0332</t>
  </si>
  <si>
    <t>Bowl 12oz</t>
  </si>
  <si>
    <t>Bowl, 12.375 oz, 5.75" x 2.125", Signature, Trellis, William Edwards, Round, Bone China  (minimum = case quantity) (NON STOCK item)</t>
  </si>
  <si>
    <t>82106AND0441</t>
  </si>
  <si>
    <t>Bowl 21oz</t>
  </si>
  <si>
    <t>Bowl, 21.0 oz, 9.5" x 2.0", Signature, Trellis, William Edwards, Round, Bone China  (minimum = case quantity) (NON STOCK item)</t>
  </si>
  <si>
    <t>Condiment Pot</t>
  </si>
  <si>
    <t>Condiment Pot, 1.75 oz, 2.5" x 1.375", Signature, Trellis, William Edwards, Bone China  (minimum = case quantity) (NON STOCK item)</t>
  </si>
  <si>
    <t>82106AND0411A</t>
  </si>
  <si>
    <t>TEA FOR ONE CUP - L 12.7cm W 10.1cm H 6.0cm (26.0cl) - L 5" W 4" H 2 1/2" (9oz)</t>
  </si>
  <si>
    <t xml:space="preserve">82106AND0169 </t>
  </si>
  <si>
    <t>TEA FOR ONE SAUCER - D 14.5cm D 5 3/4"</t>
  </si>
  <si>
    <t>82106AND0145</t>
  </si>
  <si>
    <t>Footed Espresso Cup, 3.0 oz, 3.625" x 2.625" x 2.25", Signature, Trellis, William Edwards, Bone China  (minimum = case quantity) (NON STOCK item)</t>
  </si>
  <si>
    <t>82106AND0146</t>
  </si>
  <si>
    <t>Espresso Saucer, 4.75" x 0.75", Signature, Trellis, William Edwards, Round, Bone China  (minimum = case quantity) (NON STOCK item)</t>
  </si>
  <si>
    <t>82106AND0119</t>
  </si>
  <si>
    <t xml:space="preserve">Sugar </t>
  </si>
  <si>
    <t>Covered Sugar, 9.0 oz, 4.5" x 2.75", Signature, Trellis, William Edwards, Bone China  (minimum = case quantity) (NON STOCK item)</t>
  </si>
  <si>
    <t>82106AND0120</t>
  </si>
  <si>
    <t>Milk Jug, 9.0 oz, 3.5" x 3.0" x 4.125", Signature, Trellis, William Edwards, Bone China  (minimum = case quantity) (NON STOCK item)</t>
  </si>
  <si>
    <t>82106AND0411B</t>
  </si>
  <si>
    <t>TEA FOR ONE TEAPOT - L 12.3cm W 10.1cm H 12.4cm (46.0cl) L 4 7/8" W 4" H 2 3/8" (16oz)</t>
  </si>
  <si>
    <t>41529-05</t>
  </si>
  <si>
    <t>Tea Strainer</t>
  </si>
  <si>
    <t>Paderno Tableware, Buffet, Display Tea strainer - Ø 5,0 cm - Material Stainless Steel - Look Mirror Steel</t>
  </si>
  <si>
    <t>Sugar Tongs</t>
  </si>
  <si>
    <t>Sugar tongs -  Cm 12,6cm In 4 ,7/8"</t>
  </si>
  <si>
    <t>SRG3</t>
  </si>
  <si>
    <t>Tea Stand</t>
  </si>
  <si>
    <t>Buffet Stand, 3-tier, 12"L x 7"W x 20-1/2"H, oval, includes 6" &amp; 7-1/4" dia. built-in white glass plates, with carry handle, steel frame, gold finish (hand wash only)</t>
  </si>
  <si>
    <t>Ichendorf</t>
  </si>
  <si>
    <t>Tea Timer</t>
  </si>
  <si>
    <t>Times Collection - Hourglass smoke/pink 5min - Dimensions H. 16 ⌀ 3,8</t>
  </si>
  <si>
    <t>FL00104S6</t>
  </si>
  <si>
    <t>Filante tumbler amber 13 oz - Set of 6</t>
  </si>
  <si>
    <t>Chef and Sommelier</t>
  </si>
  <si>
    <t>U1051</t>
  </si>
  <si>
    <t xml:space="preserve">Chef &amp; Sommelier  Open Up 6.75 oz. Flute Glass by Arc Cardinal </t>
  </si>
  <si>
    <t>Highball</t>
  </si>
  <si>
    <t>HG90079-024</t>
  </si>
  <si>
    <t>Specialty Cocktail</t>
  </si>
  <si>
    <t>Legend Glassware - Atlas Hi-Ball Glass, 12.5 oz., premium glass, clear (24 each per case)</t>
  </si>
  <si>
    <t>Forbes Industries</t>
  </si>
  <si>
    <t>Digestif Cart</t>
  </si>
  <si>
    <t>Circa Bar Cart Elite – 5593 - W 24.25" L 34.75" H 42"</t>
  </si>
  <si>
    <t>305 05 23 565</t>
  </si>
  <si>
    <t>Round bar tray  Ø In 15</t>
  </si>
  <si>
    <t>305 12 27 503</t>
  </si>
  <si>
    <t>Non-slip mat for beverage/ bar tray  Ø In  15</t>
  </si>
  <si>
    <t>V01 05 23 G11 M</t>
  </si>
  <si>
    <t>Gastronorm rectangular tray with handles Cm 53 x 32,5 (1/1)- In 20,7/8 x 12,3/4</t>
  </si>
  <si>
    <t>Owners Lounge/ Adult Hotel</t>
  </si>
  <si>
    <t>Locally Sourced</t>
  </si>
  <si>
    <t>Planter</t>
  </si>
  <si>
    <t>LD1050R3</t>
  </si>
  <si>
    <t>Push-up Pro - Color: Rust - 4.7" diameter base x 3.1" high (closed) / 3.9" high (open)</t>
  </si>
  <si>
    <t>01859</t>
  </si>
  <si>
    <t>Arizona - Portofino - 100% Cotton A40 ARIZONA - HEM: Two Hems &amp; Two Selvedges, 4 Hems Mitred Corners, Hemstitching, Bias Binding (for round tablecloth) Product ID: 1-I8-A4</t>
  </si>
  <si>
    <t>41366</t>
  </si>
  <si>
    <t>21377-TOH/SND</t>
  </si>
  <si>
    <t>Cheforward - Hatch - Round Plate 6.5”Dia.24 Ea.</t>
  </si>
  <si>
    <t>21379-TOH/SND</t>
  </si>
  <si>
    <t>Plate 10.5"</t>
  </si>
  <si>
    <t>Cheforward - Hatch -Round Plate 10.5”Dia. 12 Ea.</t>
  </si>
  <si>
    <t>31080-TOH/SND</t>
  </si>
  <si>
    <t>Bowl 40 oz</t>
  </si>
  <si>
    <t>Cheforward - Hatch - Round Bowl 40 oz 8.1” Dia. H 2.4” - 8 Ea.</t>
  </si>
  <si>
    <t>21380-TOH/SND</t>
  </si>
  <si>
    <t>Platter 11"</t>
  </si>
  <si>
    <t>Cheforward - Hatch - Oblong Platter
L 11.6” W 5.6” - 16 Ea.</t>
  </si>
  <si>
    <t>31075-TOH/SND</t>
  </si>
  <si>
    <t>Cheforward - Hatch - Ovoidal Ramekin
3 oz - 3.9” Dia. H 1.7” 48 Ea.</t>
  </si>
  <si>
    <t>20009-SP</t>
  </si>
  <si>
    <t>Plate 8"</t>
  </si>
  <si>
    <t xml:space="preserve">Cheforward - Savor Collection  - Spruce. Round Plate Large number 8" </t>
  </si>
  <si>
    <t>23123-SP</t>
  </si>
  <si>
    <t>Rectangular Plate</t>
  </si>
  <si>
    <t>Cheforward - Savor Collection  - Spruce - Rectangular Plate 12 x 5"</t>
  </si>
  <si>
    <t>30894-SP</t>
  </si>
  <si>
    <t>Bowl 20 oz</t>
  </si>
  <si>
    <t>Cheforward - Savor Collection  - Spruce - Bowl 20 oz</t>
  </si>
  <si>
    <t>20580-SP</t>
  </si>
  <si>
    <t>Mini Wok</t>
  </si>
  <si>
    <t>Cheforward - Savor Collection  - Spruce - Mini Wok Plate with handles - 9 x 7"</t>
  </si>
  <si>
    <t>FP318</t>
  </si>
  <si>
    <t xml:space="preserve">Specialty - Wood Tray </t>
  </si>
  <si>
    <t>Arcoroc, Acacia Wood Accessories Wood Soup/Salad Sandwich Board (L:14.0'' X W:8.0''), ['Acacia Wood'], (6 PC In A Case), Minimum Purchasing Unit CS</t>
  </si>
  <si>
    <t>FP316</t>
  </si>
  <si>
    <t>Specialty - Fry Cup for Wood Tray</t>
  </si>
  <si>
    <t>Arcoroc, Metal Accessories French Fry Holder (L:5.0'' X W:4.999''), ['Stainless Steel'], (24 PC In A Case), Minimum Purchasing Unit CS</t>
  </si>
  <si>
    <t>RM147</t>
  </si>
  <si>
    <t>Specialty - Board Small</t>
  </si>
  <si>
    <t>Serving Board, 14-1/4"L x 8"W x 3/8"H, rectangular, melamine, reclaimed wood pattern, Naturals™ Collection</t>
  </si>
  <si>
    <t>RM189</t>
  </si>
  <si>
    <t>Specialty - Board Medium</t>
  </si>
  <si>
    <t>Serving Board, 17-3/4"L x 8-3/4"W x 3/8"H, rectangular, melamine, reclaimed wood pattern, Naturals™ Collection</t>
  </si>
  <si>
    <t>LP202</t>
  </si>
  <si>
    <t>Cheforward Lapis Board, 15"L x 8-3/4"W, medium, rectangular, dishwasher safe, BPA free, melamine, petrified bamboo (to be discontinued, contact factory for availability)</t>
  </si>
  <si>
    <t>9032-BU</t>
  </si>
  <si>
    <t>Wine Bag</t>
  </si>
  <si>
    <t>Ice Bag® Champagne Cooler Bag, (1) bottle capacity, 6" x 5-1/2" x 9-5/8"H, rectangular, collapsible, loop handles, translucent, clear (bulk pack)</t>
  </si>
  <si>
    <t>Via Motif</t>
  </si>
  <si>
    <t>104-1V JAVA</t>
  </si>
  <si>
    <t>Bento Box Large</t>
  </si>
  <si>
    <t>Large Bento Box. 21.00'' x 15.00'' x 5.25''H. Color Java</t>
  </si>
  <si>
    <t>302-1F JAVA</t>
  </si>
  <si>
    <t>Basket for Cloche</t>
  </si>
  <si>
    <t>Small Square Basket w/ 4 Melamine Inserts. 9.25'' x 9.25'' x 2.75''H</t>
  </si>
  <si>
    <t>302-1CH JAVA</t>
  </si>
  <si>
    <t>Cloche for Basket</t>
  </si>
  <si>
    <t>Cloche for Small Square Basket w/ Four Inserts. 8.75'' x 8.75'' x 5.50''H. Color Java</t>
  </si>
  <si>
    <t>Cooler Box -13 QTS</t>
  </si>
  <si>
    <t>Blue - Rainbow - 13 QTS - Capacity 15 cans. - 13 Qts: Ext. size 15,47″ x 10,2″ x h9,57″. Capacity 15 cans. Weight 2,20 Lb.</t>
  </si>
  <si>
    <t>6107 MELAMINE</t>
  </si>
  <si>
    <t>Splash Serving Tray Brown - Melamine - 23.9"L x 16.69"W x 1.4"H</t>
  </si>
  <si>
    <t>9018 VINYL</t>
  </si>
  <si>
    <t>Liner for Serving Tray</t>
  </si>
  <si>
    <t>Splash Serving Tray Liner - Vinyl - 23.0"L x 16.3"W x 0.1"H</t>
  </si>
  <si>
    <t>AP Wine Glass</t>
  </si>
  <si>
    <t>Carrafe</t>
  </si>
  <si>
    <t>2.5.003.00.352</t>
  </si>
  <si>
    <t>Oval Stand 26" SS</t>
  </si>
  <si>
    <t>Oval Wine Bucket 9" SS</t>
  </si>
  <si>
    <t xml:space="preserve">Wooden Tray Jack </t>
  </si>
  <si>
    <t>TRPN1614RIBSBX</t>
  </si>
  <si>
    <t>Beverage Tray 16"</t>
  </si>
  <si>
    <t>Service Ideas TRPN1614RIBSBX Bar Serviing Tray, 12-sided, non-slip, black onyx</t>
  </si>
  <si>
    <t>Infuser</t>
  </si>
  <si>
    <t>Fruit Bowl Medium</t>
  </si>
  <si>
    <t>Tilt Medium Rustic Olive Wood Bowl - 10.63 x 10.63 x 4.13 - Features: Due to the natural variations in olive wood, bowl sizes may vary significantly and exact dimensions cannot be guaranteed. - Stock Tier: Silver</t>
  </si>
  <si>
    <t>Fruit Bowl Large</t>
  </si>
  <si>
    <t>Tilt Large Rustic Olive Wood Bowl - 12.2 x 12.2 x 4.72 - Features: Due to the natural variations in olive wood, bowl sizes may vary significantly and exact dimensions cannot be guaranteed. - Stock Tier: Silver</t>
  </si>
  <si>
    <t>UR90203</t>
  </si>
  <si>
    <t>Syphon, 1.0 qt, 4.75" x 14.625"H, stainless steel, black, Utopia, Syphons (minimum = case quantity) (stock item)</t>
  </si>
  <si>
    <t xml:space="preserve">Owners Lounge/ Adult Hotel | FOH Bar </t>
  </si>
  <si>
    <t>5th FL Resident Lounge</t>
  </si>
  <si>
    <t>2522 STAINLESS STEEL</t>
  </si>
  <si>
    <t xml:space="preserve">Bread Basket Op. 2 Large </t>
  </si>
  <si>
    <t>Montenegro Bowl Large Gold - 7.3"Dx2.5"H</t>
  </si>
  <si>
    <t>82115AND0249</t>
  </si>
  <si>
    <t>Ramekin and Butter Dish</t>
  </si>
  <si>
    <t>William Edwards Diamond CONDIMENT POT D 6.5cm H 3.3cm (5.0cl) - D 2 1/2" H 1 3/8" (1 3/4oz)</t>
  </si>
  <si>
    <t>82115AND0104</t>
  </si>
  <si>
    <t>B&amp;b 6.5"</t>
  </si>
  <si>
    <t>Plate, 6.5" x 0.625", Signature, Diamond, William Edwards, Round, Bone China  (minimum = case quantity) (STOCK item)</t>
  </si>
  <si>
    <t>Plate 8.75"</t>
  </si>
  <si>
    <t>Plate, 8.75" x 0.625", Signature, Diamond, William Edwards, Round, Bone China  (minimum = case quantity) (STOCK item)</t>
  </si>
  <si>
    <t>82115AND0102</t>
  </si>
  <si>
    <t>Plate, 10.75" x 0.875", Signature, Diamond, William Edwards, Round, Bone China  (minimum = case quantity) (STOCK item)</t>
  </si>
  <si>
    <t>82115AND0101V1</t>
  </si>
  <si>
    <t>Plate, 11.75" x 0.875", Signature, Diamond, William Edwards, Round, Bone China  (minimum = case quantity) (STOCK item)</t>
  </si>
  <si>
    <t>82115AND0105</t>
  </si>
  <si>
    <t>Bowl 8oz</t>
  </si>
  <si>
    <t>Rim Bowl, 8.0 oz, 8.75" x 1.375", Signature, Diamond, William Edwards, Round, Bone China  (minimum = case quantity) (STOCK item)</t>
  </si>
  <si>
    <t>82115AND0136</t>
  </si>
  <si>
    <t>Tray 13"</t>
  </si>
  <si>
    <t>L/S Rectangle Tray, 13.375" x 6.0" x 0.75", Signature, Diamond, William Edwards, Rectangle, Bone China  (minimum = case quantity) (STOCK item)</t>
  </si>
  <si>
    <t>6th FL Resident Lounge</t>
  </si>
  <si>
    <t>82000AND0550</t>
  </si>
  <si>
    <t>Deep Coupe Bowl 11"</t>
  </si>
  <si>
    <t>Studio William Whiteware Collection - DEEP COUPE BOWL D 28.5cm H 5.1cm (141.9cl)
D 11 1/4" H 2" (1 1/2 qt)</t>
  </si>
  <si>
    <t>7th FL Resident Lounge</t>
  </si>
  <si>
    <t>82000AND0150</t>
  </si>
  <si>
    <t>LARGE BOWL D 23.0cm H 8.2cm (2ltr)
D 9 1/8" H 3 1/4" (2 qt)</t>
  </si>
  <si>
    <t>82115AND0110</t>
  </si>
  <si>
    <t>Tea Cup Can, 9.0 oz, 4.375" x 3.375" x 2.5", Signature, Diamond, William Edwards, Bone China  (minimum = case quantity) (STOCK item)</t>
  </si>
  <si>
    <t>82115AND0211</t>
  </si>
  <si>
    <t>Saucer, 6.375" x 0.875", Signature, Diamond, William Edwards, Round, Bone China  (minimum = case quantity) (STOCK item)</t>
  </si>
  <si>
    <t>82115AND0112</t>
  </si>
  <si>
    <t>Coffee Can, 3.5 oz, 3.25" x 2.25" x 2.5", Signature, Diamond, William Edwards, Bone China  (minimum = case quantity) (STOCK item)</t>
  </si>
  <si>
    <t>82115AND0152</t>
  </si>
  <si>
    <t>Espresso Saucer, 4.75" x 0.75", Signature, Diamond, William Edwards, Round, Bone China  (minimum = case quantity) (STOCK item)</t>
  </si>
  <si>
    <t>82115AND0340</t>
  </si>
  <si>
    <t>Milk Jug, 7.75 oz, 5.75" x 2.5" x 3.25", Signature, Diamond, William Edwards, Bone China (minimum = case quantity) (STOCK item)</t>
  </si>
  <si>
    <t>82115AND0335</t>
  </si>
  <si>
    <t>Sugar Bowl</t>
  </si>
  <si>
    <t>Oval Sugar Bowl, 8.0 oz, 4.0" x 2.375" x 3.5", Signature, Diamond, William Edwards, Bone China  (minimum = case quantity) (STOCK item)</t>
  </si>
  <si>
    <t>82115AND0341</t>
  </si>
  <si>
    <t>Sugar Bowl Lid</t>
  </si>
  <si>
    <t>Oval Covered Sugar Lid, 4.125" x 2.875" x 1.0", Signature, Diamond, William Edwards, Bone China  (minimum = case quantity) (STOCK item)</t>
  </si>
  <si>
    <t>82115AND0337</t>
  </si>
  <si>
    <t>OVAL TEAPOT 2 CUP L 23.4cm W 9.5cm H 10.0cm (55.0cl)
L 9 1/4" W 3 3/4" H 3 1/2" (19 3/8oz) , Signature, Diamond, William Edwards, Bone China  (minimum = case quantity, 6 each per case) (STOCK item)</t>
  </si>
  <si>
    <t>13191/01</t>
  </si>
  <si>
    <t>DOF Glass, 15.2 oz., 3.6" dia. x 3.9"H, SON.hyx® lead-free crystal glass, Speakeasy Swing by Luigi Bormioli (Core collection)</t>
  </si>
  <si>
    <t>13143/01</t>
  </si>
  <si>
    <t>Hi-Ball Glass, 19.2 oz., 3.4" dia. x 5.5"H, SON.hyx® lead-free crystal glass, Speakeasy Swing by Luigi Bormioli (Core collection)</t>
  </si>
  <si>
    <t>13142/01</t>
  </si>
  <si>
    <t>Gin Glass, 25.3 oz., 4.1" dia. x 9.1"H, SON.hyx® lead-free crystal glass, Speakeasy Swing by Luigi Bormioli</t>
  </si>
  <si>
    <t>13168/01</t>
  </si>
  <si>
    <t>Martini Glass, 7.4 oz., 3.9" dia. x 5.9"H, SON.hyx® lead-free crystal glass, Speakeasy Swing by Luigi Bormioli (Core collection)</t>
  </si>
  <si>
    <t>13192/01</t>
  </si>
  <si>
    <t xml:space="preserve">Snifter </t>
  </si>
  <si>
    <t>Snifter Glass, 15.7 oz., 3.7" dia. x 5.0"H, SON.hyx® lead-free crystal glass, Speakeasy Swing by Luigi Bormioli (Core collection)</t>
  </si>
  <si>
    <t>13190/01</t>
  </si>
  <si>
    <t>Specialty Champagne Coupe</t>
  </si>
  <si>
    <t>Champagne Coupe Glass, 10.1 oz., 4.2" dia. x 5.8"H, SON.hyx® lead-free crystal glass, Speakeasy Swing by Luigi Bormioli (Core collection)</t>
  </si>
  <si>
    <t>8th FL Resident Lounge</t>
  </si>
  <si>
    <t>5588 GLASS</t>
  </si>
  <si>
    <t>Snack Presentation</t>
  </si>
  <si>
    <t>Forest Snack Set of 3 - Glass - 3.5"D x 8" H - 6oz - 3 compartments</t>
  </si>
  <si>
    <t>HGBDV100-001</t>
  </si>
  <si>
    <t>Atomizer Sprayer</t>
  </si>
  <si>
    <t>Legend Glassware - Eros Atomizer, 3.5 oz., premium glass (1 each per case)</t>
  </si>
  <si>
    <t>5th FL Resident Lounge | FOH Bar</t>
  </si>
  <si>
    <t>22918-4-116</t>
  </si>
  <si>
    <t>3 Jar Display, 13-1/2"W x 5"D x 4-3/4"H, includes (3) oval glass jars 16 oz., plated metal, gold, Monaco</t>
  </si>
  <si>
    <t>Napkin Holder, 8-11/16" x 8-11/16, dishwasher safe, 18/10 stainless steel, STILE by Paninfarina  STOCK ITEM</t>
  </si>
  <si>
    <t>M37005GD</t>
  </si>
  <si>
    <t>Barfly® Japanese Style Jigger, 1 &amp; 2 oz., with internal marking lines, 18/8 stainless steel, gold-plated finish</t>
  </si>
  <si>
    <t>M37199GD</t>
  </si>
  <si>
    <t>Cocktail Shaker 28oz</t>
  </si>
  <si>
    <t>Barfly® Diamond Lattice Shaker, 28 oz., 3-5/8" dia. x 7"H, capped bottom, 18/8 stainless steel, satin finish interior, gold-plated exterior finish, intricate etched pattern design</t>
  </si>
  <si>
    <t>M37198GD</t>
  </si>
  <si>
    <t>Barfly® Diamond Lattice Shaker, 18 oz., 3-1/2" dia. x 5"H, capped bottom, 18/8 stainless steel, satin finish interior, gold-plated exterior finish, intricate etched pattern design</t>
  </si>
  <si>
    <t>M37203GD</t>
  </si>
  <si>
    <t>Barfly® Diamond Lattice Spring Bar Strainer, 6" overall length, heavy duty, 2-prong, replaceable spring, hanging hole, 18/8 stainless steel, gold-plated finish</t>
  </si>
  <si>
    <t>M37028GD</t>
  </si>
  <si>
    <t>Barfly® Julep Strainer, 6-1/2" overall length, welded handle with hanging hole, 18/8 stainless steel, gold-plated finish</t>
  </si>
  <si>
    <t>M37025GD</t>
  </si>
  <si>
    <t>Barfly® Mesh Strainer, 3-1/2" dia. bowl, 10-3/8" overall length, fine-mesh, front rest loop, rod handle, 18/8 stainless steel, gold-plated finish</t>
  </si>
  <si>
    <t>M37204GD</t>
  </si>
  <si>
    <t>Barfly® Diamond Lattice Japanese Style Bar Spoon, 13-3/16" (33.5 cm), machined end, twisted stem, one-piece, 18/8 stainless steel, gold-plated finish</t>
  </si>
  <si>
    <t>PAX:</t>
  </si>
  <si>
    <t>CARRO DE SERVICIO CON PANELES  92 X 96.5 CM   POLIPROPILENO  NEGRO</t>
  </si>
  <si>
    <t>CHAROLA RECTANGULAR  35.6 X 45.7 CM   POLIPROPILENO  AZUL COBALTO</t>
  </si>
  <si>
    <t xml:space="preserve">TOSTADOR DE PAN DE 4 HORNILLOS ACERO INOXIDABLE </t>
  </si>
  <si>
    <t>DISPENSADOR DE SERVILLETAS CAPACIDAD 150 PZ 19.05 X9.5 X10.16 CM ACERO INOXIDABLE</t>
  </si>
  <si>
    <t xml:space="preserve"> CUCHILLO MESA PERPETUAL CAJA 12 PIEZAS</t>
  </si>
  <si>
    <t xml:space="preserve"> TENEDOR MESA PERPETUAL CAJA 12 PIEZAS</t>
  </si>
  <si>
    <t xml:space="preserve"> CUCHARA MESA PERPETUAL CAJA 12 PIEZAS</t>
  </si>
  <si>
    <t xml:space="preserve"> VASO HIGH BALL APILABLE 12 OZ PLASTICO AZUL</t>
  </si>
  <si>
    <t xml:space="preserve"> CUCHARA CAFÉ PERPETUAL CAJA 12 PIEZAS</t>
  </si>
  <si>
    <t>Type</t>
  </si>
  <si>
    <t>UTENSILIOS</t>
  </si>
  <si>
    <t>LOZA</t>
  </si>
  <si>
    <t>BLANCOS</t>
  </si>
  <si>
    <t>CRISTALERIA</t>
  </si>
  <si>
    <t>PLAQUE</t>
  </si>
  <si>
    <t>TYPE</t>
  </si>
  <si>
    <t>LIMPIEZA</t>
  </si>
  <si>
    <t xml:space="preserve">B-CV74015 </t>
  </si>
  <si>
    <t>CRISALERIA</t>
  </si>
  <si>
    <t>CARRO BANQUETERO 96 PLATOS 1 PUERTA 120V</t>
  </si>
  <si>
    <t>Code</t>
  </si>
  <si>
    <t>Stand for Bucket Mepra Stand for Bucket 200666F MG</t>
  </si>
  <si>
    <t>Specialty - Seafood Stand Steelite Specialty - Seafood Stand 5850JX62</t>
  </si>
  <si>
    <t>Table Lamp Fabric Shade Zafferano Table Lamp Fabric Shade 5PP-081</t>
  </si>
  <si>
    <t>Table Lamp Fabric Shade Zafferano Table Lamp Fabric Shade 5PP-084</t>
  </si>
  <si>
    <t xml:space="preserve">Buckets for Stand Mepra Buckets for Stand 200669 MG                </t>
  </si>
  <si>
    <t>Table Lamp Base 1  Zafferano Table Lamp Base 1  LD0340S4</t>
  </si>
  <si>
    <t>Table Lamp Base 2 Zafferano Table Lamp Base 2 LD034DG4</t>
  </si>
  <si>
    <t>Bar Mat San Jamar Bar Mat VM5280BK-12</t>
  </si>
  <si>
    <t>Sharing Plate 7.5" Steelite Sharing Plate 7.5" 6163RG147</t>
  </si>
  <si>
    <t>Napkin Casa Rovea Napkin 1-01-499-04076</t>
  </si>
  <si>
    <t>Water Pitcher Monica Calderon Water Pitcher RS 2028-126</t>
  </si>
  <si>
    <t>Beverage Tray Oaxifornia Beverage Tray TPZT017</t>
  </si>
  <si>
    <t>Specialty - Taco Presentation - Board Fortessa Specialty - Taco Presentation - Board DV.GB.4002</t>
  </si>
  <si>
    <t>B&amp;B  Steelite B&amp;B  6163RG150</t>
  </si>
  <si>
    <t>Charger and trolley for lamps Zafferano Charger and trolley for lamps LD0350RP</t>
  </si>
  <si>
    <t>Plate 11.75" Steelite Plate 11.75" 6163RG145</t>
  </si>
  <si>
    <t>Bowl 9" Steelite Bowl 9" 6163RG148</t>
  </si>
  <si>
    <t>Specialty - Tray  Monica Calderon Specialty - Tray  rs 0610-025</t>
  </si>
  <si>
    <t>Beer Glass Stolzle Beer Glass Z1200019</t>
  </si>
  <si>
    <t>Cutting Board John Boos Cutting Board RA03</t>
  </si>
  <si>
    <t>Specialty - Snack Drop 1  Monica Calderon Specialty - Snack Drop 1  PE-0032</t>
  </si>
  <si>
    <t>Specialty - Snack Drop 2 Monica Calderon Specialty - Snack Drop 2 PE-0032</t>
  </si>
  <si>
    <t>AP Wine Glass 14oz Fortessa AP Wine Glass 14oz 26.112412</t>
  </si>
  <si>
    <t>Service Tray Monica Calderon Service Tray TBD</t>
  </si>
  <si>
    <t>Dinner Knife Abert Dinner Knife CF15105</t>
  </si>
  <si>
    <t>Appetizer Knife Abert Appetizer Knife CF15115</t>
  </si>
  <si>
    <t>Tray Jack Pantheon Tray Jack TBD Custom</t>
  </si>
  <si>
    <t>Stack Bowl 6" Steelite Stack Bowl 6" 6163RG156</t>
  </si>
  <si>
    <t>Votive Impulse Votive 1055 ALABASTER</t>
  </si>
  <si>
    <t>Water Glass Fortessa Water Glass DV.JUPITERSG.04</t>
  </si>
  <si>
    <t>Specialty - Leaf Tray Monica Calderon Specialty - Leaf Tray rs 0518-863</t>
  </si>
  <si>
    <t>Dinner Spoon Abert Dinner Spoon CF15101</t>
  </si>
  <si>
    <t>Dinner Fork Abert Dinner Fork CF15102</t>
  </si>
  <si>
    <t>Bread Basket Revol Bread Basket 650932</t>
  </si>
  <si>
    <t>Appetizer Fork Abert Appetizer Fork CF15112</t>
  </si>
  <si>
    <t>Appetizer/Dessert Spoon Abert Appetizer/Dessert Spoon CF15111U</t>
  </si>
  <si>
    <t>Silicone Bands Cardinal Silicone Bands RBB02</t>
  </si>
  <si>
    <t>Silicone Bands Cardinal Silicone Bands RBP01</t>
  </si>
  <si>
    <t>Silicone Bands Cardinal Silicone Bands RBY03</t>
  </si>
  <si>
    <t>Silicone Bands Cardinal Silicone Bands RBDG3</t>
  </si>
  <si>
    <t>Silicone Bands Cardinal Silicone Bands RBO05</t>
  </si>
  <si>
    <t>Silicone Bands Cardinal Silicone Bands RBW06</t>
  </si>
  <si>
    <t>Silicone Bands Cardinal Silicone Bands RBR09</t>
  </si>
  <si>
    <t>Silicone Bands Cardinal Silicone Bands RBB06</t>
  </si>
  <si>
    <t>Silicone Bands Cardinal Silicone Bands RBBR7</t>
  </si>
  <si>
    <t>Coffee / Tea Spoon Abert Coffee / Tea Spoon CF15121</t>
  </si>
  <si>
    <t>Moscow Mule American Metalcraft Moscow Mule GM16P</t>
  </si>
  <si>
    <t>Serving Tray Cambro Serving Tray 2900CT</t>
  </si>
  <si>
    <t>Sauce Bowl 3" Steelite Sauce Bowl 3" 6163RG164</t>
  </si>
  <si>
    <t>Porthole Infuser Crucial Detail Porthole Infuser PORTHOLE</t>
  </si>
  <si>
    <t>Specialy - Molcajete Monica Calderon Specialy - Molcajete TBD</t>
  </si>
  <si>
    <t>Champagne Glass Fortessa Champagne Glass 26.112415</t>
  </si>
  <si>
    <t>Bottle Opener Blue Pheasant Bottle Opener BP005972</t>
  </si>
  <si>
    <t>Specialty - Taco Presentation - Stand Fortessa Specialty - Taco Presentation - Stand DV.5.003.00.200</t>
  </si>
  <si>
    <t>Specialty - Bowl Monica Calderon Specialty - Bowl rs 0465-126</t>
  </si>
  <si>
    <t>Condiment Caddy Cal-Mil Condiment Caddy 23183-21</t>
  </si>
  <si>
    <t>Creamer &amp; Sauce Pourer Steelite Creamer &amp; Sauce Pourer 6163RG167</t>
  </si>
  <si>
    <t>Plate 10.75" Steelite Plate 10.75" 7186TM503</t>
  </si>
  <si>
    <t>Fruit Stand Blue Pheasant Fruit Stand BP005904</t>
  </si>
  <si>
    <t>Fruit Stand Blue Pheasant Fruit Stand BP005902</t>
  </si>
  <si>
    <t>Beer Glass Hospitality Brands Beer Glass HUS069-012</t>
  </si>
  <si>
    <t>Juicer, Lever / Crank Type TableCraft Products Juicer, Lever / Crank Type JP9730</t>
  </si>
  <si>
    <t>Steak Knife Abert Steak Knife CF15155</t>
  </si>
  <si>
    <t>Wine Glass Hospitality Brands Wine Glass HUS088-012</t>
  </si>
  <si>
    <t>Coupe Cardinal Coupe FP303</t>
  </si>
  <si>
    <t>Stack Bowl 8.25" Steelite Stack Bowl 8.25" 6163RG155</t>
  </si>
  <si>
    <t>Specialty Wine Glass 23oz Fortessa Specialty Wine Glass 23oz 26.11242</t>
  </si>
  <si>
    <t>Hi Ball Glass Stolzle Hi Ball Glass Z3460009</t>
  </si>
  <si>
    <t>Mixing Glass Mercer Mixing Glass M37219ANG</t>
  </si>
  <si>
    <t>Ice Tote San Jamar Ice Tote SI6000</t>
  </si>
  <si>
    <t>Coffee Cup Saucer Steelite Coffee Cup Saucer 6163RG159</t>
  </si>
  <si>
    <t>Bar Spoon Mercer Bar Spoon M37012ANG</t>
  </si>
  <si>
    <t>Storage Jar / Ingredient Canister, Glass Cal-Mil Storage Jar / Ingredient Canister, Glass 1851-5</t>
  </si>
  <si>
    <t>Plate 8.25" Steelite Plate 8.25" 7186TM502</t>
  </si>
  <si>
    <t>Bowl 7" Steelite Bowl 7" 7186TM517</t>
  </si>
  <si>
    <t>Coffee Cup Steelite Coffee Cup 6163RG158</t>
  </si>
  <si>
    <t>Champagne Glass Hospitality Brands Champagne Glass HUF107-012</t>
  </si>
  <si>
    <t>Policarbonate Bowls Steelite Policarbonate Bowls N206143</t>
  </si>
  <si>
    <t>Liquor Pourer Spill-Stop Liquor Pourer 285-50</t>
  </si>
  <si>
    <t>Martini Cardinal Martini P3882</t>
  </si>
  <si>
    <t>Mandoline Matfer Mandoline 186700</t>
  </si>
  <si>
    <t>Shot Glass Fortessa Shot Glass 115.124306</t>
  </si>
  <si>
    <t>Demitasse &amp; Sauce Spoon Abert Demitasse &amp; Sauce Spoon CF15122</t>
  </si>
  <si>
    <t>Storage Jar / Ingredient Canister, Glass Cal-Mil Storage Jar / Ingredient Canister, Glass 1851-4</t>
  </si>
  <si>
    <t>Jigger Mercer Jigger M37005ANG</t>
  </si>
  <si>
    <t>Bar Mat Winco Bar Mat BM-1812K</t>
  </si>
  <si>
    <t>Bowl 7" Steelite Bowl 7" 7178TM704</t>
  </si>
  <si>
    <t>Ramekin 2 Steelite Ramekin 2 6163RG154</t>
  </si>
  <si>
    <t>Napkin Holder Cal-Mil Napkin Holder 3309-60</t>
  </si>
  <si>
    <t>Straw Holder Cal-Mil Straw Holder 3308-60</t>
  </si>
  <si>
    <t>Glass Cup Steelite Glass Cup 4990Q715</t>
  </si>
  <si>
    <t>Hurricane Hospitality Brands Hurricane HUS057-012</t>
  </si>
  <si>
    <t>Nick &amp; Nora Cardinal Nick &amp; Nora Q3702</t>
  </si>
  <si>
    <t>Cocktail Shaker 28 oz Mercer Cocktail Shaker 28 oz M37008ANG</t>
  </si>
  <si>
    <t>OF Rock Glass Stolzle OF Rock Glass Z3460014</t>
  </si>
  <si>
    <t>Bar Strainer Mercer Bar Strainer M37026ANG</t>
  </si>
  <si>
    <t>Sugar Steelite Sugar 6163RG165</t>
  </si>
  <si>
    <t>Gin &amp; Tonic Cardinal Gin &amp; Tonic P8821</t>
  </si>
  <si>
    <t>Espresso Cup  Steelite Espresso Cup  6163RG161</t>
  </si>
  <si>
    <t>Bowl 9.5" Steelite Bowl 9.5" 7178TM706</t>
  </si>
  <si>
    <t>Pepper Mill Peugeot Pepper Mill 41366</t>
  </si>
  <si>
    <t>Salt Mill Peugeot Salt Mill 38151</t>
  </si>
  <si>
    <t>High Ball Hospitality Brands High Ball HUS0277-012</t>
  </si>
  <si>
    <t>Julep Strainer Mercer Julep Strainer M37028ANG</t>
  </si>
  <si>
    <t>Shrimp Cocktail Glass Steelite Shrimp Cocktail Glass UR97000</t>
  </si>
  <si>
    <t>Cocktail Shaker 18 oz Mercer Cocktail Shaker 18 oz M37007ANG</t>
  </si>
  <si>
    <t>Ramekin Steelite Ramekin 7186TM511</t>
  </si>
  <si>
    <t>Bowl 5" Steelite Bowl 5" 7178TM705</t>
  </si>
  <si>
    <t>Espresso Cup Saucer Steelite Espresso Cup Saucer 6163RG162</t>
  </si>
  <si>
    <t>Water Glass Fortessa Water Glass PS.ORB.SG.04</t>
  </si>
  <si>
    <t>Glass Cup Steelite Glass Cup P440211</t>
  </si>
  <si>
    <t>Ice Pack Cal-Mil Ice Pack 1851-5PUCK</t>
  </si>
  <si>
    <t>OF Rock Glass Hospitality Brands OF Rock Glass HUS0276-012</t>
  </si>
  <si>
    <t>Martini Hospitality Brands Martini HU5024-012</t>
  </si>
  <si>
    <t>Iced tea Spoon Abert Iced tea Spoon CF15135</t>
  </si>
  <si>
    <t>Channel Knife Mercer Channel Knife M15500</t>
  </si>
  <si>
    <t>Mesh Strainer Mercer Mesh Strainer M37025</t>
  </si>
  <si>
    <t>Plate 6.5" Steelite Plate 6.5" 7186TM505</t>
  </si>
  <si>
    <t>Bar Mat Spill-Stop Bar Mat 160-02</t>
  </si>
  <si>
    <t>Ice Pack Cal-Mil Ice Pack 1851-4PUCK</t>
  </si>
  <si>
    <t>Bowl, 9.5" Steelite Bowl, 9.5" 7186TM516</t>
  </si>
  <si>
    <t>Bitter / Dash Bottle Luigi Bormioli Bitter / Dash Bottle 12272/02</t>
  </si>
  <si>
    <t>Bitter / Dash Bottle Luigi Bormioli Bitter / Dash Bottle 12273/02</t>
  </si>
  <si>
    <t>Drink Bar Mix Pourer Lid Spill-Stop Drink Bar Mix Pourer Lid 301-02</t>
  </si>
  <si>
    <t>Citrus Squeezer Mercer Citrus Squeezer M37023</t>
  </si>
  <si>
    <t>B&amp;B  Steelite B&amp;B  7178TM701</t>
  </si>
  <si>
    <t>Salt Rimmer Winco Salt Rimmer GR-3</t>
  </si>
  <si>
    <t>Scoop Winco Scoop AS-12</t>
  </si>
  <si>
    <t>Bar Knife Cardinal Bar Knife CAP07</t>
  </si>
  <si>
    <t>Bottle Stopper American Metalcraft Bottle Stopper CHBST112</t>
  </si>
  <si>
    <t>Muddler Cardinal Muddler CAP09</t>
  </si>
  <si>
    <t>Tongs, Tweezer Cardinal Tongs, Tweezer CAP01</t>
  </si>
  <si>
    <t>Sharpening Stone Winco Sharpening Stone SS-821</t>
  </si>
  <si>
    <t>Bottle Stopper Franmara Bottle Stopper 7770-C</t>
  </si>
  <si>
    <t>Measuring Cup Cambro Measuring Cup 100MCCW135</t>
  </si>
  <si>
    <t>Ice Tongs Fortessa Ice Tongs 2.5.003.00.277</t>
  </si>
  <si>
    <t>Lemon Lime Zester TableCraft Products Lemon Lime Zester E5604</t>
  </si>
  <si>
    <t>Vegetable Peeler, Manual Mercer Vegetable Peeler, Manual M33071BKB</t>
  </si>
  <si>
    <t>Bottle Stopper Franmara Bottle Stopper 7771-C</t>
  </si>
  <si>
    <t>Wine Key American Metalcraft Wine Key WCS871</t>
  </si>
  <si>
    <t>Funnel Winco Funnel PF-32</t>
  </si>
  <si>
    <t>UTENSILIOS DE COCINA</t>
  </si>
  <si>
    <t>code</t>
  </si>
  <si>
    <t>FECHA ENTREGA</t>
  </si>
  <si>
    <t>FECHA DE ENTREGA</t>
  </si>
  <si>
    <t>FECHAS DE ENTREGA</t>
  </si>
  <si>
    <t>FECHAS DE ENTERGA</t>
  </si>
  <si>
    <t>FECHAS DE ENTREG</t>
  </si>
  <si>
    <t>POR COMPRAR</t>
  </si>
  <si>
    <t>ITEM REPETIDO (N/A)</t>
  </si>
  <si>
    <t>2.9.BLKOVAL.13</t>
  </si>
  <si>
    <t>2.9.BLKPOT.13</t>
  </si>
  <si>
    <t>FORTESSA - FORTALITE CASSOLETTE OVAL C/TAPA, ALUMINIO FUNDIDO, 16.5CM 340ML.</t>
  </si>
  <si>
    <t>FORTESSA - FORTALITE CASSOLETTE REDONDO C/TAPA, ALUMINIO FUNDIDO, 13CM, 240ML.</t>
  </si>
  <si>
    <t>24 DE ABRIL</t>
  </si>
  <si>
    <t>DISPONIBLE</t>
  </si>
  <si>
    <t>6 DE MARZO</t>
  </si>
  <si>
    <t>ARTÍCULO NO DISPONIBLE</t>
  </si>
  <si>
    <t>POR CONFIRMAR</t>
  </si>
  <si>
    <t>03 DE MARZO</t>
  </si>
  <si>
    <t>30 DE MARZO</t>
  </si>
  <si>
    <t>03 DE ABRIL</t>
  </si>
  <si>
    <t>17 DE ABRIL</t>
  </si>
  <si>
    <t>16 DE MARZO</t>
  </si>
  <si>
    <t>17 DE MAYO</t>
  </si>
  <si>
    <t>20 DE ABRIL</t>
  </si>
  <si>
    <t>05 DE ABRIL</t>
  </si>
  <si>
    <t>25 DE MAYO</t>
  </si>
  <si>
    <t>9 DE MARZO</t>
  </si>
  <si>
    <t>15 DE MARZO</t>
  </si>
  <si>
    <t>15 DE MAYO</t>
  </si>
  <si>
    <t>30 DE MAYO</t>
  </si>
  <si>
    <t>30 DE ABRIL</t>
  </si>
  <si>
    <t>15 DE ABRIL</t>
  </si>
  <si>
    <t>COMPRA HOTEL</t>
  </si>
  <si>
    <t>NO CRITICO</t>
  </si>
  <si>
    <t>CRITICO</t>
  </si>
  <si>
    <t>RELEVANCIA</t>
  </si>
  <si>
    <t xml:space="preserve">POR CONFIRMAR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</si>
</sst>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right"/>
    </xf>
    <xf numFmtId="0" fontId="0" fillId="3" borderId="0" xfId="0" applyFill="1"/>
    <xf numFmtId="44" fontId="0" fillId="3" borderId="0" xfId="1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44" fontId="0" fillId="0" borderId="0" xfId="1" applyFont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4" fontId="0" fillId="2" borderId="0" xfId="1" applyFont="1" applyFill="1" applyAlignment="1">
      <alignment horizontal="center" vertical="center"/>
    </xf>
    <xf numFmtId="44" fontId="0" fillId="2" borderId="0" xfId="1" applyFont="1" applyFill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4" fontId="0" fillId="0" borderId="0" xfId="1" applyFont="1" applyAlignment="1">
      <alignment horizontal="left" vertical="center"/>
    </xf>
    <xf numFmtId="14" fontId="0" fillId="0" borderId="0" xfId="1" applyNumberFormat="1" applyFont="1" applyAlignment="1">
      <alignment horizontal="center" vertical="center"/>
    </xf>
    <xf numFmtId="14" fontId="0" fillId="0" borderId="0" xfId="1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center" wrapText="1"/>
    </xf>
    <xf numFmtId="16" fontId="0" fillId="0" borderId="0" xfId="1" applyNumberFormat="1" applyFont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2">
    <cellStyle name="Moneda" xfId="1" builtinId="4"/>
    <cellStyle name="Normal" xfId="0" builtinId="0"/>
  </cellStyles>
  <dxfs count="26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115</xdr:row>
      <xdr:rowOff>133946</xdr:rowOff>
    </xdr:from>
    <xdr:to>
      <xdr:col>2</xdr:col>
      <xdr:colOff>333139</xdr:colOff>
      <xdr:row>128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567B8-B703-4445-91EB-C6F48EB0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76993"/>
          <a:ext cx="3369233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2DF57-5440-4E60-A5E3-13628D568DEF}" name="Tabla2" displayName="Tabla2" ref="A2:Q107" totalsRowShown="0" dataDxfId="261">
  <autoFilter ref="A2:Q107" xr:uid="{A9F2DF57-5440-4E60-A5E3-13628D568DEF}"/>
  <tableColumns count="17">
    <tableColumn id="1" xr3:uid="{3EB1A55E-64D8-4249-82A9-58C6A1FE2103}" name="Code" dataDxfId="260"/>
    <tableColumn id="2" xr3:uid="{1F8ED3C5-CD30-4555-A8F5-CB55DA1B32D3}" name="Area" dataDxfId="259"/>
    <tableColumn id="3" xr3:uid="{4A9F72D4-C3FB-47BD-8BD6-EEB691173611}" name="Vendor" dataDxfId="258"/>
    <tableColumn id="4" xr3:uid="{CCC55F58-F422-411B-9767-25A0C43770AB}" name="Supplier/Distributer" dataDxfId="257"/>
    <tableColumn id="5" xr3:uid="{F19A8D5B-6983-43CE-B2EF-6E4ED76CD02E}" name="Category" dataDxfId="256"/>
    <tableColumn id="21" xr3:uid="{E1A1007F-2610-48EB-85CC-678ECAA965ED}" name="Type" dataDxfId="255"/>
    <tableColumn id="6" xr3:uid="{D367D73E-60FC-4A6C-8767-C70115D22BE2}" name="Item Code" dataDxfId="254"/>
    <tableColumn id="7" xr3:uid="{C9208371-348D-47DC-B801-87A2B965548B}" name="Description" dataDxfId="253"/>
    <tableColumn id="8" xr3:uid="{E2C6BCCB-91B9-4617-AEFA-3200224662E7}" name="Description 2" dataDxfId="252"/>
    <tableColumn id="11" xr3:uid="{FD480131-282F-4435-9826-244B7F42B5C0}" name="QTY Adjusted" dataDxfId="251"/>
    <tableColumn id="12" xr3:uid="{0B0DB84E-BB6B-4169-822E-977024A27489}" name="Unit" dataDxfId="250"/>
    <tableColumn id="13" xr3:uid="{054260A1-D358-4408-9679-44C31F7FB27D}" name="Price" dataDxfId="249"/>
    <tableColumn id="14" xr3:uid="{12A006B8-00BD-491C-9096-5355D08B1AB7}" name="Currency" dataDxfId="248"/>
    <tableColumn id="15" xr3:uid="{A8B0E7EF-F61C-44FF-8E41-2833E1FDA1CA}" name="Subtotal" dataDxfId="247">
      <calculatedColumnFormula>Tabla2[[#This Row],[Price]]*Tabla2[[#This Row],[QTY Adjusted]]</calculatedColumnFormula>
    </tableColumn>
    <tableColumn id="16" xr3:uid="{14667EFB-A075-4BBD-AAAB-A5DFE8E19C66}" name="Subtotal USD" dataDxfId="246"/>
    <tableColumn id="9" xr3:uid="{FC5E0A86-2BD3-4CAC-8DC0-6570BDF5BBE5}" name="FECHA ENTREGA" dataDxfId="245"/>
    <tableColumn id="10" xr3:uid="{CB27E6A1-8442-4FBD-9081-1EC61AE8EFCE}" name="RELEVANCIA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7DF88D-7188-413C-A2F3-3D320BD666C9}" name="Tabla3" displayName="Tabla3" ref="A2:Q272" totalsRowShown="0" dataDxfId="244">
  <autoFilter ref="A2:Q272" xr:uid="{1D7DF88D-7188-413C-A2F3-3D320BD666C9}"/>
  <tableColumns count="17">
    <tableColumn id="1" xr3:uid="{7462C58E-3328-4BAF-A5F5-D8A1D4106550}" name="Code" dataDxfId="243"/>
    <tableColumn id="2" xr3:uid="{14EED950-890B-435D-B71D-DC9769ECFAB4}" name="Area" dataDxfId="242"/>
    <tableColumn id="3" xr3:uid="{10E476CD-0D31-4EBE-A559-B89E8DD906AE}" name="Vendor" dataDxfId="241"/>
    <tableColumn id="4" xr3:uid="{46E0A651-CB6C-46FC-B010-551843C7707E}" name="Supplier/Distributer" dataDxfId="240"/>
    <tableColumn id="5" xr3:uid="{456B4649-C226-4F85-9D09-7DBCFABB8A17}" name="Category" dataDxfId="239"/>
    <tableColumn id="22" xr3:uid="{AFE364D7-B45C-445A-8413-AC273104BAD0}" name="TYPE" dataDxfId="238"/>
    <tableColumn id="6" xr3:uid="{30EFF8B5-F5F0-4526-9563-22B84A3363FB}" name="Item Code" dataDxfId="237"/>
    <tableColumn id="7" xr3:uid="{CF33D3F6-951A-4870-88FE-1FCB84254C64}" name="Description" dataDxfId="236"/>
    <tableColumn id="8" xr3:uid="{70F41508-9902-4C19-B79D-1CEAC639FB38}" name="Description 2" dataDxfId="235"/>
    <tableColumn id="11" xr3:uid="{34222020-8C91-41DA-9DA7-A53E1D60EC41}" name="QTY Adjusted" dataDxfId="234"/>
    <tableColumn id="12" xr3:uid="{68E78D78-0E33-4029-9DEF-2B9507426AEF}" name="Unit" dataDxfId="233"/>
    <tableColumn id="13" xr3:uid="{D3CC87AF-EA73-48A5-A0B8-70A585952AC4}" name="Price" dataDxfId="232"/>
    <tableColumn id="14" xr3:uid="{8C6D8A1F-99A4-46AC-A187-57243CA27C2A}" name="Currency" dataDxfId="231"/>
    <tableColumn id="15" xr3:uid="{820D53DC-D323-4838-AB38-29AA2785708B}" name="Subtotal" dataDxfId="230">
      <calculatedColumnFormula>Tabla3[[#This Row],[Price]]*Tabla3[[#This Row],[QTY Adjusted]]</calculatedColumnFormula>
    </tableColumn>
    <tableColumn id="16" xr3:uid="{8F24DA2F-ED26-406B-A6FD-593C17BF9A67}" name="Subtotal USD" dataDxfId="229"/>
    <tableColumn id="9" xr3:uid="{0D67FA31-E41C-4A3D-9D01-94EEC4837585}" name="FECHA DE ENTREGA" dataDxfId="228"/>
    <tableColumn id="10" xr3:uid="{F9F638E2-1091-454E-BE79-32AE5FD1E63E}" name="RELEVANCIA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A48384-FE1D-4C1F-93E7-7682E8E0E124}" name="Tabla4" displayName="Tabla4" ref="A2:Q101" totalsRowShown="0" dataDxfId="227">
  <autoFilter ref="A2:Q101" xr:uid="{D5A48384-FE1D-4C1F-93E7-7682E8E0E124}"/>
  <tableColumns count="17">
    <tableColumn id="1" xr3:uid="{C7DA243B-9A4A-4581-8FF5-9F378C6A050B}" name="Code" dataDxfId="226"/>
    <tableColumn id="2" xr3:uid="{F4004ECE-F328-4344-8002-96055D8A726E}" name="Area" dataDxfId="225"/>
    <tableColumn id="3" xr3:uid="{59CD143E-CFFC-41A8-AA52-3ABFD26F0B9A}" name="Vendor" dataDxfId="224"/>
    <tableColumn id="4" xr3:uid="{1B5385BB-ADBE-4BFC-B843-A7A76B655C43}" name="Supplier/Distributer" dataDxfId="223"/>
    <tableColumn id="5" xr3:uid="{362D200C-32FC-461F-9759-6A1392DCEEE3}" name="Category" dataDxfId="222"/>
    <tableColumn id="22" xr3:uid="{8DA6674E-CB06-455C-A977-D3B55BFCA3FC}" name="TYPE" dataDxfId="221"/>
    <tableColumn id="6" xr3:uid="{255979D1-1CE9-410A-BDF9-9F2D1B1E4DB8}" name="Item Code" dataDxfId="220"/>
    <tableColumn id="7" xr3:uid="{7F8E584D-E6AD-4F19-AE56-FB5DC748451E}" name="Description" dataDxfId="219"/>
    <tableColumn id="8" xr3:uid="{0C54C750-5471-4192-9F78-7F2274970802}" name="Description 2" dataDxfId="218"/>
    <tableColumn id="11" xr3:uid="{18283F6A-5866-4B16-B187-684618FA7712}" name="QTY Adjusted" dataDxfId="217"/>
    <tableColumn id="12" xr3:uid="{48F81361-F10B-44C9-BA49-78EECE1186AD}" name="Unit" dataDxfId="216"/>
    <tableColumn id="13" xr3:uid="{DDE44B61-1B02-470D-9E0B-939C53089F4F}" name="Price" dataDxfId="215"/>
    <tableColumn id="14" xr3:uid="{D6414974-2D14-4EC4-BFC6-7774187EA72F}" name="Currency" dataDxfId="214"/>
    <tableColumn id="15" xr3:uid="{22E18ABE-D329-4E3E-BFAC-55246B69D253}" name="Subtotal" dataDxfId="213">
      <calculatedColumnFormula>Tabla4[[#This Row],[Price]]*Tabla4[[#This Row],[QTY Adjusted]]</calculatedColumnFormula>
    </tableColumn>
    <tableColumn id="16" xr3:uid="{D19748DF-E3C9-45A9-9CDA-2B8B9853383E}" name="Subtotal USD" dataDxfId="212"/>
    <tableColumn id="9" xr3:uid="{84F2721D-FBD0-46D0-B706-9F1EF9C31091}" name="FECHAS DE ENTREGA" dataDxfId="211"/>
    <tableColumn id="10" xr3:uid="{97892DC1-DC21-49BC-A463-FE991D5DB278}" name="RELEVANCIA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C7BCF-B860-4322-A65F-ADCBD1D0DF86}" name="Tabla52" displayName="Tabla52" ref="A2:Q143" totalsRowShown="0" dataDxfId="210">
  <autoFilter ref="A2:Q143" xr:uid="{7C5A9EC1-D797-482E-8543-00610D5505FB}"/>
  <tableColumns count="17">
    <tableColumn id="1" xr3:uid="{3A5653A4-6177-4585-8BFE-38653482BE5C}" name="Code" dataDxfId="209"/>
    <tableColumn id="2" xr3:uid="{A974ECB1-04AB-4CDE-BD4E-8A44CF462176}" name="Area" dataDxfId="208"/>
    <tableColumn id="3" xr3:uid="{6FE42F0B-C168-4774-9570-CCE28ED88BBA}" name="Vendor" dataDxfId="207"/>
    <tableColumn id="4" xr3:uid="{FF88A2C6-1241-462B-BFF0-C7DE3638EBFA}" name="Supplier/Distributer" dataDxfId="206"/>
    <tableColumn id="5" xr3:uid="{BB32798F-030F-4080-BB00-ED8A92A9039B}" name="Category" dataDxfId="205"/>
    <tableColumn id="23" xr3:uid="{C66AAC11-DE73-49F6-BB58-DA0CC5FF2EE7}" name="TYPE" dataDxfId="204"/>
    <tableColumn id="6" xr3:uid="{361A6898-7E10-48E5-9EC3-E50ABC734BB1}" name="Item Code" dataDxfId="203"/>
    <tableColumn id="7" xr3:uid="{B6CEA5D4-26EB-4990-8148-D77F3549276D}" name="Description" dataDxfId="202"/>
    <tableColumn id="8" xr3:uid="{282B78A2-6D98-4220-9AEC-247D4953D8B0}" name="Description 2" dataDxfId="201"/>
    <tableColumn id="11" xr3:uid="{7549C9BC-D766-4494-9A64-F47DA6CEFD34}" name="QTY Adjusted" dataDxfId="200"/>
    <tableColumn id="12" xr3:uid="{BBEC513A-7B33-4A6F-A1B7-8C3F08143743}" name="Unit" dataDxfId="199"/>
    <tableColumn id="13" xr3:uid="{4BA9A36D-D22E-4BEF-9C3B-2E6B1CA25929}" name="Price" dataDxfId="198"/>
    <tableColumn id="14" xr3:uid="{CF36F29F-A2F8-42D5-8184-B3042B00C016}" name="Currency" dataDxfId="197"/>
    <tableColumn id="15" xr3:uid="{7919B050-0341-4B21-B37B-003D08C2210D}" name="Subtotal" dataDxfId="196">
      <calculatedColumnFormula>Tabla52[[#This Row],[Price]]*Tabla52[[#This Row],[QTY Adjusted]]</calculatedColumnFormula>
    </tableColumn>
    <tableColumn id="16" xr3:uid="{8827F57B-EE1E-444C-A1C5-6E3F27085F32}" name="Subtotal USD" dataDxfId="195"/>
    <tableColumn id="9" xr3:uid="{BA1F0AA4-F62D-4C26-A597-CFC4E5666D27}" name="FECHAS DE ENTREG" dataDxfId="194"/>
    <tableColumn id="10" xr3:uid="{023C709D-3A1D-406A-BB05-FB16D00FBF91}" name="RELEVANCIA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5FE367-506D-4C22-B83F-4AD2887E0178}" name="Tabla6" displayName="Tabla6" ref="A2:Q59" totalsRowShown="0" dataDxfId="193">
  <autoFilter ref="A2:Q59" xr:uid="{725FE367-506D-4C22-B83F-4AD2887E0178}"/>
  <tableColumns count="17">
    <tableColumn id="1" xr3:uid="{B1FD0AA0-0819-45C6-9036-CC49DD5F20E0}" name="Code" dataDxfId="192"/>
    <tableColumn id="2" xr3:uid="{9FEBCF21-73D0-4C78-97FF-C0ACF226353B}" name="Area" dataDxfId="191"/>
    <tableColumn id="3" xr3:uid="{D51691B2-D7E5-4B72-AC1E-1EAF528C4D27}" name="Vendor" dataDxfId="190"/>
    <tableColumn id="4" xr3:uid="{42F19487-2F92-43C7-88FE-0E1126727FDF}" name="Supplier/Distributer" dataDxfId="189"/>
    <tableColumn id="5" xr3:uid="{8BA05D96-EDD6-496D-AA73-1CFEABB785C7}" name="Category" dataDxfId="188"/>
    <tableColumn id="21" xr3:uid="{CB08314B-F1C2-4250-8EC8-0BE37BF124AE}" name="TYPE" dataDxfId="187"/>
    <tableColumn id="6" xr3:uid="{0A0144A8-9A03-46F4-A56C-84B5BDE5C37A}" name="Item Code" dataDxfId="186"/>
    <tableColumn id="7" xr3:uid="{C935E0C2-5D0A-4FE1-8FE5-B8B3C22A52A9}" name="Description" dataDxfId="185"/>
    <tableColumn id="8" xr3:uid="{AC8F2261-4810-4BE7-8814-94ECCFE6FEA6}" name="Description 2" dataDxfId="184"/>
    <tableColumn id="11" xr3:uid="{0737ACDA-A954-43EF-B2CA-6F420A186B5B}" name="QTY Adjusted" dataDxfId="183"/>
    <tableColumn id="12" xr3:uid="{D7351DDD-7F29-4F40-B0A3-19E6003D4C1D}" name="Unit" dataDxfId="182"/>
    <tableColumn id="13" xr3:uid="{4A45FA2C-E2EB-4EF8-8516-3FE2C946F2E7}" name="Price" dataDxfId="181"/>
    <tableColumn id="14" xr3:uid="{09C01F52-FA54-4B0A-BF4B-CBF450CFE254}" name="Currency" dataDxfId="180"/>
    <tableColumn id="15" xr3:uid="{BAAF4618-AB5B-4227-A3CD-A382B6A7918C}" name="Subtotal" dataDxfId="179">
      <calculatedColumnFormula>Tabla6[[#This Row],[Price]]*Tabla6[[#This Row],[QTY Adjusted]]</calculatedColumnFormula>
    </tableColumn>
    <tableColumn id="16" xr3:uid="{756BBE88-075D-412C-8054-127A58989290}" name="Subtotal USD" dataDxfId="178"/>
    <tableColumn id="9" xr3:uid="{55973789-F7A3-4E79-A1E1-C028656D54B3}" name="FECHAS DE ENTERGA" dataDxfId="177"/>
    <tableColumn id="10" xr3:uid="{E6333878-7F98-4AC0-B0D6-F6DE602EB2C5}" name="RELEVANCIA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6B5AE4-E458-4A39-9B64-7DDD2D0EA839}" name="Tabla7" displayName="Tabla7" ref="A2:Q55" totalsRowShown="0" dataDxfId="176">
  <autoFilter ref="A2:Q55" xr:uid="{6A6B5AE4-E458-4A39-9B64-7DDD2D0EA839}"/>
  <tableColumns count="17">
    <tableColumn id="1" xr3:uid="{FAF7B635-55CF-44F2-9174-326EA17D6A29}" name="Code" dataDxfId="175"/>
    <tableColumn id="2" xr3:uid="{8702D099-2044-409D-AF64-A08D7E8F1D4D}" name="Area" dataDxfId="174"/>
    <tableColumn id="3" xr3:uid="{EC69F5F4-57BA-4DFB-96C8-614053043327}" name="Vendor" dataDxfId="173"/>
    <tableColumn id="4" xr3:uid="{7AE02D32-C019-4BD5-812F-43133FBAF13C}" name="Supplier/Distributer" dataDxfId="172"/>
    <tableColumn id="5" xr3:uid="{A1FDE867-F46B-41DC-A897-019BC3543E9F}" name="Category" dataDxfId="171"/>
    <tableColumn id="22" xr3:uid="{8499AC65-9193-4314-8C56-853342440ADC}" name="TYPE" dataDxfId="170"/>
    <tableColumn id="6" xr3:uid="{56913E9F-D898-4AED-A8A7-AF77D24FDB09}" name="Item Code" dataDxfId="169"/>
    <tableColumn id="7" xr3:uid="{FBA6C9ED-7AD0-4AC8-88B3-54ED382AE2A7}" name="Description" dataDxfId="168"/>
    <tableColumn id="8" xr3:uid="{0D149829-90A6-4B41-9FBF-3D44D33336D2}" name="Description 2" dataDxfId="167"/>
    <tableColumn id="11" xr3:uid="{50AAFE69-C10B-4576-A002-D2D830AB82CB}" name="QTY Adjusted" dataDxfId="166"/>
    <tableColumn id="12" xr3:uid="{A20D4090-373E-4C2F-A98D-285A41315DDD}" name="Unit" dataDxfId="165"/>
    <tableColumn id="13" xr3:uid="{9A757DBE-A1B9-4F2F-91D5-65278FCC80C9}" name="Price" dataDxfId="164"/>
    <tableColumn id="14" xr3:uid="{A3E38A85-7E78-47B5-8602-9C68C1376FEB}" name="Currency" dataDxfId="163"/>
    <tableColumn id="15" xr3:uid="{EFF72495-A4C7-4283-91DC-86087AB10115}" name="Subtotal" dataDxfId="162">
      <calculatedColumnFormula>Tabla7[[#This Row],[Price]]*Tabla7[[#This Row],[QTY Adjusted]]</calculatedColumnFormula>
    </tableColumn>
    <tableColumn id="16" xr3:uid="{C87A7E62-C192-42BD-97F7-F3AF8F6DE7C9}" name="Subtotal USD" dataDxfId="161"/>
    <tableColumn id="9" xr3:uid="{988EA4F7-110D-4222-B81F-A72979CFD268}" name="FECHAS DE ENTREGA" dataDxfId="160"/>
    <tableColumn id="10" xr3:uid="{DC1A616D-6A2D-457C-BE65-218F8DAD11A1}" name="RELEVANCIA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7C3BAC-F87E-4213-8E92-FB07AF4A74E9}" name="Tabla8" displayName="Tabla8" ref="A2:P15" totalsRowShown="0" dataDxfId="159">
  <autoFilter ref="A2:P15" xr:uid="{F67C3BAC-F87E-4213-8E92-FB07AF4A74E9}"/>
  <tableColumns count="16">
    <tableColumn id="1" xr3:uid="{DBF56055-2AE2-4F8E-89DE-DFDCD6B482D2}" name="Code" dataDxfId="158"/>
    <tableColumn id="2" xr3:uid="{FAE9A03A-3B2B-4640-B909-418423EC1800}" name="Area" dataDxfId="157"/>
    <tableColumn id="3" xr3:uid="{B9F653BE-FE4F-4232-BFB4-E001D42FCCAA}" name="Vendor" dataDxfId="156"/>
    <tableColumn id="4" xr3:uid="{9F30A356-EB5A-4E54-B216-7238A5CBE065}" name="Supplier/Distributer" dataDxfId="155"/>
    <tableColumn id="5" xr3:uid="{CA8C8ED4-24E1-4228-997A-45A1A789C1AE}" name="Category" dataDxfId="154"/>
    <tableColumn id="9" xr3:uid="{441F55B1-B83C-4583-96E9-D528F79437AB}" name="TYPE" dataDxfId="153"/>
    <tableColumn id="6" xr3:uid="{53204F78-5753-408A-A621-648D3D1B67FA}" name="Item Code" dataDxfId="152"/>
    <tableColumn id="7" xr3:uid="{1DB73164-D7B0-492D-9E98-ABB459095F34}" name="Description" dataDxfId="151"/>
    <tableColumn id="8" xr3:uid="{4A165BF7-076C-49B2-9A50-A2758CC99713}" name="Description 2" dataDxfId="150"/>
    <tableColumn id="11" xr3:uid="{68D1EE43-C585-4B17-A7F1-9CC0697D3853}" name="QTY Adjusted" dataDxfId="149"/>
    <tableColumn id="12" xr3:uid="{2EC4731E-0672-479A-B1E5-DAE3B0B83B1F}" name="Unit" dataDxfId="148"/>
    <tableColumn id="13" xr3:uid="{C3F55530-3DFA-415B-87E8-D78368221F13}" name="Price" dataDxfId="147"/>
    <tableColumn id="14" xr3:uid="{D2702D16-C4C4-426E-944B-FFF5374AC57A}" name="Currency" dataDxfId="146"/>
    <tableColumn id="15" xr3:uid="{02734DF2-F02E-4415-8405-1E465D64B5DA}" name="Subtotal" dataDxfId="145"/>
    <tableColumn id="16" xr3:uid="{93F82062-CF5F-434C-A603-F415F4C98E1F}" name="Subtotal USD" dataDxfId="144">
      <calculatedColumnFormula array="1">IFERROR((_xlfn.IFS(M3="MXN", N3/$M$1, M3="EUR", N3*$N$1, M3="USD", N3)), 0)</calculatedColumnFormula>
    </tableColumn>
    <tableColumn id="10" xr3:uid="{250F428A-AE60-4976-9C90-78532946DA42}" name="FECHA DE ENTREGA" dataDxfId="1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B1B5A0-93C6-4723-8BCC-FDD280E90B39}" name="Tabla9" displayName="Tabla9" ref="A2:Q56" totalsRowShown="0" dataDxfId="142">
  <autoFilter ref="A2:Q56" xr:uid="{91B1B5A0-93C6-4723-8BCC-FDD280E90B39}"/>
  <tableColumns count="17">
    <tableColumn id="1" xr3:uid="{5C9DCCFF-4675-4E41-9F35-2294A48376B3}" name="Code" dataDxfId="141"/>
    <tableColumn id="2" xr3:uid="{39697D8E-C086-4337-8293-018259CDC6A5}" name="Area" dataDxfId="140"/>
    <tableColumn id="3" xr3:uid="{AA046C16-BAB4-4AF2-8911-91344D988B1E}" name="Vendor" dataDxfId="139"/>
    <tableColumn id="4" xr3:uid="{EE9E6BE2-F2D3-4E49-A504-42656FB5140C}" name="Supplier/Distributer" dataDxfId="138"/>
    <tableColumn id="5" xr3:uid="{3EBE24B9-293E-4277-933B-2941F433E706}" name="Category" dataDxfId="137"/>
    <tableColumn id="22" xr3:uid="{77EB6EE3-E803-4F6F-94CE-47D3407B18CA}" name="TYPE" dataDxfId="136"/>
    <tableColumn id="6" xr3:uid="{567BB394-089B-4BF5-A186-0C6037579114}" name="Item Code" dataDxfId="135"/>
    <tableColumn id="7" xr3:uid="{8EA8E798-0A28-4F66-BD71-EFC59D1BA58A}" name="Description" dataDxfId="134"/>
    <tableColumn id="8" xr3:uid="{77FFCC98-F466-4117-B447-50C1295AA058}" name="Description 2" dataDxfId="133"/>
    <tableColumn id="11" xr3:uid="{0E4E2033-B60A-4522-B64D-6BDDCC487EA3}" name="QTY Adjusted" dataDxfId="132"/>
    <tableColumn id="12" xr3:uid="{214A7345-EE10-4EA6-8605-92DF474412A5}" name="Unit" dataDxfId="131"/>
    <tableColumn id="13" xr3:uid="{2CAEC64C-715A-4A7C-B6EB-555258D6A520}" name="Price" dataDxfId="130"/>
    <tableColumn id="14" xr3:uid="{BB041489-D817-411A-AB7F-C6A5EC13890C}" name="Currency" dataDxfId="129"/>
    <tableColumn id="15" xr3:uid="{B800B753-A5A8-4E22-B584-618DFD457426}" name="Subtotal" dataDxfId="128">
      <calculatedColumnFormula>Tabla9[[#This Row],[Price]]*Tabla9[[#This Row],[QTY Adjusted]]</calculatedColumnFormula>
    </tableColumn>
    <tableColumn id="16" xr3:uid="{34C622A6-8DFF-4A2D-B15A-D8D17D1596E0}" name="Subtotal USD" dataDxfId="127"/>
    <tableColumn id="9" xr3:uid="{03BA977A-8359-44B6-BD7F-5B2DF6F636B5}" name="FECHAS DE ENTREGA" dataDxfId="126"/>
    <tableColumn id="10" xr3:uid="{F0E8C8F3-3575-49CD-A1E7-A93A5A71CE5C}" name="RELEVANCIA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6E1F45-2D58-40F0-80D8-BED71904C099}" name="Tabla10" displayName="Tabla10" ref="A2:Q31" totalsRowShown="0" dataDxfId="125">
  <autoFilter ref="A2:Q31" xr:uid="{076E1F45-2D58-40F0-80D8-BED71904C099}"/>
  <tableColumns count="17">
    <tableColumn id="1" xr3:uid="{977B3C7C-96E7-4975-8839-F4F32A179EB9}" name="Code" dataDxfId="124"/>
    <tableColumn id="2" xr3:uid="{52A72A46-0D67-48B4-8BF0-E3BB48E5F012}" name="Area" dataDxfId="123"/>
    <tableColumn id="3" xr3:uid="{08A1C16E-FD52-49F1-84D6-686E0843CDE4}" name="Vendor" dataDxfId="122"/>
    <tableColumn id="4" xr3:uid="{F49D26AF-5C11-4159-A0BD-5ADD321BA6D6}" name="Supplier/Distributer" dataDxfId="121"/>
    <tableColumn id="5" xr3:uid="{18E0AEA4-7C33-47BC-AFBF-6EA4B95CD362}" name="Category" dataDxfId="120"/>
    <tableColumn id="22" xr3:uid="{42DADE92-D9F5-468A-9F59-F6F8670DD277}" name="TYPE" dataDxfId="119"/>
    <tableColumn id="6" xr3:uid="{3BF79FD8-9BB9-44D8-A278-FD9648190A89}" name="Item Code" dataDxfId="118"/>
    <tableColumn id="7" xr3:uid="{2FE5A2AB-CFE8-40ED-B694-ECF0CCA130B3}" name="Description" dataDxfId="117"/>
    <tableColumn id="8" xr3:uid="{E2814192-DD08-4927-A991-4DD7602BAF17}" name="Description 2" dataDxfId="116"/>
    <tableColumn id="11" xr3:uid="{A11068F1-859D-46DD-A6C2-35FE3E500BE7}" name="QTY Adjusted" dataDxfId="115"/>
    <tableColumn id="12" xr3:uid="{23237C59-47F5-4CAF-A6E6-35C7063B8CC0}" name="Unit" dataDxfId="114"/>
    <tableColumn id="13" xr3:uid="{C6C8FF2A-7E2A-489C-8182-99003D6935D5}" name="Price" dataDxfId="113"/>
    <tableColumn id="14" xr3:uid="{56DFEC43-B8E2-42FB-9D6A-A39A4812A43C}" name="Currency" dataDxfId="112"/>
    <tableColumn id="15" xr3:uid="{96CA4729-2FDB-44C3-BFFC-0DEE8302835F}" name="Subtotal" dataDxfId="111">
      <calculatedColumnFormula>Tabla10[[#This Row],[Price]]*Tabla10[[#This Row],[QTY Adjusted]]</calculatedColumnFormula>
    </tableColumn>
    <tableColumn id="16" xr3:uid="{D86F5FD9-C3CF-42E8-86DB-0D0874A10A24}" name="Subtotal USD" dataDxfId="110"/>
    <tableColumn id="9" xr3:uid="{4CA324F5-7D7F-4E82-98EF-F0B07A6757D4}" name="FECHAS DE ENTREGA" dataDxfId="109"/>
    <tableColumn id="10" xr3:uid="{C6EBE8BC-F4F0-432E-BF76-8007A068EC66}" name="RELEVANCIA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6D0607-917C-43B9-BACD-3CA04279F475}" name="Tabla11" displayName="Tabla11" ref="A2:Q465" totalsRowShown="0" dataDxfId="108">
  <autoFilter ref="A2:Q465" xr:uid="{A46D0607-917C-43B9-BACD-3CA04279F475}"/>
  <tableColumns count="17">
    <tableColumn id="1" xr3:uid="{C9F0621F-4910-4F73-8C61-C85C09D7EB00}" name="Code" dataDxfId="107"/>
    <tableColumn id="2" xr3:uid="{5F219B19-AAEF-40E9-AE90-9354BD8C5614}" name="Area" dataDxfId="106"/>
    <tableColumn id="3" xr3:uid="{DEE79CC3-D5FF-405A-A53E-E8886470025B}" name="Vendor" dataDxfId="105"/>
    <tableColumn id="4" xr3:uid="{25655AD3-F21B-4992-B402-2DE157BDEAD8}" name="Supplier/Distributer" dataDxfId="104"/>
    <tableColumn id="5" xr3:uid="{83BDC098-B27B-46D5-BAA3-77DE6EF5A9E9}" name="Category" dataDxfId="103"/>
    <tableColumn id="9" xr3:uid="{0EF7CC1B-31E3-4E56-9FA6-024B5EE6C1A5}" name="TYPE" dataDxfId="102"/>
    <tableColumn id="6" xr3:uid="{3DA67C2A-2290-4E0C-BF9C-95AA3DECF9CF}" name="Item Code" dataDxfId="101"/>
    <tableColumn id="7" xr3:uid="{8D983963-A2D5-4536-B216-EBA768105C9D}" name="Description" dataDxfId="100"/>
    <tableColumn id="8" xr3:uid="{2269AB33-101C-483D-955C-65E170AF2CBF}" name="Description 2" dataDxfId="99"/>
    <tableColumn id="11" xr3:uid="{CC451050-7CB3-4D6E-8954-10AF063FB80B}" name="QTY Adjusted" dataDxfId="98"/>
    <tableColumn id="12" xr3:uid="{C17AFAB8-112E-4DCF-AE04-B123AC53643C}" name="Unit" dataDxfId="97"/>
    <tableColumn id="13" xr3:uid="{44293BA6-22B8-4F65-A80E-4E96E7497C62}" name="Price" dataDxfId="96"/>
    <tableColumn id="14" xr3:uid="{23FEE1FF-78B9-4FE7-AFE5-481159A35C0D}" name="Currency" dataDxfId="95"/>
    <tableColumn id="15" xr3:uid="{9B3F5CA6-FF47-4702-A374-04720DEAB46C}" name="Subtotal" dataDxfId="94">
      <calculatedColumnFormula>Tabla11[[#This Row],[Price]]*Tabla11[[#This Row],[QTY Adjusted]]</calculatedColumnFormula>
    </tableColumn>
    <tableColumn id="16" xr3:uid="{F5560155-4124-4A0F-BCEE-86477B28C431}" name="Subtotal USD" dataDxfId="93"/>
    <tableColumn id="10" xr3:uid="{B6E86185-9BCC-436D-8340-7FC394FC47E0}" name="FECHAS DE ENTREGA" dataDxfId="92"/>
    <tableColumn id="17" xr3:uid="{44FE61C3-FB63-48B4-8145-C88FDA066ED3}" name="RELEVANCIA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4DA093-4287-4BE9-8EA1-F16BEB4255E7}" name="Tabla12" displayName="Tabla12" ref="A2:Q155" totalsRowShown="0" dataDxfId="91">
  <autoFilter ref="A2:Q155" xr:uid="{0E4DA093-4287-4BE9-8EA1-F16BEB4255E7}"/>
  <tableColumns count="17">
    <tableColumn id="1" xr3:uid="{A4975579-14FB-4BCF-ABFB-3D2D7C74BB74}" name="code" dataDxfId="90"/>
    <tableColumn id="2" xr3:uid="{2F137CBF-97E3-4D58-A2EF-D75AC04442E3}" name="Area" dataDxfId="89"/>
    <tableColumn id="3" xr3:uid="{F2623529-3F78-4450-8E98-8994DDA0042E}" name="Vendor" dataDxfId="88"/>
    <tableColumn id="4" xr3:uid="{D0439BDF-828F-44D5-AD8B-65F283BB1AC5}" name="Supplier/Distributer" dataDxfId="87"/>
    <tableColumn id="5" xr3:uid="{FE354F75-DE3F-4E6A-A606-372BC65BF5E8}" name="Category" dataDxfId="86"/>
    <tableColumn id="22" xr3:uid="{D693A42A-38D5-48DD-AF53-EDAAB8B616D4}" name="TYPE" dataDxfId="85"/>
    <tableColumn id="6" xr3:uid="{64BB9D19-B98C-43FB-BD34-8D087D648DD1}" name="Item Code" dataDxfId="84"/>
    <tableColumn id="7" xr3:uid="{8F36165D-8F05-4209-B12E-04B967565D27}" name="Description" dataDxfId="83"/>
    <tableColumn id="8" xr3:uid="{17E34F63-E8A2-4A23-8E60-1ADC616ACDED}" name="Description 2" dataDxfId="82"/>
    <tableColumn id="11" xr3:uid="{8B228FAC-A32D-41E6-80BC-826FE6598303}" name="QTY Adjusted" dataDxfId="81"/>
    <tableColumn id="12" xr3:uid="{15BA732C-DA30-4301-846F-E4F09EB908D2}" name="Unit" dataDxfId="80"/>
    <tableColumn id="13" xr3:uid="{D571209B-0B2B-40C7-841B-2478D41DF7F2}" name="Price" dataDxfId="79"/>
    <tableColumn id="14" xr3:uid="{FB6DE0C6-78C8-4653-8AAD-88CA636D6C24}" name="Currency" dataDxfId="78"/>
    <tableColumn id="15" xr3:uid="{AAEF6CDA-0060-4494-AA46-12617227A2FA}" name="Subtotal" dataDxfId="77">
      <calculatedColumnFormula>Tabla12[[#This Row],[Price]]*Tabla12[[#This Row],[QTY Adjusted]]</calculatedColumnFormula>
    </tableColumn>
    <tableColumn id="16" xr3:uid="{F33793A9-0DB5-4164-B213-9C728F8FA612}" name="Subtotal USD" dataDxfId="76"/>
    <tableColumn id="9" xr3:uid="{77646690-BB70-4011-BCCA-84FD7F36CFA6}" name="FECHAS DE ENTREGA" dataDxfId="75"/>
    <tableColumn id="10" xr3:uid="{A304AF08-F00E-425E-BEED-5FE44284733E}" name="RELEVANCIA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2A91894-3BCC-4B9F-9EB4-CC9845F8764B}" name="Tabla13" displayName="Tabla13" ref="A2:Q111" totalsRowShown="0" dataDxfId="74">
  <autoFilter ref="A2:Q111" xr:uid="{42A91894-3BCC-4B9F-9EB4-CC9845F8764B}"/>
  <tableColumns count="17">
    <tableColumn id="1" xr3:uid="{A7C87156-5BDB-4C73-8FDF-00CF4BF87D51}" name="Code" dataDxfId="73"/>
    <tableColumn id="2" xr3:uid="{5F11D7F6-3245-4B42-BA31-ED70211F64DB}" name="Area" dataDxfId="72"/>
    <tableColumn id="3" xr3:uid="{5E78BABF-2F1B-43FF-8157-030DCAF3E0E4}" name="Vendor" dataDxfId="71"/>
    <tableColumn id="4" xr3:uid="{655AC5CB-7939-47DE-A964-B68A5D4471DC}" name="Supplier/Distributer" dataDxfId="70"/>
    <tableColumn id="5" xr3:uid="{A2204A25-0B35-478B-AFCC-1885EACF312F}" name="Category" dataDxfId="69"/>
    <tableColumn id="21" xr3:uid="{89A47A37-52A7-4D40-A188-CC484C04432D}" name="TYPE" dataDxfId="68"/>
    <tableColumn id="6" xr3:uid="{E0EA9841-1706-4647-875A-F2BF6F2F37F0}" name="Item Code" dataDxfId="67"/>
    <tableColumn id="7" xr3:uid="{C835BBDE-C205-44B8-B98F-6BD80C7C6C9F}" name="Description" dataDxfId="66"/>
    <tableColumn id="8" xr3:uid="{5C252709-2207-4535-9D02-6103D06FD4BE}" name="Description 2" dataDxfId="65"/>
    <tableColumn id="11" xr3:uid="{8EEA3A0C-DB43-4844-A1CE-7DF0CBF934C2}" name="QTY Adjusted" dataDxfId="64"/>
    <tableColumn id="12" xr3:uid="{A168427F-9BA1-433B-B066-ED4B91A2A07E}" name="Unit" dataDxfId="63"/>
    <tableColumn id="13" xr3:uid="{0728E1EF-A6D4-4E88-AEF4-611AF835D1AA}" name="Price" dataDxfId="62"/>
    <tableColumn id="14" xr3:uid="{02A6AD0F-E676-4A8A-BDE8-1A90BAE11A60}" name="Currency" dataDxfId="61"/>
    <tableColumn id="15" xr3:uid="{7292C5BB-EFE2-467F-B53F-F8DDCC7A9B92}" name="Subtotal" dataDxfId="60">
      <calculatedColumnFormula>Tabla13[[#This Row],[Price]]*Tabla13[[#This Row],[QTY Adjusted]]</calculatedColumnFormula>
    </tableColumn>
    <tableColumn id="16" xr3:uid="{683AA00D-1345-4B3A-ADDB-E94CD699AF81}" name="Subtotal USD" dataDxfId="59"/>
    <tableColumn id="9" xr3:uid="{BB023700-DD91-4789-840A-94608BB303AD}" name="FECHAS DE ENTREGA" dataDxfId="58"/>
    <tableColumn id="10" xr3:uid="{2BF3C07E-504D-4DBC-89BE-44CA82AD73C7}" name="RELEVANCIA" dataDxf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E5DD7DE-CFFD-4789-BB84-9E24285EC665}" name="Tabla14" displayName="Tabla14" ref="A2:Q41" totalsRowShown="0" dataDxfId="57">
  <autoFilter ref="A2:Q41" xr:uid="{EE5DD7DE-CFFD-4789-BB84-9E24285EC665}"/>
  <tableColumns count="17">
    <tableColumn id="1" xr3:uid="{FA2CED2F-EE97-4952-8C67-FE7DCB0E4BC3}" name="Code" dataDxfId="56"/>
    <tableColumn id="2" xr3:uid="{581A30CA-657D-43EA-8B88-1EFE05BDC55F}" name="Area" dataDxfId="55"/>
    <tableColumn id="3" xr3:uid="{07FB6E91-1243-4379-86BB-F26F5FDB9712}" name="Vendor" dataDxfId="54"/>
    <tableColumn id="4" xr3:uid="{2661BB90-7662-43C9-BDC8-E12BCA5AC57E}" name="Supplier/Distributer" dataDxfId="53"/>
    <tableColumn id="5" xr3:uid="{5B0C66FB-61B2-4125-940B-9FB308992D61}" name="Category" dataDxfId="52"/>
    <tableColumn id="21" xr3:uid="{D5D2900E-A6B7-4F7B-8FC3-155C3E0EB650}" name="TYPE" dataDxfId="51"/>
    <tableColumn id="6" xr3:uid="{63A88579-1B89-492C-8A82-4B3ED9C1C3AC}" name="Item Code" dataDxfId="50"/>
    <tableColumn id="7" xr3:uid="{F11F576E-5DE2-4217-95C2-4451A837F22D}" name="Description" dataDxfId="49"/>
    <tableColumn id="8" xr3:uid="{180B2D89-398E-400F-985F-4FBB89DA2227}" name="Description 2" dataDxfId="48"/>
    <tableColumn id="11" xr3:uid="{C244D476-EBAD-46B0-BF7B-807F57A40CB9}" name="QTY Adjusted" dataDxfId="47"/>
    <tableColumn id="12" xr3:uid="{C32ED95A-C5EC-4D42-B494-3E33C891321F}" name="Unit" dataDxfId="46"/>
    <tableColumn id="13" xr3:uid="{EC01F8D5-25DF-4774-898D-53087AD944D2}" name="Price" dataDxfId="45"/>
    <tableColumn id="14" xr3:uid="{05B3C592-BC35-446F-94D7-391FA21955C2}" name="Currency" dataDxfId="44"/>
    <tableColumn id="15" xr3:uid="{468ECD99-4CDC-4909-9D03-09F08DA43A4F}" name="Subtotal" dataDxfId="43">
      <calculatedColumnFormula>Tabla14[[#This Row],[Price]]*Tabla14[[#This Row],[QTY Adjusted]]</calculatedColumnFormula>
    </tableColumn>
    <tableColumn id="16" xr3:uid="{2F38D1A2-BE14-49ED-95CC-164BA36D460C}" name="Subtotal USD" dataDxfId="42"/>
    <tableColumn id="9" xr3:uid="{028D577A-647A-49E9-98C4-82DBF62F6816}" name="FECHAS DE ENTREGA" dataDxfId="41"/>
    <tableColumn id="10" xr3:uid="{4061144C-2E7E-48B6-A74A-0187029E98C9}" name="RELEVANCIA" dataDxfId="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FE56A5-9E78-495D-8DE9-69ACE5252D08}" name="Tabla15" displayName="Tabla15" ref="A2:P55" totalsRowShown="0">
  <autoFilter ref="A2:P55" xr:uid="{B8FE56A5-9E78-495D-8DE9-69ACE5252D08}"/>
  <tableColumns count="16">
    <tableColumn id="1" xr3:uid="{7201BF80-8123-4C2D-8467-CD79F9A88ED0}" name="Code"/>
    <tableColumn id="2" xr3:uid="{48D7AC9F-4372-4088-89B1-5A27A5D4C3FC}" name="Area"/>
    <tableColumn id="3" xr3:uid="{6F397BE2-29D2-4B58-B214-DA1A7E5AE743}" name="Vendor"/>
    <tableColumn id="4" xr3:uid="{2386F43A-5FDA-4666-A5D2-6FAD0DCD7FF5}" name="Supplier/Distributer"/>
    <tableColumn id="5" xr3:uid="{96B04E83-55C3-46B5-9C43-9E33A8DBEF18}" name="Category"/>
    <tableColumn id="9" xr3:uid="{C8F533EB-D414-4D6E-8810-7AAF4FC0EA93}" name="TYPE"/>
    <tableColumn id="6" xr3:uid="{29BD488F-C8D4-4117-B9DF-8A36E45ECAAC}" name="Item Code"/>
    <tableColumn id="7" xr3:uid="{E3FC66E4-41EB-4FB0-ACEB-5EC1924A8C9F}" name="Description"/>
    <tableColumn id="8" xr3:uid="{9EEBDCAE-DEE1-46D5-AADC-6BEF1ABAD707}" name="Description 2"/>
    <tableColumn id="11" xr3:uid="{E75E4DEC-74EA-4388-ABFE-83B23F49B458}" name="QTY Adjusted" dataDxfId="40"/>
    <tableColumn id="12" xr3:uid="{306633EE-B243-415C-B5A1-591B40362EF6}" name="Unit"/>
    <tableColumn id="13" xr3:uid="{64DDCFC7-1204-4184-8C81-BC0B6FF8B73E}" name="Price"/>
    <tableColumn id="14" xr3:uid="{AA692E03-CCD8-4E84-9123-316222385954}" name="Currency"/>
    <tableColumn id="15" xr3:uid="{3CCF25B6-78FB-4C6D-AF7F-613C2B70BAAE}" name="Subtotal">
      <calculatedColumnFormula>Tabla15[[#This Row],[Price]]*Tabla15[[#This Row],[QTY Adjusted]]</calculatedColumnFormula>
    </tableColumn>
    <tableColumn id="16" xr3:uid="{1783F1E9-EADC-4CE7-A370-97717BF09A29}" name="Subtotal USD"/>
    <tableColumn id="10" xr3:uid="{6D27FC91-2F52-41D8-A4DE-932F543F3CDD}" name="FECHAS DE ENTREG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EB1AE6B-D965-4A57-A2FB-EBB5BC8AAE15}" name="Tabla16" displayName="Tabla16" ref="A2:P129" totalsRowShown="0">
  <autoFilter ref="A2:P129" xr:uid="{6EB1AE6B-D965-4A57-A2FB-EBB5BC8AAE15}"/>
  <tableColumns count="16">
    <tableColumn id="1" xr3:uid="{E38CBE53-C344-4D17-AE6F-2FAA9077AA0A}" name="Code" dataDxfId="39"/>
    <tableColumn id="2" xr3:uid="{440B5E85-77E5-471E-B9F4-A9A48713C90E}" name="Area" dataDxfId="38"/>
    <tableColumn id="3" xr3:uid="{570D2343-9C97-4DB1-BAF4-692EC70264CD}" name="Vendor" dataDxfId="37"/>
    <tableColumn id="4" xr3:uid="{C55C703E-150E-45C4-8097-D5E2CDFBCDDC}" name="Supplier/Distributer" dataDxfId="36"/>
    <tableColumn id="5" xr3:uid="{C84F2E3F-9A26-4EA7-9530-B1386CEE64CA}" name="Category" dataDxfId="35"/>
    <tableColumn id="9" xr3:uid="{D5F1C472-0EB4-437E-8FBD-3D36AF50C139}" name="Type" dataDxfId="34"/>
    <tableColumn id="6" xr3:uid="{AC279092-BA54-4FAA-9770-41F8F3639948}" name="Item Code" dataDxfId="33"/>
    <tableColumn id="7" xr3:uid="{2E32CC06-1773-4856-817E-BFD00058A8CC}" name="Description" dataDxfId="32"/>
    <tableColumn id="8" xr3:uid="{EBEE48F8-2E0C-4C28-A6DF-F33DBC605081}" name="Description 2" dataDxfId="31"/>
    <tableColumn id="11" xr3:uid="{74E291BB-299E-439E-8F9E-F73953908699}" name="QTY Adjusted"/>
    <tableColumn id="12" xr3:uid="{249BC936-C0A3-40DE-A62D-18C244159336}" name="Unit"/>
    <tableColumn id="13" xr3:uid="{DC6407C1-E6DA-4A4A-8666-033D9C332622}" name="Price"/>
    <tableColumn id="14" xr3:uid="{D9E9A231-0E2B-4262-A569-6AEAC480C95E}" name="Currency"/>
    <tableColumn id="15" xr3:uid="{F5697B46-DE63-4D56-8594-0F03CA0C88ED}" name="Subtotal">
      <calculatedColumnFormula>Tabla16[[#This Row],[Price]]*Tabla16[[#This Row],[QTY Adjusted]]</calculatedColumnFormula>
    </tableColumn>
    <tableColumn id="16" xr3:uid="{691219E5-6F6B-451D-9656-67C610AAA6A4}" name="Subtotal USD"/>
    <tableColumn id="10" xr3:uid="{0AF426E5-B238-4E8F-9426-6655468AA55E}" name="FECHAS DE ENTREG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C3FEA2B-1EC5-40FA-9FE9-56810370D3E7}" name="Tabla17" displayName="Tabla17" ref="A2:Q126" totalsRowShown="0">
  <autoFilter ref="A2:Q126" xr:uid="{4C3FEA2B-1EC5-40FA-9FE9-56810370D3E7}"/>
  <tableColumns count="17">
    <tableColumn id="1" xr3:uid="{09BF2C86-00BF-4D4F-8AD4-E3BD5D8D7D22}" name="Code"/>
    <tableColumn id="2" xr3:uid="{FC1398F7-F62E-4BB9-8149-66469E7CE873}" name="Area"/>
    <tableColumn id="3" xr3:uid="{D91A1278-5DE0-4D78-8D04-A9A990407BD0}" name="Vendor"/>
    <tableColumn id="4" xr3:uid="{2B7BCC1B-E9B7-493F-89F1-BBACB71AA2E0}" name="Supplier/Distributer"/>
    <tableColumn id="9" xr3:uid="{DA7B1F7A-7E0B-47B5-915F-658844A7367D}" name="Category"/>
    <tableColumn id="5" xr3:uid="{44258F22-E722-4E39-96AF-F0FA9A61D5C2}" name="TYPE"/>
    <tableColumn id="6" xr3:uid="{FA1C1D15-1B6C-4089-91B5-FDDCA8C3F9D2}" name="Item Code"/>
    <tableColumn id="7" xr3:uid="{69921E73-AFEB-4AFA-A037-3F610610A240}" name="Description"/>
    <tableColumn id="8" xr3:uid="{FF0EE709-E5CE-4F33-9132-EAE8A8FF2692}" name="Description 2"/>
    <tableColumn id="11" xr3:uid="{1495D3B0-E7DC-42FA-ABA9-624EDB89E0F5}" name="QTY Adjusted"/>
    <tableColumn id="12" xr3:uid="{A160927F-30B3-4D03-9AE4-5D24FDAD0AE3}" name="Unit"/>
    <tableColumn id="13" xr3:uid="{75DDF7DF-6B1C-4885-8526-610AA8305AEC}" name="Price"/>
    <tableColumn id="14" xr3:uid="{851EE22D-7F44-4A5D-9899-D4D97F3B39F6}" name="Currency"/>
    <tableColumn id="15" xr3:uid="{79EC6E51-7589-45DB-8C7F-F8106D4AD59C}" name="Subtotal"/>
    <tableColumn id="16" xr3:uid="{D592B2EC-580E-458B-ABAD-D288A6D4981C}" name="Subtotal USD"/>
    <tableColumn id="10" xr3:uid="{7C8BCF76-0517-4A16-A197-CF1D243D5AA7}" name="FECHA DE ENTREGA"/>
    <tableColumn id="17" xr3:uid="{35343200-9A93-4738-953C-50A929395913}" name="RELEVANCIA" dataDxfId="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A5952D4-A7F3-4D87-8109-01D5D0597763}" name="Tabla18" displayName="Tabla18" ref="A2:Q244" totalsRowShown="0" dataDxfId="30">
  <autoFilter ref="A2:Q244" xr:uid="{FA5952D4-A7F3-4D87-8109-01D5D0597763}"/>
  <tableColumns count="17">
    <tableColumn id="1" xr3:uid="{B8C2CFB3-A867-4EA1-B87E-05DE6994984A}" name="Code" dataDxfId="29"/>
    <tableColumn id="2" xr3:uid="{4B0BFD2E-4917-4B80-8BD6-FB06A3AEDDAF}" name="Area" dataDxfId="28"/>
    <tableColumn id="3" xr3:uid="{8A122CF1-1430-4A7C-A749-E8A201C17844}" name="Vendor" dataDxfId="27"/>
    <tableColumn id="4" xr3:uid="{7454D29A-F004-413C-8AC2-E855D040D6AB}" name="Supplier/Distributer" dataDxfId="26"/>
    <tableColumn id="5" xr3:uid="{7A26F34F-AAAF-460B-B23D-80317B1A17AA}" name="Category" dataDxfId="25"/>
    <tableColumn id="21" xr3:uid="{FB72C534-873F-48CB-A1A5-0C90BD2D30E6}" name="TYPE" dataDxfId="24"/>
    <tableColumn id="6" xr3:uid="{7F489FE9-9B6F-4707-B387-62E7FC04F2D6}" name="Item Code" dataDxfId="23"/>
    <tableColumn id="7" xr3:uid="{46FFFB96-2B7E-4396-81EC-7415DCA0016D}" name="Description" dataDxfId="22"/>
    <tableColumn id="8" xr3:uid="{7D2E281C-B453-4921-9611-29D96CAD448B}" name="Description 2" dataDxfId="21"/>
    <tableColumn id="11" xr3:uid="{B2E7F69E-07DF-4411-8A76-983D9F507219}" name="QTY Adjusted" dataDxfId="20"/>
    <tableColumn id="12" xr3:uid="{8DF2CC38-3507-4F01-A31B-7BCD589B61DB}" name="Unit" dataDxfId="19"/>
    <tableColumn id="13" xr3:uid="{2A5F827D-194B-47AF-8CFF-8EC3FDD5705B}" name="Price" dataDxfId="18"/>
    <tableColumn id="14" xr3:uid="{758A4B77-54AB-4497-B269-436B41E76EA1}" name="Currency" dataDxfId="17"/>
    <tableColumn id="15" xr3:uid="{35587D10-3575-4D41-B014-4D515387421A}" name="Subtotal" dataDxfId="16">
      <calculatedColumnFormula>Tabla18[[#This Row],[Price]]*Tabla18[[#This Row],[QTY Adjusted]]</calculatedColumnFormula>
    </tableColumn>
    <tableColumn id="16" xr3:uid="{4BFF017B-375C-437B-9AC6-9D9A1F4BFF54}" name="Subtotal USD" dataDxfId="15"/>
    <tableColumn id="9" xr3:uid="{39277E70-1220-4910-8961-BC852BA1E0F3}" name="FECHA DE ENTREGA" dataDxfId="14"/>
    <tableColumn id="10" xr3:uid="{9CFFC20B-60C2-4651-AA0C-52460091FCCE}" name="RELEVA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6F9A-47AB-4467-840D-3B8C4336FA38}">
  <dimension ref="A1:Q107"/>
  <sheetViews>
    <sheetView showGridLines="0" topLeftCell="I1" zoomScale="80" zoomScaleNormal="80" workbookViewId="0">
      <selection activeCell="P7" sqref="P7"/>
    </sheetView>
  </sheetViews>
  <sheetFormatPr baseColWidth="10" defaultColWidth="11.44140625" defaultRowHeight="14.4" x14ac:dyDescent="0.3"/>
  <cols>
    <col min="2" max="2" width="34.109375" bestFit="1" customWidth="1"/>
    <col min="3" max="3" width="22.33203125" customWidth="1"/>
    <col min="4" max="4" width="24" bestFit="1" customWidth="1"/>
    <col min="5" max="5" width="27.33203125" hidden="1" customWidth="1"/>
    <col min="6" max="6" width="13" bestFit="1" customWidth="1"/>
    <col min="7" max="7" width="20" bestFit="1" customWidth="1"/>
    <col min="8" max="8" width="23.109375" customWidth="1"/>
    <col min="9" max="9" width="72.6640625" style="19" customWidth="1"/>
    <col min="10" max="10" width="14.33203125" customWidth="1"/>
    <col min="11" max="13" width="11.5546875" customWidth="1"/>
    <col min="14" max="14" width="15.44140625" customWidth="1"/>
    <col min="15" max="15" width="16.6640625" customWidth="1"/>
    <col min="16" max="16" width="65" customWidth="1"/>
    <col min="17" max="17" width="15.88671875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4058</v>
      </c>
      <c r="G2" t="s">
        <v>4</v>
      </c>
      <c r="H2" t="s">
        <v>5</v>
      </c>
      <c r="I2" s="19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4213</v>
      </c>
      <c r="Q2" t="s">
        <v>4247</v>
      </c>
    </row>
    <row r="3" spans="1:17" ht="42" customHeight="1" x14ac:dyDescent="0.3">
      <c r="A3" s="6">
        <v>2084</v>
      </c>
      <c r="B3" s="6" t="s">
        <v>3961</v>
      </c>
      <c r="C3" s="6" t="s">
        <v>223</v>
      </c>
      <c r="D3" s="17" t="s">
        <v>44</v>
      </c>
      <c r="E3" s="6"/>
      <c r="F3" s="6" t="s">
        <v>4059</v>
      </c>
      <c r="G3" s="6" t="s">
        <v>676</v>
      </c>
      <c r="H3" s="6" t="s">
        <v>677</v>
      </c>
      <c r="I3" s="20" t="s">
        <v>678</v>
      </c>
      <c r="J3" s="6">
        <v>6</v>
      </c>
      <c r="K3" s="6" t="s">
        <v>19</v>
      </c>
      <c r="L3" s="10">
        <v>545.60766750000005</v>
      </c>
      <c r="M3" s="6" t="s">
        <v>33</v>
      </c>
      <c r="N3" s="10">
        <f>Tabla2[[#This Row],[Price]]*Tabla2[[#This Row],[QTY Adjusted]]</f>
        <v>3273.6460050000005</v>
      </c>
      <c r="O3" s="15">
        <v>694.56000000000006</v>
      </c>
      <c r="P3" s="10" t="s">
        <v>4225</v>
      </c>
      <c r="Q3" s="6">
        <v>0</v>
      </c>
    </row>
    <row r="4" spans="1:17" ht="42" customHeight="1" x14ac:dyDescent="0.3">
      <c r="A4" s="6">
        <v>2070</v>
      </c>
      <c r="B4" s="6" t="s">
        <v>3961</v>
      </c>
      <c r="C4" s="6" t="s">
        <v>130</v>
      </c>
      <c r="D4" s="6" t="s">
        <v>130</v>
      </c>
      <c r="E4" s="6"/>
      <c r="F4" s="6" t="s">
        <v>4060</v>
      </c>
      <c r="G4" s="6" t="s">
        <v>3975</v>
      </c>
      <c r="H4" s="6" t="s">
        <v>1231</v>
      </c>
      <c r="I4" s="20" t="s">
        <v>3976</v>
      </c>
      <c r="J4" s="6">
        <v>29</v>
      </c>
      <c r="K4" s="6" t="s">
        <v>19</v>
      </c>
      <c r="L4" s="10">
        <v>80.203614085193465</v>
      </c>
      <c r="M4" s="6" t="s">
        <v>33</v>
      </c>
      <c r="N4" s="10">
        <f>Tabla2[[#This Row],[Price]]*Tabla2[[#This Row],[QTY Adjusted]]</f>
        <v>2325.9048084706105</v>
      </c>
      <c r="O4" s="10">
        <v>2325.9048084706105</v>
      </c>
      <c r="P4" s="10" t="s">
        <v>4225</v>
      </c>
      <c r="Q4" s="6">
        <v>0</v>
      </c>
    </row>
    <row r="5" spans="1:17" ht="42" customHeight="1" x14ac:dyDescent="0.3">
      <c r="A5" s="6">
        <v>2055</v>
      </c>
      <c r="B5" s="6" t="s">
        <v>3961</v>
      </c>
      <c r="C5" s="6" t="s">
        <v>130</v>
      </c>
      <c r="D5" s="6" t="s">
        <v>130</v>
      </c>
      <c r="E5" s="6"/>
      <c r="F5" s="6" t="s">
        <v>4060</v>
      </c>
      <c r="G5" s="6" t="s">
        <v>3965</v>
      </c>
      <c r="H5" s="6" t="s">
        <v>3966</v>
      </c>
      <c r="I5" s="20" t="s">
        <v>3967</v>
      </c>
      <c r="J5" s="6">
        <v>44</v>
      </c>
      <c r="K5" s="6" t="s">
        <v>19</v>
      </c>
      <c r="L5" s="10">
        <v>39.949038253863037</v>
      </c>
      <c r="M5" s="6" t="s">
        <v>33</v>
      </c>
      <c r="N5" s="10">
        <f>Tabla2[[#This Row],[Price]]*Tabla2[[#This Row],[QTY Adjusted]]</f>
        <v>1757.7576831699737</v>
      </c>
      <c r="O5" s="10">
        <v>1757.7576831699737</v>
      </c>
      <c r="P5" s="10" t="s">
        <v>4225</v>
      </c>
      <c r="Q5" s="6">
        <v>0</v>
      </c>
    </row>
    <row r="6" spans="1:17" ht="42" customHeight="1" x14ac:dyDescent="0.3">
      <c r="A6" s="6">
        <v>2066</v>
      </c>
      <c r="B6" s="6" t="s">
        <v>3961</v>
      </c>
      <c r="C6" s="6" t="s">
        <v>2229</v>
      </c>
      <c r="D6" s="6" t="s">
        <v>718</v>
      </c>
      <c r="E6" s="6"/>
      <c r="F6" s="6" t="s">
        <v>4059</v>
      </c>
      <c r="G6" s="6">
        <v>5428.04</v>
      </c>
      <c r="H6" s="6" t="s">
        <v>1379</v>
      </c>
      <c r="I6" s="27" t="s">
        <v>3809</v>
      </c>
      <c r="J6" s="6">
        <v>15</v>
      </c>
      <c r="K6" s="6" t="s">
        <v>19</v>
      </c>
      <c r="L6" s="10">
        <v>107.8</v>
      </c>
      <c r="M6" s="6" t="s">
        <v>33</v>
      </c>
      <c r="N6" s="10">
        <f>Tabla2[[#This Row],[Price]]*Tabla2[[#This Row],[QTY Adjusted]]</f>
        <v>1617</v>
      </c>
      <c r="O6" s="10">
        <v>1617</v>
      </c>
      <c r="P6" s="10" t="s">
        <v>4238</v>
      </c>
      <c r="Q6" s="6">
        <v>0</v>
      </c>
    </row>
    <row r="7" spans="1:17" ht="42" customHeight="1" x14ac:dyDescent="0.3">
      <c r="A7" s="6">
        <v>2083</v>
      </c>
      <c r="B7" s="6" t="s">
        <v>3961</v>
      </c>
      <c r="C7" s="6" t="s">
        <v>223</v>
      </c>
      <c r="D7" s="17" t="s">
        <v>44</v>
      </c>
      <c r="E7" s="6"/>
      <c r="F7" s="6" t="s">
        <v>4059</v>
      </c>
      <c r="G7" s="6">
        <v>948</v>
      </c>
      <c r="H7" s="6" t="s">
        <v>674</v>
      </c>
      <c r="I7" s="20" t="s">
        <v>675</v>
      </c>
      <c r="J7" s="6">
        <v>6</v>
      </c>
      <c r="K7" s="6" t="s">
        <v>19</v>
      </c>
      <c r="L7" s="10">
        <v>300.09997499999997</v>
      </c>
      <c r="M7" s="6" t="s">
        <v>33</v>
      </c>
      <c r="N7" s="10">
        <f>Tabla2[[#This Row],[Price]]*Tabla2[[#This Row],[QTY Adjusted]]</f>
        <v>1800.5998499999998</v>
      </c>
      <c r="O7" s="15">
        <v>323.04000000000002</v>
      </c>
      <c r="P7" s="10" t="s">
        <v>4225</v>
      </c>
      <c r="Q7" s="6">
        <v>0</v>
      </c>
    </row>
    <row r="8" spans="1:17" ht="42" customHeight="1" x14ac:dyDescent="0.3">
      <c r="A8" s="6">
        <v>2067</v>
      </c>
      <c r="B8" s="6" t="s">
        <v>3961</v>
      </c>
      <c r="C8" s="6" t="s">
        <v>130</v>
      </c>
      <c r="D8" s="6" t="s">
        <v>130</v>
      </c>
      <c r="E8" s="6"/>
      <c r="F8" s="6" t="s">
        <v>4060</v>
      </c>
      <c r="G8" s="6" t="s">
        <v>3968</v>
      </c>
      <c r="H8" s="6" t="s">
        <v>3969</v>
      </c>
      <c r="I8" s="20" t="s">
        <v>3970</v>
      </c>
      <c r="J8" s="6">
        <v>60</v>
      </c>
      <c r="K8" s="6" t="s">
        <v>19</v>
      </c>
      <c r="L8" s="10">
        <v>24.672159380492854</v>
      </c>
      <c r="M8" s="6" t="s">
        <v>33</v>
      </c>
      <c r="N8" s="10">
        <f>Tabla2[[#This Row],[Price]]*Tabla2[[#This Row],[QTY Adjusted]]</f>
        <v>1480.3295628295712</v>
      </c>
      <c r="O8" s="10">
        <v>1480.3295628295712</v>
      </c>
      <c r="P8" s="10" t="s">
        <v>4225</v>
      </c>
      <c r="Q8" s="6">
        <v>0</v>
      </c>
    </row>
    <row r="9" spans="1:17" ht="42" customHeight="1" x14ac:dyDescent="0.3">
      <c r="A9" s="6">
        <v>2075</v>
      </c>
      <c r="B9" s="6" t="s">
        <v>3961</v>
      </c>
      <c r="C9" s="6" t="s">
        <v>130</v>
      </c>
      <c r="D9" s="6" t="s">
        <v>130</v>
      </c>
      <c r="E9" s="6"/>
      <c r="F9" s="6" t="s">
        <v>4060</v>
      </c>
      <c r="G9" s="6" t="s">
        <v>3990</v>
      </c>
      <c r="H9" s="6" t="s">
        <v>514</v>
      </c>
      <c r="I9" s="20" t="s">
        <v>3991</v>
      </c>
      <c r="J9" s="6">
        <v>48</v>
      </c>
      <c r="K9" s="6" t="s">
        <v>19</v>
      </c>
      <c r="L9" s="10">
        <v>28.201118400241366</v>
      </c>
      <c r="M9" s="6" t="s">
        <v>33</v>
      </c>
      <c r="N9" s="10">
        <f>Tabla2[[#This Row],[Price]]*Tabla2[[#This Row],[QTY Adjusted]]</f>
        <v>1353.6536832115855</v>
      </c>
      <c r="O9" s="10">
        <v>1353.6536832115855</v>
      </c>
      <c r="P9" s="10" t="s">
        <v>4225</v>
      </c>
      <c r="Q9" s="6">
        <v>0</v>
      </c>
    </row>
    <row r="10" spans="1:17" ht="42" customHeight="1" x14ac:dyDescent="0.3">
      <c r="A10" s="6">
        <v>2076</v>
      </c>
      <c r="B10" s="6" t="s">
        <v>3961</v>
      </c>
      <c r="C10" s="6" t="s">
        <v>130</v>
      </c>
      <c r="D10" s="6" t="s">
        <v>130</v>
      </c>
      <c r="E10" s="6"/>
      <c r="F10" s="6" t="s">
        <v>4060</v>
      </c>
      <c r="G10" s="6" t="s">
        <v>3992</v>
      </c>
      <c r="H10" s="6" t="s">
        <v>1271</v>
      </c>
      <c r="I10" s="20" t="s">
        <v>3993</v>
      </c>
      <c r="J10" s="6">
        <v>48</v>
      </c>
      <c r="K10" s="6" t="s">
        <v>19</v>
      </c>
      <c r="L10" s="10">
        <v>25.756817780502136</v>
      </c>
      <c r="M10" s="6" t="s">
        <v>33</v>
      </c>
      <c r="N10" s="10">
        <f>Tabla2[[#This Row],[Price]]*Tabla2[[#This Row],[QTY Adjusted]]</f>
        <v>1236.3272534641026</v>
      </c>
      <c r="O10" s="10">
        <v>1236.3272534641026</v>
      </c>
      <c r="P10" s="10" t="s">
        <v>4225</v>
      </c>
      <c r="Q10" s="6">
        <v>0</v>
      </c>
    </row>
    <row r="11" spans="1:17" ht="42" customHeight="1" x14ac:dyDescent="0.3">
      <c r="A11" s="6">
        <v>2069</v>
      </c>
      <c r="B11" s="6" t="s">
        <v>3961</v>
      </c>
      <c r="C11" s="6" t="s">
        <v>130</v>
      </c>
      <c r="D11" s="6" t="s">
        <v>130</v>
      </c>
      <c r="E11" s="6"/>
      <c r="F11" s="6" t="s">
        <v>4060</v>
      </c>
      <c r="G11" s="6" t="s">
        <v>3973</v>
      </c>
      <c r="H11" s="6" t="s">
        <v>1293</v>
      </c>
      <c r="I11" s="20" t="s">
        <v>3974</v>
      </c>
      <c r="J11" s="6">
        <v>29</v>
      </c>
      <c r="K11" s="6" t="s">
        <v>19</v>
      </c>
      <c r="L11" s="10">
        <v>42.148908811628338</v>
      </c>
      <c r="M11" s="6" t="s">
        <v>33</v>
      </c>
      <c r="N11" s="10">
        <f>Tabla2[[#This Row],[Price]]*Tabla2[[#This Row],[QTY Adjusted]]</f>
        <v>1222.3183555372218</v>
      </c>
      <c r="O11" s="10">
        <v>1222.3183555372218</v>
      </c>
      <c r="P11" s="10" t="s">
        <v>4225</v>
      </c>
      <c r="Q11" s="6">
        <v>0</v>
      </c>
    </row>
    <row r="12" spans="1:17" ht="42" customHeight="1" x14ac:dyDescent="0.3">
      <c r="A12" s="6">
        <v>2072</v>
      </c>
      <c r="B12" s="6" t="s">
        <v>3961</v>
      </c>
      <c r="C12" s="6" t="s">
        <v>130</v>
      </c>
      <c r="D12" s="6" t="s">
        <v>130</v>
      </c>
      <c r="E12" s="6"/>
      <c r="F12" s="6" t="s">
        <v>4060</v>
      </c>
      <c r="G12" s="6" t="s">
        <v>3980</v>
      </c>
      <c r="H12" s="6" t="s">
        <v>3981</v>
      </c>
      <c r="I12" s="20" t="s">
        <v>3982</v>
      </c>
      <c r="J12" s="6">
        <v>15</v>
      </c>
      <c r="K12" s="6" t="s">
        <v>19</v>
      </c>
      <c r="L12" s="10">
        <v>79.149509442930935</v>
      </c>
      <c r="M12" s="6" t="s">
        <v>33</v>
      </c>
      <c r="N12" s="10">
        <f>Tabla2[[#This Row],[Price]]*Tabla2[[#This Row],[QTY Adjusted]]</f>
        <v>1187.2426416439639</v>
      </c>
      <c r="O12" s="10">
        <v>1187.2426416439639</v>
      </c>
      <c r="P12" s="10" t="s">
        <v>4225</v>
      </c>
      <c r="Q12" s="6">
        <v>0</v>
      </c>
    </row>
    <row r="13" spans="1:17" ht="42" customHeight="1" x14ac:dyDescent="0.3">
      <c r="A13" s="6">
        <v>2074</v>
      </c>
      <c r="B13" s="6" t="s">
        <v>3987</v>
      </c>
      <c r="C13" s="6" t="s">
        <v>130</v>
      </c>
      <c r="D13" s="6" t="s">
        <v>130</v>
      </c>
      <c r="E13" s="6"/>
      <c r="F13" s="6" t="s">
        <v>4060</v>
      </c>
      <c r="G13" s="6" t="s">
        <v>3988</v>
      </c>
      <c r="H13" s="6" t="s">
        <v>1234</v>
      </c>
      <c r="I13" s="20" t="s">
        <v>3989</v>
      </c>
      <c r="J13" s="6">
        <v>29</v>
      </c>
      <c r="K13" s="6" t="s">
        <v>19</v>
      </c>
      <c r="L13" s="10">
        <v>38.115812789058616</v>
      </c>
      <c r="M13" s="6" t="s">
        <v>33</v>
      </c>
      <c r="N13" s="10">
        <f>Tabla2[[#This Row],[Price]]*Tabla2[[#This Row],[QTY Adjusted]]</f>
        <v>1105.3585708827</v>
      </c>
      <c r="O13" s="10">
        <v>1105.3585708827</v>
      </c>
      <c r="P13" s="10" t="s">
        <v>4225</v>
      </c>
      <c r="Q13" s="6">
        <v>0</v>
      </c>
    </row>
    <row r="14" spans="1:17" ht="42" customHeight="1" x14ac:dyDescent="0.3">
      <c r="A14" s="6">
        <v>2073</v>
      </c>
      <c r="B14" s="6" t="s">
        <v>3983</v>
      </c>
      <c r="C14" s="6" t="s">
        <v>130</v>
      </c>
      <c r="D14" s="6" t="s">
        <v>130</v>
      </c>
      <c r="E14" s="6"/>
      <c r="F14" s="6" t="s">
        <v>4060</v>
      </c>
      <c r="G14" s="6" t="s">
        <v>3984</v>
      </c>
      <c r="H14" s="6" t="s">
        <v>3985</v>
      </c>
      <c r="I14" s="20" t="s">
        <v>3986</v>
      </c>
      <c r="J14" s="6">
        <v>29</v>
      </c>
      <c r="K14" s="6" t="s">
        <v>19</v>
      </c>
      <c r="L14" s="10">
        <v>37.458906997503689</v>
      </c>
      <c r="M14" s="6" t="s">
        <v>33</v>
      </c>
      <c r="N14" s="10">
        <f>Tabla2[[#This Row],[Price]]*Tabla2[[#This Row],[QTY Adjusted]]</f>
        <v>1086.308302927607</v>
      </c>
      <c r="O14" s="10">
        <v>1086.308302927607</v>
      </c>
      <c r="P14" s="10" t="s">
        <v>4225</v>
      </c>
      <c r="Q14" s="6">
        <v>0</v>
      </c>
    </row>
    <row r="15" spans="1:17" ht="42" customHeight="1" x14ac:dyDescent="0.3">
      <c r="A15" s="6">
        <v>2149</v>
      </c>
      <c r="B15" s="6" t="s">
        <v>4029</v>
      </c>
      <c r="C15" s="6" t="s">
        <v>361</v>
      </c>
      <c r="D15" s="6" t="s">
        <v>362</v>
      </c>
      <c r="E15" s="6"/>
      <c r="F15" s="6" t="s">
        <v>4059</v>
      </c>
      <c r="G15" s="6" t="s">
        <v>369</v>
      </c>
      <c r="H15" s="6" t="s">
        <v>347</v>
      </c>
      <c r="I15" s="20" t="s">
        <v>370</v>
      </c>
      <c r="J15" s="6">
        <v>18</v>
      </c>
      <c r="K15" s="6" t="s">
        <v>19</v>
      </c>
      <c r="L15" s="10">
        <v>65.73294117647059</v>
      </c>
      <c r="M15" s="6" t="s">
        <v>33</v>
      </c>
      <c r="N15" s="10">
        <f>Tabla2[[#This Row],[Price]]*Tabla2[[#This Row],[QTY Adjusted]]</f>
        <v>1183.1929411764706</v>
      </c>
      <c r="O15" s="10">
        <v>1183.1929411764706</v>
      </c>
      <c r="P15" s="10" t="s">
        <v>4225</v>
      </c>
      <c r="Q15" s="6">
        <v>0</v>
      </c>
    </row>
    <row r="16" spans="1:17" ht="42" customHeight="1" x14ac:dyDescent="0.3">
      <c r="A16" s="6">
        <v>2068</v>
      </c>
      <c r="B16" s="6" t="s">
        <v>3961</v>
      </c>
      <c r="C16" s="6" t="s">
        <v>130</v>
      </c>
      <c r="D16" s="6" t="s">
        <v>130</v>
      </c>
      <c r="E16" s="6"/>
      <c r="F16" s="6" t="s">
        <v>4060</v>
      </c>
      <c r="G16" s="6" t="s">
        <v>3817</v>
      </c>
      <c r="H16" s="6" t="s">
        <v>3971</v>
      </c>
      <c r="I16" s="20" t="s">
        <v>3972</v>
      </c>
      <c r="J16" s="6">
        <v>29</v>
      </c>
      <c r="K16" s="6" t="s">
        <v>19</v>
      </c>
      <c r="L16" s="10">
        <v>34.647961284803579</v>
      </c>
      <c r="M16" s="6" t="s">
        <v>33</v>
      </c>
      <c r="N16" s="10">
        <f>Tabla2[[#This Row],[Price]]*Tabla2[[#This Row],[QTY Adjusted]]</f>
        <v>1004.7908772593038</v>
      </c>
      <c r="O16" s="10">
        <v>1004.7908772593038</v>
      </c>
      <c r="P16" s="10" t="s">
        <v>4225</v>
      </c>
      <c r="Q16" s="6">
        <v>0</v>
      </c>
    </row>
    <row r="17" spans="1:17" ht="42" customHeight="1" x14ac:dyDescent="0.3">
      <c r="A17" s="6">
        <v>2071</v>
      </c>
      <c r="B17" s="6" t="s">
        <v>3961</v>
      </c>
      <c r="C17" s="6" t="s">
        <v>130</v>
      </c>
      <c r="D17" s="6" t="s">
        <v>130</v>
      </c>
      <c r="E17" s="6"/>
      <c r="F17" s="6" t="s">
        <v>4060</v>
      </c>
      <c r="G17" s="6" t="s">
        <v>3977</v>
      </c>
      <c r="H17" s="6" t="s">
        <v>3978</v>
      </c>
      <c r="I17" s="20" t="s">
        <v>3979</v>
      </c>
      <c r="J17" s="6">
        <v>29</v>
      </c>
      <c r="K17" s="6" t="s">
        <v>19</v>
      </c>
      <c r="L17" s="10">
        <v>34.647961284803579</v>
      </c>
      <c r="M17" s="6" t="s">
        <v>33</v>
      </c>
      <c r="N17" s="10">
        <f>Tabla2[[#This Row],[Price]]*Tabla2[[#This Row],[QTY Adjusted]]</f>
        <v>1004.7908772593038</v>
      </c>
      <c r="O17" s="10">
        <v>1004.7908772593038</v>
      </c>
      <c r="P17" s="10" t="s">
        <v>4241</v>
      </c>
      <c r="Q17" s="6">
        <v>0</v>
      </c>
    </row>
    <row r="18" spans="1:17" ht="42" customHeight="1" x14ac:dyDescent="0.3">
      <c r="A18" s="6">
        <v>2054</v>
      </c>
      <c r="B18" s="6" t="s">
        <v>3961</v>
      </c>
      <c r="C18" s="6" t="s">
        <v>124</v>
      </c>
      <c r="D18" s="6" t="str">
        <f>Tabla2[[#This Row],[Vendor]]</f>
        <v>Impulse</v>
      </c>
      <c r="E18" s="6"/>
      <c r="F18" s="6" t="s">
        <v>4059</v>
      </c>
      <c r="G18" s="6" t="s">
        <v>3962</v>
      </c>
      <c r="H18" s="6" t="s">
        <v>3963</v>
      </c>
      <c r="I18" s="20" t="s">
        <v>3964</v>
      </c>
      <c r="J18" s="6">
        <v>26</v>
      </c>
      <c r="K18" s="6" t="s">
        <v>19</v>
      </c>
      <c r="L18" s="10">
        <v>42</v>
      </c>
      <c r="M18" s="6" t="s">
        <v>33</v>
      </c>
      <c r="N18" s="10">
        <f>Tabla2[[#This Row],[Price]]*Tabla2[[#This Row],[QTY Adjusted]]</f>
        <v>1092</v>
      </c>
      <c r="O18" s="10">
        <v>1092</v>
      </c>
      <c r="P18" s="10" t="s">
        <v>4224</v>
      </c>
      <c r="Q18" s="6">
        <v>0</v>
      </c>
    </row>
    <row r="19" spans="1:17" ht="42" customHeight="1" x14ac:dyDescent="0.3">
      <c r="A19" s="6">
        <v>2106</v>
      </c>
      <c r="B19" s="6" t="s">
        <v>4029</v>
      </c>
      <c r="C19" s="6" t="s">
        <v>223</v>
      </c>
      <c r="D19" s="6" t="s">
        <v>199</v>
      </c>
      <c r="E19" s="6"/>
      <c r="F19" s="6" t="s">
        <v>4059</v>
      </c>
      <c r="G19" s="6">
        <v>20045622</v>
      </c>
      <c r="H19" s="6" t="s">
        <v>242</v>
      </c>
      <c r="I19" s="20" t="s">
        <v>4032</v>
      </c>
      <c r="J19" s="6">
        <v>1</v>
      </c>
      <c r="K19" s="6" t="s">
        <v>19</v>
      </c>
      <c r="L19" s="10">
        <v>804.14186999999981</v>
      </c>
      <c r="M19" s="6" t="s">
        <v>33</v>
      </c>
      <c r="N19" s="10">
        <f>Tabla2[[#This Row],[Price]]*Tabla2[[#This Row],[QTY Adjusted]]</f>
        <v>804.14186999999981</v>
      </c>
      <c r="O19" s="10">
        <v>804.14186999999981</v>
      </c>
      <c r="P19" s="10" t="s">
        <v>4239</v>
      </c>
      <c r="Q19" s="6">
        <v>0</v>
      </c>
    </row>
    <row r="20" spans="1:17" ht="42" customHeight="1" x14ac:dyDescent="0.3">
      <c r="A20" s="6">
        <v>2082</v>
      </c>
      <c r="B20" s="6" t="s">
        <v>3961</v>
      </c>
      <c r="C20" s="6" t="s">
        <v>130</v>
      </c>
      <c r="D20" s="6" t="s">
        <v>130</v>
      </c>
      <c r="E20" s="6"/>
      <c r="F20" s="6" t="s">
        <v>4060</v>
      </c>
      <c r="G20" s="6" t="s">
        <v>4006</v>
      </c>
      <c r="H20" s="6" t="s">
        <v>1532</v>
      </c>
      <c r="I20" s="20" t="s">
        <v>4007</v>
      </c>
      <c r="J20" s="6">
        <v>12</v>
      </c>
      <c r="K20" s="6" t="s">
        <v>19</v>
      </c>
      <c r="L20" s="10">
        <v>66.118331763946159</v>
      </c>
      <c r="M20" s="6" t="s">
        <v>33</v>
      </c>
      <c r="N20" s="10">
        <f>Tabla2[[#This Row],[Price]]*Tabla2[[#This Row],[QTY Adjusted]]</f>
        <v>793.41998116735385</v>
      </c>
      <c r="O20" s="10">
        <v>793.41998116735385</v>
      </c>
      <c r="P20" s="10" t="s">
        <v>4225</v>
      </c>
      <c r="Q20" s="6">
        <v>0</v>
      </c>
    </row>
    <row r="21" spans="1:17" ht="42" customHeight="1" x14ac:dyDescent="0.3">
      <c r="A21" s="6">
        <v>2053</v>
      </c>
      <c r="B21" s="6" t="s">
        <v>3961</v>
      </c>
      <c r="C21" s="6" t="s">
        <v>34</v>
      </c>
      <c r="D21" s="6" t="str">
        <f>Tabla2[[#This Row],[Vendor]]</f>
        <v>Casa Rovea</v>
      </c>
      <c r="E21" s="6"/>
      <c r="F21" s="6" t="s">
        <v>4061</v>
      </c>
      <c r="G21" s="6" t="s">
        <v>3784</v>
      </c>
      <c r="H21" s="6" t="s">
        <v>36</v>
      </c>
      <c r="I21" s="20" t="s">
        <v>3785</v>
      </c>
      <c r="J21" s="6">
        <v>120</v>
      </c>
      <c r="K21" s="6" t="s">
        <v>19</v>
      </c>
      <c r="L21" s="10">
        <v>4.78</v>
      </c>
      <c r="M21" s="6" t="s">
        <v>28</v>
      </c>
      <c r="N21" s="10">
        <f>Tabla2[[#This Row],[Price]]*Tabla2[[#This Row],[QTY Adjusted]]</f>
        <v>573.6</v>
      </c>
      <c r="O21" s="10">
        <v>665.37599999999998</v>
      </c>
      <c r="P21" s="10" t="s">
        <v>4224</v>
      </c>
      <c r="Q21" s="6">
        <v>0</v>
      </c>
    </row>
    <row r="22" spans="1:17" ht="42" customHeight="1" x14ac:dyDescent="0.3">
      <c r="A22" s="6">
        <v>2077</v>
      </c>
      <c r="B22" s="6" t="s">
        <v>3961</v>
      </c>
      <c r="C22" s="6" t="s">
        <v>130</v>
      </c>
      <c r="D22" s="6" t="s">
        <v>130</v>
      </c>
      <c r="E22" s="6"/>
      <c r="F22" s="6" t="s">
        <v>4060</v>
      </c>
      <c r="G22" s="6" t="s">
        <v>3994</v>
      </c>
      <c r="H22" s="6" t="s">
        <v>508</v>
      </c>
      <c r="I22" s="20" t="s">
        <v>3995</v>
      </c>
      <c r="J22" s="6">
        <v>24</v>
      </c>
      <c r="K22" s="6" t="s">
        <v>19</v>
      </c>
      <c r="L22" s="10">
        <v>26.795645543891304</v>
      </c>
      <c r="M22" s="6" t="s">
        <v>33</v>
      </c>
      <c r="N22" s="10">
        <f>Tabla2[[#This Row],[Price]]*Tabla2[[#This Row],[QTY Adjusted]]</f>
        <v>643.09549305339124</v>
      </c>
      <c r="O22" s="10">
        <v>643.09549305339124</v>
      </c>
      <c r="P22" s="10" t="s">
        <v>4225</v>
      </c>
      <c r="Q22" s="6">
        <v>0</v>
      </c>
    </row>
    <row r="23" spans="1:17" ht="42" customHeight="1" x14ac:dyDescent="0.3">
      <c r="A23" s="6">
        <v>2078</v>
      </c>
      <c r="B23" s="6" t="s">
        <v>3961</v>
      </c>
      <c r="C23" s="6" t="s">
        <v>130</v>
      </c>
      <c r="D23" s="6" t="s">
        <v>130</v>
      </c>
      <c r="E23" s="6"/>
      <c r="F23" s="6" t="s">
        <v>4060</v>
      </c>
      <c r="G23" s="6" t="s">
        <v>3996</v>
      </c>
      <c r="H23" s="6" t="s">
        <v>1276</v>
      </c>
      <c r="I23" s="20" t="s">
        <v>3997</v>
      </c>
      <c r="J23" s="6">
        <v>24</v>
      </c>
      <c r="K23" s="6" t="s">
        <v>19</v>
      </c>
      <c r="L23" s="10">
        <v>22.884764552308535</v>
      </c>
      <c r="M23" s="6" t="s">
        <v>33</v>
      </c>
      <c r="N23" s="10">
        <f>Tabla2[[#This Row],[Price]]*Tabla2[[#This Row],[QTY Adjusted]]</f>
        <v>549.23434925540482</v>
      </c>
      <c r="O23" s="10">
        <v>549.23434925540482</v>
      </c>
      <c r="P23" s="10" t="s">
        <v>4225</v>
      </c>
      <c r="Q23" s="6">
        <v>0</v>
      </c>
    </row>
    <row r="24" spans="1:17" ht="42" customHeight="1" x14ac:dyDescent="0.3">
      <c r="A24" s="6">
        <v>2080</v>
      </c>
      <c r="B24" s="6" t="s">
        <v>3961</v>
      </c>
      <c r="C24" s="6" t="s">
        <v>130</v>
      </c>
      <c r="D24" s="6" t="s">
        <v>130</v>
      </c>
      <c r="E24" s="6"/>
      <c r="F24" s="6" t="s">
        <v>4060</v>
      </c>
      <c r="G24" s="6" t="s">
        <v>4000</v>
      </c>
      <c r="H24" s="6" t="s">
        <v>4001</v>
      </c>
      <c r="I24" s="20" t="s">
        <v>4002</v>
      </c>
      <c r="J24" s="6">
        <v>15</v>
      </c>
      <c r="K24" s="6" t="s">
        <v>19</v>
      </c>
      <c r="L24" s="10">
        <v>36.802001205948777</v>
      </c>
      <c r="M24" s="6" t="s">
        <v>33</v>
      </c>
      <c r="N24" s="10">
        <f>Tabla2[[#This Row],[Price]]*Tabla2[[#This Row],[QTY Adjusted]]</f>
        <v>552.0300180892317</v>
      </c>
      <c r="O24" s="10">
        <v>552.0300180892317</v>
      </c>
      <c r="P24" s="10" t="s">
        <v>4225</v>
      </c>
      <c r="Q24" s="6">
        <v>0</v>
      </c>
    </row>
    <row r="25" spans="1:17" ht="42" customHeight="1" x14ac:dyDescent="0.3">
      <c r="A25" s="6">
        <v>2079</v>
      </c>
      <c r="B25" s="6" t="s">
        <v>3961</v>
      </c>
      <c r="C25" s="6" t="s">
        <v>130</v>
      </c>
      <c r="D25" s="6" t="s">
        <v>130</v>
      </c>
      <c r="E25" s="6"/>
      <c r="F25" s="6" t="s">
        <v>4060</v>
      </c>
      <c r="G25" s="6" t="s">
        <v>3998</v>
      </c>
      <c r="H25" s="6" t="s">
        <v>110</v>
      </c>
      <c r="I25" s="20" t="s">
        <v>3999</v>
      </c>
      <c r="J25" s="6">
        <v>15</v>
      </c>
      <c r="K25" s="6" t="s">
        <v>19</v>
      </c>
      <c r="L25" s="10">
        <v>33.945224856628549</v>
      </c>
      <c r="M25" s="6" t="s">
        <v>33</v>
      </c>
      <c r="N25" s="10">
        <f>Tabla2[[#This Row],[Price]]*Tabla2[[#This Row],[QTY Adjusted]]</f>
        <v>509.17837284942823</v>
      </c>
      <c r="O25" s="10">
        <v>509.17837284942823</v>
      </c>
      <c r="P25" s="10" t="s">
        <v>4225</v>
      </c>
      <c r="Q25" s="6">
        <v>0</v>
      </c>
    </row>
    <row r="26" spans="1:17" ht="42" customHeight="1" x14ac:dyDescent="0.3">
      <c r="A26" s="6">
        <v>2135</v>
      </c>
      <c r="B26" s="6" t="s">
        <v>4029</v>
      </c>
      <c r="C26" s="6" t="s">
        <v>325</v>
      </c>
      <c r="D26" s="6" t="s">
        <v>325</v>
      </c>
      <c r="E26" s="6"/>
      <c r="F26" s="6" t="s">
        <v>4059</v>
      </c>
      <c r="G26" s="6" t="s">
        <v>326</v>
      </c>
      <c r="H26" s="6" t="s">
        <v>327</v>
      </c>
      <c r="I26" s="20" t="s">
        <v>328</v>
      </c>
      <c r="J26" s="6">
        <v>2</v>
      </c>
      <c r="K26" s="6" t="s">
        <v>19</v>
      </c>
      <c r="L26" s="10">
        <v>250</v>
      </c>
      <c r="M26" s="6" t="s">
        <v>33</v>
      </c>
      <c r="N26" s="10">
        <f>Tabla2[[#This Row],[Price]]*Tabla2[[#This Row],[QTY Adjusted]]</f>
        <v>500</v>
      </c>
      <c r="O26" s="10">
        <v>500</v>
      </c>
      <c r="P26" s="10" t="s">
        <v>4218</v>
      </c>
      <c r="Q26" s="6" t="s">
        <v>4245</v>
      </c>
    </row>
    <row r="27" spans="1:17" ht="42" customHeight="1" x14ac:dyDescent="0.3">
      <c r="A27" s="6">
        <v>2097</v>
      </c>
      <c r="B27" s="6" t="s">
        <v>3983</v>
      </c>
      <c r="C27" s="6" t="s">
        <v>219</v>
      </c>
      <c r="D27" s="6" t="s">
        <v>44</v>
      </c>
      <c r="E27" s="6"/>
      <c r="F27" s="6" t="s">
        <v>4059</v>
      </c>
      <c r="G27" s="6" t="s">
        <v>3871</v>
      </c>
      <c r="H27" s="6" t="s">
        <v>128</v>
      </c>
      <c r="I27" s="20" t="s">
        <v>3872</v>
      </c>
      <c r="J27" s="6">
        <v>6</v>
      </c>
      <c r="K27" s="6" t="s">
        <v>19</v>
      </c>
      <c r="L27" s="10">
        <v>83.286000000000001</v>
      </c>
      <c r="M27" s="6" t="s">
        <v>33</v>
      </c>
      <c r="N27" s="10">
        <f>Tabla2[[#This Row],[Price]]*Tabla2[[#This Row],[QTY Adjusted]]</f>
        <v>499.71600000000001</v>
      </c>
      <c r="O27" s="10">
        <v>499.71600000000001</v>
      </c>
      <c r="P27" s="22" t="s">
        <v>4225</v>
      </c>
      <c r="Q27" s="6" t="s">
        <v>4245</v>
      </c>
    </row>
    <row r="28" spans="1:17" ht="42" customHeight="1" x14ac:dyDescent="0.3">
      <c r="A28" s="6">
        <v>2092</v>
      </c>
      <c r="B28" s="6" t="s">
        <v>3961</v>
      </c>
      <c r="C28" s="6" t="s">
        <v>92</v>
      </c>
      <c r="D28" s="6" t="s">
        <v>93</v>
      </c>
      <c r="E28" s="6"/>
      <c r="F28" s="6" t="s">
        <v>4062</v>
      </c>
      <c r="G28" s="6" t="s">
        <v>969</v>
      </c>
      <c r="H28" s="6" t="s">
        <v>187</v>
      </c>
      <c r="I28" s="20" t="s">
        <v>970</v>
      </c>
      <c r="J28" s="6">
        <v>24</v>
      </c>
      <c r="K28" s="6" t="s">
        <v>19</v>
      </c>
      <c r="L28" s="10">
        <v>20.2</v>
      </c>
      <c r="M28" s="6" t="s">
        <v>33</v>
      </c>
      <c r="N28" s="10">
        <f>Tabla2[[#This Row],[Price]]*Tabla2[[#This Row],[QTY Adjusted]]</f>
        <v>484.79999999999995</v>
      </c>
      <c r="O28" s="10">
        <v>484.79999999999995</v>
      </c>
      <c r="P28" s="10" t="s">
        <v>4225</v>
      </c>
      <c r="Q28" s="6" t="s">
        <v>4245</v>
      </c>
    </row>
    <row r="29" spans="1:17" ht="42" customHeight="1" x14ac:dyDescent="0.3">
      <c r="A29" s="6">
        <v>2086</v>
      </c>
      <c r="B29" s="6" t="s">
        <v>3961</v>
      </c>
      <c r="C29" s="6" t="s">
        <v>134</v>
      </c>
      <c r="D29" s="6" t="s">
        <v>44</v>
      </c>
      <c r="E29" s="6"/>
      <c r="F29" s="6" t="s">
        <v>4062</v>
      </c>
      <c r="G29" s="6" t="s">
        <v>135</v>
      </c>
      <c r="H29" s="6" t="s">
        <v>136</v>
      </c>
      <c r="I29" s="20" t="s">
        <v>137</v>
      </c>
      <c r="J29" s="6">
        <v>36</v>
      </c>
      <c r="K29" s="6" t="s">
        <v>19</v>
      </c>
      <c r="L29" s="10">
        <v>11.186500000000001</v>
      </c>
      <c r="M29" s="6" t="s">
        <v>33</v>
      </c>
      <c r="N29" s="10">
        <f>Tabla2[[#This Row],[Price]]*Tabla2[[#This Row],[QTY Adjusted]]</f>
        <v>402.714</v>
      </c>
      <c r="O29" s="10">
        <v>402.714</v>
      </c>
      <c r="P29" s="10" t="s">
        <v>4225</v>
      </c>
      <c r="Q29" s="6" t="s">
        <v>4245</v>
      </c>
    </row>
    <row r="30" spans="1:17" ht="42" customHeight="1" x14ac:dyDescent="0.3">
      <c r="A30" s="6">
        <v>2099</v>
      </c>
      <c r="B30" s="6" t="s">
        <v>4022</v>
      </c>
      <c r="C30" s="6" t="s">
        <v>219</v>
      </c>
      <c r="D30" s="6" t="s">
        <v>44</v>
      </c>
      <c r="E30" s="6"/>
      <c r="F30" s="6" t="s">
        <v>4059</v>
      </c>
      <c r="G30" s="6" t="s">
        <v>3875</v>
      </c>
      <c r="H30" s="6" t="s">
        <v>125</v>
      </c>
      <c r="I30" s="20" t="s">
        <v>3876</v>
      </c>
      <c r="J30" s="6">
        <v>4</v>
      </c>
      <c r="K30" s="6" t="s">
        <v>19</v>
      </c>
      <c r="L30" s="10">
        <v>103.626</v>
      </c>
      <c r="M30" s="6" t="s">
        <v>33</v>
      </c>
      <c r="N30" s="10">
        <f>Tabla2[[#This Row],[Price]]*Tabla2[[#This Row],[QTY Adjusted]]</f>
        <v>414.50400000000002</v>
      </c>
      <c r="O30" s="10">
        <v>414.50400000000002</v>
      </c>
      <c r="P30" s="22" t="s">
        <v>4225</v>
      </c>
      <c r="Q30" s="6" t="s">
        <v>4245</v>
      </c>
    </row>
    <row r="31" spans="1:17" ht="42" customHeight="1" x14ac:dyDescent="0.3">
      <c r="A31" s="6">
        <v>2089</v>
      </c>
      <c r="B31" s="6" t="s">
        <v>3961</v>
      </c>
      <c r="C31" s="6" t="s">
        <v>134</v>
      </c>
      <c r="D31" s="6" t="s">
        <v>44</v>
      </c>
      <c r="E31" s="6"/>
      <c r="F31" s="6" t="s">
        <v>4062</v>
      </c>
      <c r="G31" s="6" t="s">
        <v>952</v>
      </c>
      <c r="H31" s="6" t="s">
        <v>156</v>
      </c>
      <c r="I31" s="20" t="s">
        <v>953</v>
      </c>
      <c r="J31" s="6">
        <v>29</v>
      </c>
      <c r="K31" s="6" t="s">
        <v>19</v>
      </c>
      <c r="L31" s="10">
        <v>12.1225</v>
      </c>
      <c r="M31" s="6" t="s">
        <v>33</v>
      </c>
      <c r="N31" s="10">
        <f>Tabla2[[#This Row],[Price]]*Tabla2[[#This Row],[QTY Adjusted]]</f>
        <v>351.55250000000001</v>
      </c>
      <c r="O31" s="10">
        <v>351.55250000000001</v>
      </c>
      <c r="P31" s="22">
        <v>46096</v>
      </c>
      <c r="Q31" s="6" t="s">
        <v>4245</v>
      </c>
    </row>
    <row r="32" spans="1:17" ht="42" customHeight="1" x14ac:dyDescent="0.3">
      <c r="A32" s="6">
        <v>2100</v>
      </c>
      <c r="B32" s="6" t="s">
        <v>3961</v>
      </c>
      <c r="C32" s="6" t="s">
        <v>124</v>
      </c>
      <c r="D32" s="6" t="str">
        <f>Tabla2[[#This Row],[Vendor]]</f>
        <v>Impulse</v>
      </c>
      <c r="E32" s="6"/>
      <c r="F32" s="6" t="s">
        <v>4059</v>
      </c>
      <c r="G32" s="6" t="s">
        <v>4023</v>
      </c>
      <c r="H32" s="6" t="s">
        <v>4024</v>
      </c>
      <c r="I32" s="20" t="s">
        <v>4025</v>
      </c>
      <c r="J32" s="6">
        <v>12</v>
      </c>
      <c r="K32" s="6" t="s">
        <v>19</v>
      </c>
      <c r="L32" s="10">
        <v>32</v>
      </c>
      <c r="M32" s="6" t="s">
        <v>33</v>
      </c>
      <c r="N32" s="10">
        <f>Tabla2[[#This Row],[Price]]*Tabla2[[#This Row],[QTY Adjusted]]</f>
        <v>384</v>
      </c>
      <c r="O32" s="10">
        <v>384</v>
      </c>
      <c r="P32" s="10" t="s">
        <v>4224</v>
      </c>
      <c r="Q32" s="6" t="s">
        <v>4245</v>
      </c>
    </row>
    <row r="33" spans="1:17" ht="42" customHeight="1" x14ac:dyDescent="0.3">
      <c r="A33" s="6">
        <v>2063</v>
      </c>
      <c r="B33" s="6" t="s">
        <v>3961</v>
      </c>
      <c r="C33" s="6" t="s">
        <v>717</v>
      </c>
      <c r="D33" s="6" t="s">
        <v>718</v>
      </c>
      <c r="E33" s="6"/>
      <c r="F33" s="6" t="s">
        <v>4063</v>
      </c>
      <c r="G33" s="6" t="s">
        <v>3804</v>
      </c>
      <c r="H33" s="6" t="s">
        <v>70</v>
      </c>
      <c r="I33" s="20" t="s">
        <v>3805</v>
      </c>
      <c r="J33" s="6">
        <v>48</v>
      </c>
      <c r="K33" s="6" t="s">
        <v>19</v>
      </c>
      <c r="L33" s="10">
        <v>6.8</v>
      </c>
      <c r="M33" s="6" t="s">
        <v>33</v>
      </c>
      <c r="N33" s="10">
        <f>Tabla2[[#This Row],[Price]]*Tabla2[[#This Row],[QTY Adjusted]]</f>
        <v>326.39999999999998</v>
      </c>
      <c r="O33" s="10">
        <v>326.39999999999998</v>
      </c>
      <c r="P33" s="10" t="s">
        <v>4225</v>
      </c>
      <c r="Q33" s="6" t="s">
        <v>4245</v>
      </c>
    </row>
    <row r="34" spans="1:17" ht="42" customHeight="1" x14ac:dyDescent="0.3">
      <c r="A34" s="6">
        <v>2085</v>
      </c>
      <c r="B34" s="6" t="s">
        <v>3961</v>
      </c>
      <c r="C34" s="6" t="s">
        <v>266</v>
      </c>
      <c r="D34" s="6" t="s">
        <v>44</v>
      </c>
      <c r="E34" s="6"/>
      <c r="F34" s="6" t="s">
        <v>4062</v>
      </c>
      <c r="G34" s="6" t="s">
        <v>1457</v>
      </c>
      <c r="H34" s="6" t="s">
        <v>132</v>
      </c>
      <c r="I34" s="20" t="s">
        <v>1458</v>
      </c>
      <c r="J34" s="6">
        <v>72</v>
      </c>
      <c r="K34" s="6" t="s">
        <v>19</v>
      </c>
      <c r="L34" s="10">
        <v>4.476</v>
      </c>
      <c r="M34" s="6" t="s">
        <v>33</v>
      </c>
      <c r="N34" s="10">
        <f>Tabla2[[#This Row],[Price]]*Tabla2[[#This Row],[QTY Adjusted]]</f>
        <v>322.27199999999999</v>
      </c>
      <c r="O34" s="10">
        <v>322.27199999999999</v>
      </c>
      <c r="P34" s="10" t="s">
        <v>4225</v>
      </c>
      <c r="Q34" s="6" t="s">
        <v>4245</v>
      </c>
    </row>
    <row r="35" spans="1:17" ht="42" customHeight="1" x14ac:dyDescent="0.3">
      <c r="A35" s="6">
        <v>2108</v>
      </c>
      <c r="B35" s="6" t="s">
        <v>4029</v>
      </c>
      <c r="C35" s="6" t="s">
        <v>228</v>
      </c>
      <c r="D35" s="6" t="s">
        <v>44</v>
      </c>
      <c r="E35" s="6"/>
      <c r="F35" s="6" t="s">
        <v>4059</v>
      </c>
      <c r="G35" s="6" t="s">
        <v>247</v>
      </c>
      <c r="H35" s="6" t="s">
        <v>248</v>
      </c>
      <c r="I35" s="20" t="s">
        <v>249</v>
      </c>
      <c r="J35" s="6">
        <v>0</v>
      </c>
      <c r="K35" s="6" t="s">
        <v>748</v>
      </c>
      <c r="L35" s="10">
        <v>364.5</v>
      </c>
      <c r="M35" s="6" t="s">
        <v>33</v>
      </c>
      <c r="N35" s="10">
        <f>Tabla2[[#This Row],[Price]]*Tabla2[[#This Row],[QTY Adjusted]]</f>
        <v>0</v>
      </c>
      <c r="O35" s="10">
        <v>0</v>
      </c>
      <c r="P35" s="10" t="s">
        <v>4240</v>
      </c>
      <c r="Q35" s="6" t="s">
        <v>4245</v>
      </c>
    </row>
    <row r="36" spans="1:17" ht="42" customHeight="1" x14ac:dyDescent="0.3">
      <c r="A36" s="6">
        <v>2109</v>
      </c>
      <c r="B36" s="6" t="s">
        <v>4029</v>
      </c>
      <c r="C36" s="6" t="s">
        <v>228</v>
      </c>
      <c r="D36" s="6" t="s">
        <v>44</v>
      </c>
      <c r="E36" s="6"/>
      <c r="F36" s="6" t="s">
        <v>4059</v>
      </c>
      <c r="G36" s="6" t="s">
        <v>250</v>
      </c>
      <c r="H36" s="6" t="s">
        <v>248</v>
      </c>
      <c r="I36" s="20" t="s">
        <v>251</v>
      </c>
      <c r="J36" s="6">
        <v>0</v>
      </c>
      <c r="K36" s="6" t="s">
        <v>748</v>
      </c>
      <c r="L36" s="10">
        <v>364.5</v>
      </c>
      <c r="M36" s="6" t="s">
        <v>33</v>
      </c>
      <c r="N36" s="10">
        <f>Tabla2[[#This Row],[Price]]*Tabla2[[#This Row],[QTY Adjusted]]</f>
        <v>0</v>
      </c>
      <c r="O36" s="10">
        <v>0</v>
      </c>
      <c r="P36" s="10" t="s">
        <v>4240</v>
      </c>
      <c r="Q36" s="6" t="s">
        <v>4245</v>
      </c>
    </row>
    <row r="37" spans="1:17" ht="42" customHeight="1" x14ac:dyDescent="0.3">
      <c r="A37" s="6">
        <v>2110</v>
      </c>
      <c r="B37" s="6" t="s">
        <v>4029</v>
      </c>
      <c r="C37" s="6" t="s">
        <v>228</v>
      </c>
      <c r="D37" s="6" t="s">
        <v>44</v>
      </c>
      <c r="E37" s="6"/>
      <c r="F37" s="6" t="s">
        <v>4059</v>
      </c>
      <c r="G37" s="6" t="s">
        <v>252</v>
      </c>
      <c r="H37" s="6" t="s">
        <v>248</v>
      </c>
      <c r="I37" s="20" t="s">
        <v>253</v>
      </c>
      <c r="J37" s="6">
        <v>0</v>
      </c>
      <c r="K37" s="6" t="s">
        <v>748</v>
      </c>
      <c r="L37" s="10">
        <v>364.5</v>
      </c>
      <c r="M37" s="6" t="s">
        <v>33</v>
      </c>
      <c r="N37" s="10">
        <f>Tabla2[[#This Row],[Price]]*Tabla2[[#This Row],[QTY Adjusted]]</f>
        <v>0</v>
      </c>
      <c r="O37" s="10">
        <v>0</v>
      </c>
      <c r="P37" s="10" t="s">
        <v>4240</v>
      </c>
      <c r="Q37" s="6" t="s">
        <v>4245</v>
      </c>
    </row>
    <row r="38" spans="1:17" ht="42" customHeight="1" x14ac:dyDescent="0.3">
      <c r="A38" s="6">
        <v>2111</v>
      </c>
      <c r="B38" s="6" t="s">
        <v>4029</v>
      </c>
      <c r="C38" s="6" t="s">
        <v>228</v>
      </c>
      <c r="D38" s="6" t="s">
        <v>44</v>
      </c>
      <c r="E38" s="6"/>
      <c r="F38" s="6" t="s">
        <v>4059</v>
      </c>
      <c r="G38" s="6" t="s">
        <v>254</v>
      </c>
      <c r="H38" s="6" t="s">
        <v>248</v>
      </c>
      <c r="I38" s="20" t="s">
        <v>255</v>
      </c>
      <c r="J38" s="6">
        <v>0</v>
      </c>
      <c r="K38" s="6" t="s">
        <v>748</v>
      </c>
      <c r="L38" s="10">
        <v>364.5</v>
      </c>
      <c r="M38" s="6" t="s">
        <v>33</v>
      </c>
      <c r="N38" s="10">
        <f>Tabla2[[#This Row],[Price]]*Tabla2[[#This Row],[QTY Adjusted]]</f>
        <v>0</v>
      </c>
      <c r="O38" s="10">
        <v>0</v>
      </c>
      <c r="P38" s="10" t="s">
        <v>4240</v>
      </c>
      <c r="Q38" s="6" t="s">
        <v>4245</v>
      </c>
    </row>
    <row r="39" spans="1:17" ht="42" customHeight="1" x14ac:dyDescent="0.3">
      <c r="A39" s="6">
        <v>2112</v>
      </c>
      <c r="B39" s="6" t="s">
        <v>4029</v>
      </c>
      <c r="C39" s="6" t="s">
        <v>228</v>
      </c>
      <c r="D39" s="6" t="s">
        <v>44</v>
      </c>
      <c r="E39" s="6"/>
      <c r="F39" s="6" t="s">
        <v>4059</v>
      </c>
      <c r="G39" s="6" t="s">
        <v>256</v>
      </c>
      <c r="H39" s="6" t="s">
        <v>248</v>
      </c>
      <c r="I39" s="20" t="s">
        <v>257</v>
      </c>
      <c r="J39" s="6">
        <v>0</v>
      </c>
      <c r="K39" s="6" t="s">
        <v>748</v>
      </c>
      <c r="L39" s="10">
        <v>364.5</v>
      </c>
      <c r="M39" s="6" t="s">
        <v>33</v>
      </c>
      <c r="N39" s="10">
        <f>Tabla2[[#This Row],[Price]]*Tabla2[[#This Row],[QTY Adjusted]]</f>
        <v>0</v>
      </c>
      <c r="O39" s="10">
        <v>0</v>
      </c>
      <c r="P39" s="10" t="s">
        <v>4240</v>
      </c>
      <c r="Q39" s="6" t="s">
        <v>4245</v>
      </c>
    </row>
    <row r="40" spans="1:17" ht="42" customHeight="1" x14ac:dyDescent="0.3">
      <c r="A40" s="6">
        <v>2113</v>
      </c>
      <c r="B40" s="6" t="s">
        <v>4029</v>
      </c>
      <c r="C40" s="6" t="s">
        <v>228</v>
      </c>
      <c r="D40" s="6" t="s">
        <v>44</v>
      </c>
      <c r="E40" s="6"/>
      <c r="F40" s="6" t="s">
        <v>4059</v>
      </c>
      <c r="G40" s="6" t="s">
        <v>258</v>
      </c>
      <c r="H40" s="6" t="s">
        <v>248</v>
      </c>
      <c r="I40" s="20" t="s">
        <v>259</v>
      </c>
      <c r="J40" s="6">
        <v>0</v>
      </c>
      <c r="K40" s="6" t="s">
        <v>748</v>
      </c>
      <c r="L40" s="10">
        <v>364.5</v>
      </c>
      <c r="M40" s="6" t="s">
        <v>33</v>
      </c>
      <c r="N40" s="10">
        <f>Tabla2[[#This Row],[Price]]*Tabla2[[#This Row],[QTY Adjusted]]</f>
        <v>0</v>
      </c>
      <c r="O40" s="10">
        <v>0</v>
      </c>
      <c r="P40" s="10" t="s">
        <v>4240</v>
      </c>
      <c r="Q40" s="6" t="s">
        <v>4245</v>
      </c>
    </row>
    <row r="41" spans="1:17" ht="42" customHeight="1" x14ac:dyDescent="0.3">
      <c r="A41" s="6">
        <v>2114</v>
      </c>
      <c r="B41" s="6" t="s">
        <v>4029</v>
      </c>
      <c r="C41" s="6" t="s">
        <v>228</v>
      </c>
      <c r="D41" s="6" t="s">
        <v>44</v>
      </c>
      <c r="E41" s="6"/>
      <c r="F41" s="6" t="s">
        <v>4059</v>
      </c>
      <c r="G41" s="6" t="s">
        <v>260</v>
      </c>
      <c r="H41" s="6" t="s">
        <v>248</v>
      </c>
      <c r="I41" s="20" t="s">
        <v>261</v>
      </c>
      <c r="J41" s="6">
        <v>0</v>
      </c>
      <c r="K41" s="6" t="s">
        <v>748</v>
      </c>
      <c r="L41" s="10">
        <v>364.5</v>
      </c>
      <c r="M41" s="6" t="s">
        <v>33</v>
      </c>
      <c r="N41" s="10">
        <f>Tabla2[[#This Row],[Price]]*Tabla2[[#This Row],[QTY Adjusted]]</f>
        <v>0</v>
      </c>
      <c r="O41" s="10">
        <v>0</v>
      </c>
      <c r="P41" s="10" t="s">
        <v>4240</v>
      </c>
      <c r="Q41" s="6" t="s">
        <v>4245</v>
      </c>
    </row>
    <row r="42" spans="1:17" ht="42" customHeight="1" x14ac:dyDescent="0.3">
      <c r="A42" s="6">
        <v>2115</v>
      </c>
      <c r="B42" s="6" t="s">
        <v>4029</v>
      </c>
      <c r="C42" s="6" t="s">
        <v>228</v>
      </c>
      <c r="D42" s="6" t="s">
        <v>44</v>
      </c>
      <c r="E42" s="6"/>
      <c r="F42" s="6" t="s">
        <v>4059</v>
      </c>
      <c r="G42" s="6" t="s">
        <v>262</v>
      </c>
      <c r="H42" s="6" t="s">
        <v>248</v>
      </c>
      <c r="I42" s="20" t="s">
        <v>263</v>
      </c>
      <c r="J42" s="6">
        <v>0</v>
      </c>
      <c r="K42" s="6" t="s">
        <v>748</v>
      </c>
      <c r="L42" s="10">
        <v>364.5</v>
      </c>
      <c r="M42" s="6" t="s">
        <v>33</v>
      </c>
      <c r="N42" s="10">
        <f>Tabla2[[#This Row],[Price]]*Tabla2[[#This Row],[QTY Adjusted]]</f>
        <v>0</v>
      </c>
      <c r="O42" s="10">
        <v>0</v>
      </c>
      <c r="P42" s="10" t="s">
        <v>4240</v>
      </c>
      <c r="Q42" s="6" t="s">
        <v>4245</v>
      </c>
    </row>
    <row r="43" spans="1:17" ht="42" customHeight="1" x14ac:dyDescent="0.3">
      <c r="A43" s="6">
        <v>2116</v>
      </c>
      <c r="B43" s="6" t="s">
        <v>4029</v>
      </c>
      <c r="C43" s="6" t="s">
        <v>228</v>
      </c>
      <c r="D43" s="6" t="s">
        <v>44</v>
      </c>
      <c r="E43" s="6"/>
      <c r="F43" s="6" t="s">
        <v>4059</v>
      </c>
      <c r="G43" s="6" t="s">
        <v>264</v>
      </c>
      <c r="H43" s="6" t="s">
        <v>248</v>
      </c>
      <c r="I43" s="20" t="s">
        <v>265</v>
      </c>
      <c r="J43" s="6">
        <v>0</v>
      </c>
      <c r="K43" s="6" t="s">
        <v>748</v>
      </c>
      <c r="L43" s="10">
        <v>364.5</v>
      </c>
      <c r="M43" s="6" t="s">
        <v>33</v>
      </c>
      <c r="N43" s="10">
        <f>Tabla2[[#This Row],[Price]]*Tabla2[[#This Row],[QTY Adjusted]]</f>
        <v>0</v>
      </c>
      <c r="O43" s="10">
        <v>0</v>
      </c>
      <c r="P43" s="10" t="s">
        <v>4240</v>
      </c>
      <c r="Q43" s="6" t="s">
        <v>4245</v>
      </c>
    </row>
    <row r="44" spans="1:17" ht="42" customHeight="1" x14ac:dyDescent="0.3">
      <c r="A44" s="6">
        <v>2105</v>
      </c>
      <c r="B44" s="6" t="s">
        <v>4029</v>
      </c>
      <c r="C44" s="6" t="s">
        <v>237</v>
      </c>
      <c r="D44" s="6" t="s">
        <v>93</v>
      </c>
      <c r="E44" s="6"/>
      <c r="F44" s="6" t="s">
        <v>4059</v>
      </c>
      <c r="G44" s="6" t="s">
        <v>4030</v>
      </c>
      <c r="H44" s="6" t="s">
        <v>239</v>
      </c>
      <c r="I44" s="20" t="s">
        <v>4031</v>
      </c>
      <c r="J44" s="6">
        <v>2</v>
      </c>
      <c r="K44" s="6" t="s">
        <v>19</v>
      </c>
      <c r="L44" s="10">
        <v>179.66</v>
      </c>
      <c r="M44" s="6" t="s">
        <v>33</v>
      </c>
      <c r="N44" s="10">
        <f>Tabla2[[#This Row],[Price]]*Tabla2[[#This Row],[QTY Adjusted]]</f>
        <v>359.32</v>
      </c>
      <c r="O44" s="10">
        <v>359.32</v>
      </c>
      <c r="P44" s="10" t="s">
        <v>4225</v>
      </c>
      <c r="Q44" s="6" t="s">
        <v>4245</v>
      </c>
    </row>
    <row r="45" spans="1:17" ht="42" customHeight="1" x14ac:dyDescent="0.3">
      <c r="A45" s="6">
        <v>2087</v>
      </c>
      <c r="B45" s="6" t="s">
        <v>3961</v>
      </c>
      <c r="C45" s="6" t="s">
        <v>134</v>
      </c>
      <c r="D45" s="6" t="s">
        <v>44</v>
      </c>
      <c r="E45" s="6"/>
      <c r="F45" s="6" t="s">
        <v>4062</v>
      </c>
      <c r="G45" s="6" t="s">
        <v>138</v>
      </c>
      <c r="H45" s="6" t="s">
        <v>139</v>
      </c>
      <c r="I45" s="20" t="s">
        <v>140</v>
      </c>
      <c r="J45" s="6">
        <v>24</v>
      </c>
      <c r="K45" s="6" t="s">
        <v>19</v>
      </c>
      <c r="L45" s="10">
        <v>12.1225</v>
      </c>
      <c r="M45" s="6" t="s">
        <v>33</v>
      </c>
      <c r="N45" s="10">
        <f>Tabla2[[#This Row],[Price]]*Tabla2[[#This Row],[QTY Adjusted]]</f>
        <v>290.94</v>
      </c>
      <c r="O45" s="10">
        <v>290.94</v>
      </c>
      <c r="P45" s="10" t="s">
        <v>4225</v>
      </c>
      <c r="Q45" s="6" t="s">
        <v>4245</v>
      </c>
    </row>
    <row r="46" spans="1:17" ht="42" customHeight="1" x14ac:dyDescent="0.3">
      <c r="A46" s="6">
        <v>2061</v>
      </c>
      <c r="B46" s="6" t="s">
        <v>3961</v>
      </c>
      <c r="C46" s="6" t="s">
        <v>717</v>
      </c>
      <c r="D46" s="6" t="s">
        <v>718</v>
      </c>
      <c r="E46" s="6"/>
      <c r="F46" s="6" t="s">
        <v>4063</v>
      </c>
      <c r="G46" s="6" t="s">
        <v>3799</v>
      </c>
      <c r="H46" s="6" t="s">
        <v>3800</v>
      </c>
      <c r="I46" s="20" t="s">
        <v>3801</v>
      </c>
      <c r="J46" s="6">
        <v>48</v>
      </c>
      <c r="K46" s="6" t="s">
        <v>19</v>
      </c>
      <c r="L46" s="10">
        <v>5.9</v>
      </c>
      <c r="M46" s="6" t="s">
        <v>33</v>
      </c>
      <c r="N46" s="10">
        <f>Tabla2[[#This Row],[Price]]*Tabla2[[#This Row],[QTY Adjusted]]</f>
        <v>283.20000000000005</v>
      </c>
      <c r="O46" s="10">
        <v>283.20000000000005</v>
      </c>
      <c r="P46" s="10" t="s">
        <v>4225</v>
      </c>
      <c r="Q46" s="6" t="s">
        <v>4245</v>
      </c>
    </row>
    <row r="47" spans="1:17" ht="42" customHeight="1" x14ac:dyDescent="0.3">
      <c r="A47" s="6">
        <v>2062</v>
      </c>
      <c r="B47" s="6" t="s">
        <v>3961</v>
      </c>
      <c r="C47" s="6" t="s">
        <v>717</v>
      </c>
      <c r="D47" s="6" t="s">
        <v>718</v>
      </c>
      <c r="E47" s="6"/>
      <c r="F47" s="6" t="s">
        <v>4063</v>
      </c>
      <c r="G47" s="6" t="s">
        <v>3802</v>
      </c>
      <c r="H47" s="6" t="s">
        <v>67</v>
      </c>
      <c r="I47" s="20" t="s">
        <v>3803</v>
      </c>
      <c r="J47" s="6">
        <v>48</v>
      </c>
      <c r="K47" s="6" t="s">
        <v>19</v>
      </c>
      <c r="L47" s="10">
        <v>5.9</v>
      </c>
      <c r="M47" s="6" t="s">
        <v>33</v>
      </c>
      <c r="N47" s="10">
        <f>Tabla2[[#This Row],[Price]]*Tabla2[[#This Row],[QTY Adjusted]]</f>
        <v>283.20000000000005</v>
      </c>
      <c r="O47" s="10">
        <v>283.20000000000005</v>
      </c>
      <c r="P47" s="10" t="s">
        <v>4225</v>
      </c>
      <c r="Q47" s="6" t="s">
        <v>4245</v>
      </c>
    </row>
    <row r="48" spans="1:17" ht="42" customHeight="1" x14ac:dyDescent="0.3">
      <c r="A48" s="6">
        <v>2057</v>
      </c>
      <c r="B48" s="6" t="s">
        <v>3961</v>
      </c>
      <c r="C48" s="6" t="s">
        <v>717</v>
      </c>
      <c r="D48" s="6" t="s">
        <v>718</v>
      </c>
      <c r="E48" s="6"/>
      <c r="F48" s="6" t="s">
        <v>4063</v>
      </c>
      <c r="G48" s="6" t="s">
        <v>3791</v>
      </c>
      <c r="H48" s="6" t="s">
        <v>501</v>
      </c>
      <c r="I48" s="20" t="s">
        <v>3792</v>
      </c>
      <c r="J48" s="6">
        <v>48</v>
      </c>
      <c r="K48" s="6" t="s">
        <v>19</v>
      </c>
      <c r="L48" s="10">
        <v>5.8</v>
      </c>
      <c r="M48" s="6" t="s">
        <v>33</v>
      </c>
      <c r="N48" s="10">
        <f>Tabla2[[#This Row],[Price]]*Tabla2[[#This Row],[QTY Adjusted]]</f>
        <v>278.39999999999998</v>
      </c>
      <c r="O48" s="10">
        <v>278.39999999999998</v>
      </c>
      <c r="P48" s="10" t="s">
        <v>4225</v>
      </c>
      <c r="Q48" s="6" t="s">
        <v>4245</v>
      </c>
    </row>
    <row r="49" spans="1:17" ht="42" customHeight="1" x14ac:dyDescent="0.3">
      <c r="A49" s="6">
        <v>2102</v>
      </c>
      <c r="B49" s="6" t="s">
        <v>3961</v>
      </c>
      <c r="C49" s="6" t="s">
        <v>130</v>
      </c>
      <c r="D49" s="6" t="s">
        <v>130</v>
      </c>
      <c r="E49" s="6"/>
      <c r="F49" s="6" t="s">
        <v>4059</v>
      </c>
      <c r="G49" s="6" t="s">
        <v>1954</v>
      </c>
      <c r="H49" s="6" t="s">
        <v>1955</v>
      </c>
      <c r="I49" s="20" t="s">
        <v>1956</v>
      </c>
      <c r="J49" s="6">
        <v>1</v>
      </c>
      <c r="K49" s="6" t="s">
        <v>19</v>
      </c>
      <c r="L49" s="10">
        <v>319.57902178840573</v>
      </c>
      <c r="M49" s="6" t="s">
        <v>33</v>
      </c>
      <c r="N49" s="10">
        <f>Tabla2[[#This Row],[Price]]*Tabla2[[#This Row],[QTY Adjusted]]</f>
        <v>319.57902178840573</v>
      </c>
      <c r="O49" s="10">
        <v>319.57902178840573</v>
      </c>
      <c r="P49" s="10" t="s">
        <v>4225</v>
      </c>
      <c r="Q49" s="6" t="s">
        <v>4245</v>
      </c>
    </row>
    <row r="50" spans="1:17" ht="42" customHeight="1" x14ac:dyDescent="0.3">
      <c r="A50" s="6">
        <v>2093</v>
      </c>
      <c r="B50" s="6" t="s">
        <v>3961</v>
      </c>
      <c r="C50" s="6" t="s">
        <v>266</v>
      </c>
      <c r="D50" s="6" t="s">
        <v>44</v>
      </c>
      <c r="E50" s="6"/>
      <c r="F50" s="6" t="s">
        <v>4062</v>
      </c>
      <c r="G50" s="6" t="s">
        <v>4012</v>
      </c>
      <c r="H50" s="6" t="s">
        <v>962</v>
      </c>
      <c r="I50" s="20" t="s">
        <v>4013</v>
      </c>
      <c r="J50" s="6">
        <v>24</v>
      </c>
      <c r="K50" s="6" t="s">
        <v>19</v>
      </c>
      <c r="L50" s="10">
        <v>11.94</v>
      </c>
      <c r="M50" s="6" t="s">
        <v>33</v>
      </c>
      <c r="N50" s="10">
        <f>Tabla2[[#This Row],[Price]]*Tabla2[[#This Row],[QTY Adjusted]]</f>
        <v>286.56</v>
      </c>
      <c r="O50" s="10">
        <v>286.56</v>
      </c>
      <c r="P50" s="10" t="s">
        <v>4225</v>
      </c>
      <c r="Q50" s="6" t="s">
        <v>4245</v>
      </c>
    </row>
    <row r="51" spans="1:17" ht="42" customHeight="1" x14ac:dyDescent="0.3">
      <c r="A51" s="6">
        <v>2059</v>
      </c>
      <c r="B51" s="6" t="s">
        <v>3961</v>
      </c>
      <c r="C51" s="6" t="s">
        <v>717</v>
      </c>
      <c r="D51" s="6" t="s">
        <v>718</v>
      </c>
      <c r="E51" s="6"/>
      <c r="F51" s="6" t="s">
        <v>4063</v>
      </c>
      <c r="G51" s="6" t="s">
        <v>3795</v>
      </c>
      <c r="H51" s="6" t="s">
        <v>2421</v>
      </c>
      <c r="I51" s="20" t="s">
        <v>3796</v>
      </c>
      <c r="J51" s="6">
        <v>72</v>
      </c>
      <c r="K51" s="6" t="s">
        <v>19</v>
      </c>
      <c r="L51" s="10">
        <v>3.4</v>
      </c>
      <c r="M51" s="6" t="s">
        <v>33</v>
      </c>
      <c r="N51" s="10">
        <f>Tabla2[[#This Row],[Price]]*Tabla2[[#This Row],[QTY Adjusted]]</f>
        <v>244.79999999999998</v>
      </c>
      <c r="O51" s="10">
        <v>244.79999999999998</v>
      </c>
      <c r="P51" s="10" t="s">
        <v>4225</v>
      </c>
      <c r="Q51" s="6" t="s">
        <v>4245</v>
      </c>
    </row>
    <row r="52" spans="1:17" ht="42" customHeight="1" x14ac:dyDescent="0.3">
      <c r="A52" s="6">
        <v>2056</v>
      </c>
      <c r="B52" s="6" t="s">
        <v>3961</v>
      </c>
      <c r="C52" s="6" t="s">
        <v>717</v>
      </c>
      <c r="D52" s="6" t="s">
        <v>718</v>
      </c>
      <c r="E52" s="6"/>
      <c r="F52" s="6" t="s">
        <v>4063</v>
      </c>
      <c r="G52" s="6" t="s">
        <v>3789</v>
      </c>
      <c r="H52" s="6" t="s">
        <v>49</v>
      </c>
      <c r="I52" s="20" t="s">
        <v>3790</v>
      </c>
      <c r="J52" s="6">
        <v>48</v>
      </c>
      <c r="K52" s="6" t="s">
        <v>19</v>
      </c>
      <c r="L52" s="10">
        <v>5</v>
      </c>
      <c r="M52" s="6" t="s">
        <v>33</v>
      </c>
      <c r="N52" s="10">
        <f>Tabla2[[#This Row],[Price]]*Tabla2[[#This Row],[QTY Adjusted]]</f>
        <v>240</v>
      </c>
      <c r="O52" s="10">
        <v>240</v>
      </c>
      <c r="P52" s="10" t="s">
        <v>4225</v>
      </c>
      <c r="Q52" s="6" t="s">
        <v>4245</v>
      </c>
    </row>
    <row r="53" spans="1:17" ht="42" customHeight="1" x14ac:dyDescent="0.3">
      <c r="A53" s="6">
        <v>2058</v>
      </c>
      <c r="B53" s="6" t="s">
        <v>3961</v>
      </c>
      <c r="C53" s="6" t="s">
        <v>717</v>
      </c>
      <c r="D53" s="6" t="s">
        <v>718</v>
      </c>
      <c r="E53" s="6"/>
      <c r="F53" s="6" t="s">
        <v>4063</v>
      </c>
      <c r="G53" s="6" t="s">
        <v>3793</v>
      </c>
      <c r="H53" s="6" t="s">
        <v>1385</v>
      </c>
      <c r="I53" s="20" t="s">
        <v>3794</v>
      </c>
      <c r="J53" s="6">
        <v>48</v>
      </c>
      <c r="K53" s="6" t="s">
        <v>19</v>
      </c>
      <c r="L53" s="10">
        <v>5</v>
      </c>
      <c r="M53" s="6" t="s">
        <v>33</v>
      </c>
      <c r="N53" s="10">
        <f>Tabla2[[#This Row],[Price]]*Tabla2[[#This Row],[QTY Adjusted]]</f>
        <v>240</v>
      </c>
      <c r="O53" s="10">
        <v>240</v>
      </c>
      <c r="P53" s="10" t="s">
        <v>4225</v>
      </c>
      <c r="Q53" s="6" t="s">
        <v>4245</v>
      </c>
    </row>
    <row r="54" spans="1:17" ht="42" customHeight="1" x14ac:dyDescent="0.3">
      <c r="A54" s="6">
        <v>2065</v>
      </c>
      <c r="B54" s="6" t="s">
        <v>3961</v>
      </c>
      <c r="C54" s="6" t="s">
        <v>717</v>
      </c>
      <c r="D54" s="6" t="s">
        <v>718</v>
      </c>
      <c r="E54" s="6"/>
      <c r="F54" s="6" t="s">
        <v>4063</v>
      </c>
      <c r="G54" s="6" t="s">
        <v>3806</v>
      </c>
      <c r="H54" s="6" t="s">
        <v>3807</v>
      </c>
      <c r="I54" s="20" t="s">
        <v>3808</v>
      </c>
      <c r="J54" s="6">
        <v>48</v>
      </c>
      <c r="K54" s="6" t="s">
        <v>19</v>
      </c>
      <c r="L54" s="10">
        <v>4.9000000000000004</v>
      </c>
      <c r="M54" s="6" t="s">
        <v>33</v>
      </c>
      <c r="N54" s="10">
        <f>Tabla2[[#This Row],[Price]]*Tabla2[[#This Row],[QTY Adjusted]]</f>
        <v>235.20000000000002</v>
      </c>
      <c r="O54" s="10">
        <v>235.20000000000002</v>
      </c>
      <c r="P54" s="10" t="s">
        <v>4225</v>
      </c>
      <c r="Q54" s="6" t="s">
        <v>4245</v>
      </c>
    </row>
    <row r="55" spans="1:17" ht="42" customHeight="1" x14ac:dyDescent="0.3">
      <c r="A55" s="6">
        <v>2094</v>
      </c>
      <c r="B55" s="6" t="s">
        <v>3961</v>
      </c>
      <c r="C55" s="6" t="s">
        <v>266</v>
      </c>
      <c r="D55" s="6" t="s">
        <v>44</v>
      </c>
      <c r="E55" s="6"/>
      <c r="F55" s="6" t="s">
        <v>4062</v>
      </c>
      <c r="G55" s="6" t="s">
        <v>4014</v>
      </c>
      <c r="H55" s="6" t="s">
        <v>706</v>
      </c>
      <c r="I55" s="20" t="s">
        <v>4015</v>
      </c>
      <c r="J55" s="6">
        <v>24</v>
      </c>
      <c r="K55" s="6" t="s">
        <v>19</v>
      </c>
      <c r="L55" s="10">
        <v>10.38</v>
      </c>
      <c r="M55" s="6" t="s">
        <v>33</v>
      </c>
      <c r="N55" s="10">
        <f>Tabla2[[#This Row],[Price]]*Tabla2[[#This Row],[QTY Adjusted]]</f>
        <v>249.12</v>
      </c>
      <c r="O55" s="10">
        <v>249.12</v>
      </c>
      <c r="P55" s="10" t="s">
        <v>4225</v>
      </c>
      <c r="Q55" s="6" t="s">
        <v>4245</v>
      </c>
    </row>
    <row r="56" spans="1:17" ht="42" customHeight="1" x14ac:dyDescent="0.3">
      <c r="A56" s="6">
        <v>2081</v>
      </c>
      <c r="B56" s="6" t="s">
        <v>3961</v>
      </c>
      <c r="C56" s="6" t="s">
        <v>130</v>
      </c>
      <c r="D56" s="6" t="s">
        <v>130</v>
      </c>
      <c r="E56" s="6"/>
      <c r="F56" s="6" t="s">
        <v>4059</v>
      </c>
      <c r="G56" s="6" t="s">
        <v>4003</v>
      </c>
      <c r="H56" s="6" t="s">
        <v>4004</v>
      </c>
      <c r="I56" s="20" t="s">
        <v>4005</v>
      </c>
      <c r="J56" s="6">
        <v>15</v>
      </c>
      <c r="K56" s="6" t="s">
        <v>19</v>
      </c>
      <c r="L56" s="10">
        <v>12.924239526871174</v>
      </c>
      <c r="M56" s="6" t="s">
        <v>33</v>
      </c>
      <c r="N56" s="10">
        <f>Tabla2[[#This Row],[Price]]*Tabla2[[#This Row],[QTY Adjusted]]</f>
        <v>193.86359290306763</v>
      </c>
      <c r="O56" s="10">
        <v>193.86359290306763</v>
      </c>
      <c r="P56" s="10" t="s">
        <v>4225</v>
      </c>
      <c r="Q56" s="6" t="s">
        <v>4245</v>
      </c>
    </row>
    <row r="57" spans="1:17" ht="42" customHeight="1" x14ac:dyDescent="0.3">
      <c r="A57" s="6">
        <v>2091</v>
      </c>
      <c r="B57" s="6" t="s">
        <v>3961</v>
      </c>
      <c r="C57" s="6" t="s">
        <v>266</v>
      </c>
      <c r="D57" s="6" t="s">
        <v>44</v>
      </c>
      <c r="E57" s="6"/>
      <c r="F57" s="6" t="s">
        <v>4062</v>
      </c>
      <c r="G57" s="6" t="s">
        <v>4010</v>
      </c>
      <c r="H57" s="6" t="s">
        <v>1328</v>
      </c>
      <c r="I57" s="20" t="s">
        <v>4011</v>
      </c>
      <c r="J57" s="6">
        <v>29</v>
      </c>
      <c r="K57" s="6" t="s">
        <v>19</v>
      </c>
      <c r="L57" s="10">
        <v>6.14</v>
      </c>
      <c r="M57" s="6" t="s">
        <v>33</v>
      </c>
      <c r="N57" s="10">
        <f>Tabla2[[#This Row],[Price]]*Tabla2[[#This Row],[QTY Adjusted]]</f>
        <v>178.06</v>
      </c>
      <c r="O57" s="10">
        <v>178.06</v>
      </c>
      <c r="P57" s="10" t="s">
        <v>4225</v>
      </c>
      <c r="Q57" s="6" t="s">
        <v>4245</v>
      </c>
    </row>
    <row r="58" spans="1:17" ht="42" customHeight="1" x14ac:dyDescent="0.3">
      <c r="A58" s="6">
        <v>2095</v>
      </c>
      <c r="B58" s="6" t="s">
        <v>3961</v>
      </c>
      <c r="C58" s="6" t="s">
        <v>266</v>
      </c>
      <c r="D58" s="6" t="s">
        <v>44</v>
      </c>
      <c r="E58" s="6"/>
      <c r="F58" s="6" t="s">
        <v>4062</v>
      </c>
      <c r="G58" s="6" t="s">
        <v>4016</v>
      </c>
      <c r="H58" s="6" t="s">
        <v>4017</v>
      </c>
      <c r="I58" s="20" t="s">
        <v>4018</v>
      </c>
      <c r="J58" s="6">
        <v>24</v>
      </c>
      <c r="K58" s="6" t="s">
        <v>19</v>
      </c>
      <c r="L58" s="10">
        <v>8.39</v>
      </c>
      <c r="M58" s="6" t="s">
        <v>33</v>
      </c>
      <c r="N58" s="10">
        <f>Tabla2[[#This Row],[Price]]*Tabla2[[#This Row],[QTY Adjusted]]</f>
        <v>201.36</v>
      </c>
      <c r="O58" s="10">
        <v>201.36</v>
      </c>
      <c r="P58" s="10" t="s">
        <v>4225</v>
      </c>
      <c r="Q58" s="6" t="s">
        <v>4245</v>
      </c>
    </row>
    <row r="59" spans="1:17" ht="42" customHeight="1" x14ac:dyDescent="0.3">
      <c r="A59" s="6">
        <v>2101</v>
      </c>
      <c r="B59" s="6" t="s">
        <v>3961</v>
      </c>
      <c r="C59" s="6" t="s">
        <v>1316</v>
      </c>
      <c r="D59" s="6" t="s">
        <v>718</v>
      </c>
      <c r="E59" s="6"/>
      <c r="F59" s="6" t="s">
        <v>4059</v>
      </c>
      <c r="G59" s="6" t="s">
        <v>4026</v>
      </c>
      <c r="H59" s="6" t="s">
        <v>4027</v>
      </c>
      <c r="I59" s="20" t="s">
        <v>4028</v>
      </c>
      <c r="J59" s="6">
        <v>6</v>
      </c>
      <c r="K59" s="6" t="s">
        <v>19</v>
      </c>
      <c r="L59" s="10">
        <v>32.9</v>
      </c>
      <c r="M59" s="6" t="s">
        <v>33</v>
      </c>
      <c r="N59" s="10">
        <f>Tabla2[[#This Row],[Price]]*Tabla2[[#This Row],[QTY Adjusted]]</f>
        <v>197.39999999999998</v>
      </c>
      <c r="O59" s="10">
        <v>197.39999999999998</v>
      </c>
      <c r="P59" s="10" t="s">
        <v>4225</v>
      </c>
      <c r="Q59" s="6" t="s">
        <v>4245</v>
      </c>
    </row>
    <row r="60" spans="1:17" ht="42" customHeight="1" x14ac:dyDescent="0.3">
      <c r="A60" s="6">
        <v>2090</v>
      </c>
      <c r="B60" s="6" t="s">
        <v>3961</v>
      </c>
      <c r="C60" s="6" t="s">
        <v>266</v>
      </c>
      <c r="D60" s="6" t="s">
        <v>44</v>
      </c>
      <c r="E60" s="6"/>
      <c r="F60" s="6" t="s">
        <v>4062</v>
      </c>
      <c r="G60" s="6" t="s">
        <v>4008</v>
      </c>
      <c r="H60" s="6" t="s">
        <v>145</v>
      </c>
      <c r="I60" s="20" t="s">
        <v>4009</v>
      </c>
      <c r="J60" s="6">
        <v>29</v>
      </c>
      <c r="K60" s="6" t="s">
        <v>19</v>
      </c>
      <c r="L60" s="10">
        <v>5.79</v>
      </c>
      <c r="M60" s="6" t="s">
        <v>33</v>
      </c>
      <c r="N60" s="10">
        <f>Tabla2[[#This Row],[Price]]*Tabla2[[#This Row],[QTY Adjusted]]</f>
        <v>167.91</v>
      </c>
      <c r="O60" s="10">
        <v>167.91</v>
      </c>
      <c r="P60" s="10" t="s">
        <v>4225</v>
      </c>
      <c r="Q60" s="6" t="s">
        <v>4245</v>
      </c>
    </row>
    <row r="61" spans="1:17" ht="42" customHeight="1" x14ac:dyDescent="0.3">
      <c r="A61" s="6">
        <v>2132</v>
      </c>
      <c r="B61" s="6" t="s">
        <v>4029</v>
      </c>
      <c r="C61" s="6" t="s">
        <v>314</v>
      </c>
      <c r="D61" s="6" t="s">
        <v>93</v>
      </c>
      <c r="E61" s="6"/>
      <c r="F61" s="6" t="s">
        <v>4059</v>
      </c>
      <c r="G61" s="6" t="s">
        <v>315</v>
      </c>
      <c r="H61" s="6" t="s">
        <v>316</v>
      </c>
      <c r="I61" s="20" t="s">
        <v>317</v>
      </c>
      <c r="J61" s="6">
        <v>1</v>
      </c>
      <c r="K61" s="6" t="s">
        <v>19</v>
      </c>
      <c r="L61" s="10">
        <v>175.87</v>
      </c>
      <c r="M61" s="6" t="s">
        <v>33</v>
      </c>
      <c r="N61" s="10">
        <f>Tabla2[[#This Row],[Price]]*Tabla2[[#This Row],[QTY Adjusted]]</f>
        <v>175.87</v>
      </c>
      <c r="O61" s="10">
        <v>175.87</v>
      </c>
      <c r="P61" s="10" t="s">
        <v>4225</v>
      </c>
      <c r="Q61" s="6" t="s">
        <v>4245</v>
      </c>
    </row>
    <row r="62" spans="1:17" ht="42" customHeight="1" x14ac:dyDescent="0.3">
      <c r="A62" s="6">
        <v>2126</v>
      </c>
      <c r="B62" s="6" t="s">
        <v>4029</v>
      </c>
      <c r="C62" s="6" t="s">
        <v>321</v>
      </c>
      <c r="D62" s="6" t="s">
        <v>199</v>
      </c>
      <c r="E62" s="6"/>
      <c r="F62" s="6" t="s">
        <v>4059</v>
      </c>
      <c r="G62" s="6" t="s">
        <v>4046</v>
      </c>
      <c r="H62" s="6" t="s">
        <v>295</v>
      </c>
      <c r="I62" s="20" t="s">
        <v>4047</v>
      </c>
      <c r="J62" s="6">
        <v>4</v>
      </c>
      <c r="K62" s="6" t="s">
        <v>19</v>
      </c>
      <c r="L62" s="10">
        <v>43.104296812500003</v>
      </c>
      <c r="M62" s="6" t="s">
        <v>33</v>
      </c>
      <c r="N62" s="10">
        <f>Tabla2[[#This Row],[Price]]*Tabla2[[#This Row],[QTY Adjusted]]</f>
        <v>172.41718725000001</v>
      </c>
      <c r="O62" s="10">
        <v>172.41718725000001</v>
      </c>
      <c r="P62" s="10" t="s">
        <v>4225</v>
      </c>
      <c r="Q62" s="6" t="s">
        <v>4245</v>
      </c>
    </row>
    <row r="63" spans="1:17" ht="42" customHeight="1" x14ac:dyDescent="0.3">
      <c r="A63" s="6">
        <v>2088</v>
      </c>
      <c r="B63" s="6" t="s">
        <v>3961</v>
      </c>
      <c r="C63" s="6" t="s">
        <v>3861</v>
      </c>
      <c r="D63" s="6" t="s">
        <v>44</v>
      </c>
      <c r="E63" s="6"/>
      <c r="F63" s="6" t="s">
        <v>4062</v>
      </c>
      <c r="G63" s="6" t="s">
        <v>3862</v>
      </c>
      <c r="H63" s="6" t="s">
        <v>142</v>
      </c>
      <c r="I63" s="20" t="s">
        <v>3863</v>
      </c>
      <c r="J63" s="6">
        <v>29</v>
      </c>
      <c r="K63" s="6" t="s">
        <v>19</v>
      </c>
      <c r="L63" s="10">
        <v>5.04</v>
      </c>
      <c r="M63" s="6" t="s">
        <v>33</v>
      </c>
      <c r="N63" s="10">
        <f>Tabla2[[#This Row],[Price]]*Tabla2[[#This Row],[QTY Adjusted]]</f>
        <v>146.16</v>
      </c>
      <c r="O63" s="10">
        <v>146.16</v>
      </c>
      <c r="P63" s="10" t="s">
        <v>4225</v>
      </c>
      <c r="Q63" s="6" t="s">
        <v>4245</v>
      </c>
    </row>
    <row r="64" spans="1:17" ht="42" customHeight="1" x14ac:dyDescent="0.3">
      <c r="A64" s="6">
        <v>2098</v>
      </c>
      <c r="B64" s="6" t="s">
        <v>3987</v>
      </c>
      <c r="C64" s="6" t="s">
        <v>219</v>
      </c>
      <c r="D64" s="6" t="s">
        <v>44</v>
      </c>
      <c r="E64" s="6"/>
      <c r="F64" s="6" t="s">
        <v>4059</v>
      </c>
      <c r="G64" s="6" t="s">
        <v>3873</v>
      </c>
      <c r="H64" s="6" t="s">
        <v>540</v>
      </c>
      <c r="I64" s="20" t="s">
        <v>3874</v>
      </c>
      <c r="J64" s="6">
        <v>6</v>
      </c>
      <c r="K64" s="6" t="s">
        <v>19</v>
      </c>
      <c r="L64" s="10">
        <v>28.356000000000002</v>
      </c>
      <c r="M64" s="6" t="s">
        <v>33</v>
      </c>
      <c r="N64" s="10">
        <f>Tabla2[[#This Row],[Price]]*Tabla2[[#This Row],[QTY Adjusted]]</f>
        <v>170.13600000000002</v>
      </c>
      <c r="O64" s="10">
        <v>170.13600000000002</v>
      </c>
      <c r="P64" s="22" t="s">
        <v>4225</v>
      </c>
      <c r="Q64" s="6" t="s">
        <v>4245</v>
      </c>
    </row>
    <row r="65" spans="1:17" ht="42" customHeight="1" x14ac:dyDescent="0.3">
      <c r="A65" s="6">
        <v>2147</v>
      </c>
      <c r="B65" s="6" t="s">
        <v>4029</v>
      </c>
      <c r="C65" s="6" t="s">
        <v>361</v>
      </c>
      <c r="D65" s="6" t="s">
        <v>362</v>
      </c>
      <c r="E65" s="6"/>
      <c r="F65" s="6" t="s">
        <v>4059</v>
      </c>
      <c r="G65" s="6" t="s">
        <v>363</v>
      </c>
      <c r="H65" s="6" t="s">
        <v>364</v>
      </c>
      <c r="I65" s="20" t="s">
        <v>365</v>
      </c>
      <c r="J65" s="6">
        <v>3</v>
      </c>
      <c r="K65" s="6" t="s">
        <v>19</v>
      </c>
      <c r="L65" s="10">
        <v>44.937176470588234</v>
      </c>
      <c r="M65" s="6" t="s">
        <v>33</v>
      </c>
      <c r="N65" s="10">
        <f>Tabla2[[#This Row],[Price]]*Tabla2[[#This Row],[QTY Adjusted]]</f>
        <v>134.8115294117647</v>
      </c>
      <c r="O65" s="10">
        <v>134.8115294117647</v>
      </c>
      <c r="P65" s="10" t="s">
        <v>4225</v>
      </c>
      <c r="Q65" s="6" t="s">
        <v>4245</v>
      </c>
    </row>
    <row r="66" spans="1:17" ht="42" customHeight="1" x14ac:dyDescent="0.3">
      <c r="A66" s="6">
        <v>2139</v>
      </c>
      <c r="B66" s="6" t="s">
        <v>4029</v>
      </c>
      <c r="C66" s="6" t="s">
        <v>237</v>
      </c>
      <c r="D66" s="6" t="s">
        <v>93</v>
      </c>
      <c r="E66" s="6"/>
      <c r="F66" s="6" t="s">
        <v>4059</v>
      </c>
      <c r="G66" s="6" t="s">
        <v>339</v>
      </c>
      <c r="H66" s="6" t="s">
        <v>334</v>
      </c>
      <c r="I66" s="20" t="s">
        <v>340</v>
      </c>
      <c r="J66" s="6">
        <v>3</v>
      </c>
      <c r="K66" s="6" t="s">
        <v>19</v>
      </c>
      <c r="L66" s="10">
        <v>41.19</v>
      </c>
      <c r="M66" s="6" t="s">
        <v>33</v>
      </c>
      <c r="N66" s="10">
        <f>Tabla2[[#This Row],[Price]]*Tabla2[[#This Row],[QTY Adjusted]]</f>
        <v>123.57</v>
      </c>
      <c r="O66" s="10">
        <v>123.57</v>
      </c>
      <c r="P66" s="10" t="s">
        <v>4225</v>
      </c>
      <c r="Q66" s="6" t="s">
        <v>4245</v>
      </c>
    </row>
    <row r="67" spans="1:17" ht="42" customHeight="1" x14ac:dyDescent="0.3">
      <c r="A67" s="6">
        <v>2121</v>
      </c>
      <c r="B67" s="6" t="s">
        <v>4029</v>
      </c>
      <c r="C67" s="6" t="s">
        <v>321</v>
      </c>
      <c r="D67" s="6" t="s">
        <v>199</v>
      </c>
      <c r="E67" s="6"/>
      <c r="F67" s="6" t="s">
        <v>4059</v>
      </c>
      <c r="G67" s="6" t="s">
        <v>4035</v>
      </c>
      <c r="H67" s="6" t="s">
        <v>4036</v>
      </c>
      <c r="I67" s="20" t="s">
        <v>4037</v>
      </c>
      <c r="J67" s="6">
        <v>2</v>
      </c>
      <c r="K67" s="6" t="s">
        <v>19</v>
      </c>
      <c r="L67" s="10">
        <v>50.778964293750008</v>
      </c>
      <c r="M67" s="6" t="s">
        <v>33</v>
      </c>
      <c r="N67" s="10">
        <f>Tabla2[[#This Row],[Price]]*Tabla2[[#This Row],[QTY Adjusted]]</f>
        <v>101.55792858750002</v>
      </c>
      <c r="O67" s="10">
        <v>101.55792858750002</v>
      </c>
      <c r="P67" s="10" t="s">
        <v>4225</v>
      </c>
      <c r="Q67" s="6" t="s">
        <v>4245</v>
      </c>
    </row>
    <row r="68" spans="1:17" ht="42" customHeight="1" x14ac:dyDescent="0.3">
      <c r="A68" s="6">
        <v>2123</v>
      </c>
      <c r="B68" s="6" t="s">
        <v>4029</v>
      </c>
      <c r="C68" s="6" t="s">
        <v>321</v>
      </c>
      <c r="D68" s="6" t="s">
        <v>199</v>
      </c>
      <c r="E68" s="6"/>
      <c r="F68" s="6" t="s">
        <v>4059</v>
      </c>
      <c r="G68" s="6" t="s">
        <v>4040</v>
      </c>
      <c r="H68" s="6" t="s">
        <v>286</v>
      </c>
      <c r="I68" s="20" t="s">
        <v>4041</v>
      </c>
      <c r="J68" s="6">
        <v>2</v>
      </c>
      <c r="K68" s="6" t="s">
        <v>19</v>
      </c>
      <c r="L68" s="10">
        <v>48.676315668750007</v>
      </c>
      <c r="M68" s="6" t="s">
        <v>33</v>
      </c>
      <c r="N68" s="10">
        <f>Tabla2[[#This Row],[Price]]*Tabla2[[#This Row],[QTY Adjusted]]</f>
        <v>97.352631337500014</v>
      </c>
      <c r="O68" s="10">
        <v>97.352631337500014</v>
      </c>
      <c r="P68" s="10" t="s">
        <v>4225</v>
      </c>
      <c r="Q68" s="6" t="s">
        <v>4245</v>
      </c>
    </row>
    <row r="69" spans="1:17" ht="42" customHeight="1" x14ac:dyDescent="0.3">
      <c r="A69" s="6">
        <v>2137</v>
      </c>
      <c r="B69" s="6" t="s">
        <v>4029</v>
      </c>
      <c r="C69" s="6" t="s">
        <v>237</v>
      </c>
      <c r="D69" s="6" t="s">
        <v>93</v>
      </c>
      <c r="E69" s="6"/>
      <c r="F69" s="6" t="s">
        <v>4059</v>
      </c>
      <c r="G69" s="6" t="s">
        <v>333</v>
      </c>
      <c r="H69" s="6" t="s">
        <v>334</v>
      </c>
      <c r="I69" s="20" t="s">
        <v>335</v>
      </c>
      <c r="J69" s="6">
        <v>3</v>
      </c>
      <c r="K69" s="6" t="s">
        <v>19</v>
      </c>
      <c r="L69" s="10">
        <v>28.36</v>
      </c>
      <c r="M69" s="6" t="s">
        <v>33</v>
      </c>
      <c r="N69" s="10">
        <f>Tabla2[[#This Row],[Price]]*Tabla2[[#This Row],[QTY Adjusted]]</f>
        <v>85.08</v>
      </c>
      <c r="O69" s="10">
        <v>85.08</v>
      </c>
      <c r="P69" s="10" t="s">
        <v>4225</v>
      </c>
      <c r="Q69" s="6" t="s">
        <v>4245</v>
      </c>
    </row>
    <row r="70" spans="1:17" ht="42" customHeight="1" x14ac:dyDescent="0.3">
      <c r="A70" s="6">
        <v>2107</v>
      </c>
      <c r="B70" s="6" t="s">
        <v>4029</v>
      </c>
      <c r="C70" s="6" t="s">
        <v>237</v>
      </c>
      <c r="D70" s="6" t="s">
        <v>93</v>
      </c>
      <c r="E70" s="6"/>
      <c r="F70" s="6" t="s">
        <v>4059</v>
      </c>
      <c r="G70" s="6" t="s">
        <v>1962</v>
      </c>
      <c r="H70" s="6" t="s">
        <v>245</v>
      </c>
      <c r="I70" s="20" t="s">
        <v>1681</v>
      </c>
      <c r="J70" s="6">
        <v>1</v>
      </c>
      <c r="K70" s="6" t="s">
        <v>19</v>
      </c>
      <c r="L70" s="10">
        <v>83.54</v>
      </c>
      <c r="M70" s="6" t="s">
        <v>33</v>
      </c>
      <c r="N70" s="10">
        <f>Tabla2[[#This Row],[Price]]*Tabla2[[#This Row],[QTY Adjusted]]</f>
        <v>83.54</v>
      </c>
      <c r="O70" s="10">
        <v>83.54</v>
      </c>
      <c r="P70" s="10" t="s">
        <v>4225</v>
      </c>
      <c r="Q70" s="6" t="s">
        <v>4245</v>
      </c>
    </row>
    <row r="71" spans="1:17" ht="42" customHeight="1" x14ac:dyDescent="0.3">
      <c r="A71" s="6">
        <v>2120</v>
      </c>
      <c r="B71" s="6" t="s">
        <v>4029</v>
      </c>
      <c r="C71" s="6" t="s">
        <v>321</v>
      </c>
      <c r="D71" s="6" t="s">
        <v>199</v>
      </c>
      <c r="E71" s="6"/>
      <c r="F71" s="6" t="s">
        <v>4059</v>
      </c>
      <c r="G71" s="6" t="s">
        <v>4033</v>
      </c>
      <c r="H71" s="6" t="s">
        <v>277</v>
      </c>
      <c r="I71" s="20" t="s">
        <v>4034</v>
      </c>
      <c r="J71" s="6">
        <v>3</v>
      </c>
      <c r="K71" s="6" t="s">
        <v>19</v>
      </c>
      <c r="L71" s="10">
        <v>27.439564556250009</v>
      </c>
      <c r="M71" s="6" t="s">
        <v>33</v>
      </c>
      <c r="N71" s="10">
        <f>Tabla2[[#This Row],[Price]]*Tabla2[[#This Row],[QTY Adjusted]]</f>
        <v>82.318693668750029</v>
      </c>
      <c r="O71" s="10">
        <v>82.318693668750029</v>
      </c>
      <c r="P71" s="10" t="s">
        <v>4225</v>
      </c>
      <c r="Q71" s="6" t="s">
        <v>4245</v>
      </c>
    </row>
    <row r="72" spans="1:17" ht="42" customHeight="1" x14ac:dyDescent="0.3">
      <c r="A72" s="6">
        <v>2122</v>
      </c>
      <c r="B72" s="6" t="s">
        <v>4029</v>
      </c>
      <c r="C72" s="6" t="s">
        <v>321</v>
      </c>
      <c r="D72" s="6" t="s">
        <v>199</v>
      </c>
      <c r="E72" s="6"/>
      <c r="F72" s="6" t="s">
        <v>4059</v>
      </c>
      <c r="G72" s="6" t="s">
        <v>4038</v>
      </c>
      <c r="H72" s="6" t="s">
        <v>756</v>
      </c>
      <c r="I72" s="20" t="s">
        <v>4039</v>
      </c>
      <c r="J72" s="6">
        <v>2</v>
      </c>
      <c r="K72" s="6" t="s">
        <v>19</v>
      </c>
      <c r="L72" s="10">
        <v>40.896515756250004</v>
      </c>
      <c r="M72" s="6" t="s">
        <v>33</v>
      </c>
      <c r="N72" s="10">
        <f>Tabla2[[#This Row],[Price]]*Tabla2[[#This Row],[QTY Adjusted]]</f>
        <v>81.793031512500008</v>
      </c>
      <c r="O72" s="10">
        <v>81.793031512500008</v>
      </c>
      <c r="P72" s="10" t="s">
        <v>4225</v>
      </c>
      <c r="Q72" s="6" t="s">
        <v>4245</v>
      </c>
    </row>
    <row r="73" spans="1:17" ht="42" customHeight="1" x14ac:dyDescent="0.3">
      <c r="A73" s="6">
        <v>2060</v>
      </c>
      <c r="B73" s="6" t="s">
        <v>3961</v>
      </c>
      <c r="C73" s="6" t="s">
        <v>717</v>
      </c>
      <c r="D73" s="6" t="s">
        <v>718</v>
      </c>
      <c r="E73" s="6"/>
      <c r="F73" s="6" t="s">
        <v>4063</v>
      </c>
      <c r="G73" s="6" t="s">
        <v>3797</v>
      </c>
      <c r="H73" s="6" t="s">
        <v>61</v>
      </c>
      <c r="I73" s="20" t="s">
        <v>3798</v>
      </c>
      <c r="J73" s="6">
        <v>24</v>
      </c>
      <c r="K73" s="6" t="s">
        <v>19</v>
      </c>
      <c r="L73" s="10">
        <v>2.9</v>
      </c>
      <c r="M73" s="6" t="s">
        <v>33</v>
      </c>
      <c r="N73" s="10">
        <f>Tabla2[[#This Row],[Price]]*Tabla2[[#This Row],[QTY Adjusted]]</f>
        <v>69.599999999999994</v>
      </c>
      <c r="O73" s="10">
        <v>69.599999999999994</v>
      </c>
      <c r="P73" s="10" t="s">
        <v>4225</v>
      </c>
      <c r="Q73" s="6" t="s">
        <v>4245</v>
      </c>
    </row>
    <row r="74" spans="1:17" ht="42" customHeight="1" x14ac:dyDescent="0.3">
      <c r="A74" s="6">
        <v>2130</v>
      </c>
      <c r="B74" s="6" t="s">
        <v>4029</v>
      </c>
      <c r="C74" s="6" t="s">
        <v>272</v>
      </c>
      <c r="D74" s="6" t="s">
        <v>272</v>
      </c>
      <c r="E74" s="6"/>
      <c r="F74" s="6" t="s">
        <v>4059</v>
      </c>
      <c r="G74" s="6" t="s">
        <v>306</v>
      </c>
      <c r="H74" s="6" t="s">
        <v>307</v>
      </c>
      <c r="I74" s="20" t="s">
        <v>308</v>
      </c>
      <c r="J74" s="6">
        <v>29</v>
      </c>
      <c r="K74" s="6" t="s">
        <v>19</v>
      </c>
      <c r="L74" s="10">
        <v>2.2799999999999998</v>
      </c>
      <c r="M74" s="6" t="s">
        <v>33</v>
      </c>
      <c r="N74" s="10">
        <f>Tabla2[[#This Row],[Price]]*Tabla2[[#This Row],[QTY Adjusted]]</f>
        <v>66.11999999999999</v>
      </c>
      <c r="O74" s="10">
        <v>66.11999999999999</v>
      </c>
      <c r="P74" s="10" t="s">
        <v>4230</v>
      </c>
      <c r="Q74" s="6" t="s">
        <v>4245</v>
      </c>
    </row>
    <row r="75" spans="1:17" ht="42" customHeight="1" x14ac:dyDescent="0.3">
      <c r="A75" s="6">
        <v>2064</v>
      </c>
      <c r="B75" s="6" t="s">
        <v>3961</v>
      </c>
      <c r="C75" s="6" t="s">
        <v>130</v>
      </c>
      <c r="D75" s="6" t="s">
        <v>130</v>
      </c>
      <c r="E75" s="6"/>
      <c r="F75" s="6" t="s">
        <v>4063</v>
      </c>
      <c r="G75" s="6" t="s">
        <v>588</v>
      </c>
      <c r="H75" s="6" t="s">
        <v>589</v>
      </c>
      <c r="I75" s="20" t="s">
        <v>590</v>
      </c>
      <c r="J75" s="6">
        <v>12</v>
      </c>
      <c r="K75" s="6" t="s">
        <v>19</v>
      </c>
      <c r="L75" s="10">
        <v>4.7358324507447564</v>
      </c>
      <c r="M75" s="6" t="s">
        <v>33</v>
      </c>
      <c r="N75" s="10">
        <f>Tabla2[[#This Row],[Price]]*Tabla2[[#This Row],[QTY Adjusted]]</f>
        <v>56.829989408937081</v>
      </c>
      <c r="O75" s="10">
        <v>56.829989408937081</v>
      </c>
      <c r="P75" s="10" t="s">
        <v>4225</v>
      </c>
      <c r="Q75" s="6" t="s">
        <v>4245</v>
      </c>
    </row>
    <row r="76" spans="1:17" ht="42" customHeight="1" x14ac:dyDescent="0.3">
      <c r="A76" s="6">
        <v>2051</v>
      </c>
      <c r="B76" s="6" t="s">
        <v>3961</v>
      </c>
      <c r="C76" s="6" t="s">
        <v>130</v>
      </c>
      <c r="D76" s="6" t="s">
        <v>130</v>
      </c>
      <c r="E76" s="6"/>
      <c r="F76" s="6" t="s">
        <v>4059</v>
      </c>
      <c r="G76" s="6" t="s">
        <v>3776</v>
      </c>
      <c r="H76" s="6" t="s">
        <v>39</v>
      </c>
      <c r="I76" s="20" t="s">
        <v>3777</v>
      </c>
      <c r="J76" s="6">
        <v>6</v>
      </c>
      <c r="K76" s="6" t="s">
        <v>19</v>
      </c>
      <c r="L76" s="10">
        <v>10.067463177550952</v>
      </c>
      <c r="M76" s="6" t="s">
        <v>33</v>
      </c>
      <c r="N76" s="10">
        <f>Tabla2[[#This Row],[Price]]*Tabla2[[#This Row],[QTY Adjusted]]</f>
        <v>60.404779065305711</v>
      </c>
      <c r="O76" s="10">
        <v>60.404779065305711</v>
      </c>
      <c r="P76" s="10" t="s">
        <v>4225</v>
      </c>
      <c r="Q76" s="6" t="s">
        <v>4245</v>
      </c>
    </row>
    <row r="77" spans="1:17" ht="42" customHeight="1" x14ac:dyDescent="0.3">
      <c r="A77" s="6">
        <v>2052</v>
      </c>
      <c r="B77" s="6" t="s">
        <v>3961</v>
      </c>
      <c r="C77" s="6" t="s">
        <v>130</v>
      </c>
      <c r="D77" s="6" t="s">
        <v>130</v>
      </c>
      <c r="E77" s="6"/>
      <c r="F77" s="6" t="s">
        <v>4059</v>
      </c>
      <c r="G77" s="6" t="s">
        <v>3778</v>
      </c>
      <c r="H77" s="6" t="s">
        <v>41</v>
      </c>
      <c r="I77" s="20" t="s">
        <v>3779</v>
      </c>
      <c r="J77" s="6">
        <v>6</v>
      </c>
      <c r="K77" s="6" t="s">
        <v>19</v>
      </c>
      <c r="L77" s="10">
        <v>10.067463177550952</v>
      </c>
      <c r="M77" s="6" t="s">
        <v>33</v>
      </c>
      <c r="N77" s="10">
        <f>Tabla2[[#This Row],[Price]]*Tabla2[[#This Row],[QTY Adjusted]]</f>
        <v>60.404779065305711</v>
      </c>
      <c r="O77" s="10">
        <v>60.404779065305711</v>
      </c>
      <c r="P77" s="10" t="s">
        <v>4225</v>
      </c>
      <c r="Q77" s="6" t="s">
        <v>4245</v>
      </c>
    </row>
    <row r="78" spans="1:17" ht="42" customHeight="1" x14ac:dyDescent="0.3">
      <c r="A78" s="6">
        <v>2124</v>
      </c>
      <c r="B78" s="6" t="s">
        <v>4029</v>
      </c>
      <c r="C78" s="6" t="s">
        <v>321</v>
      </c>
      <c r="D78" s="6" t="s">
        <v>199</v>
      </c>
      <c r="E78" s="6"/>
      <c r="F78" s="6" t="s">
        <v>4059</v>
      </c>
      <c r="G78" s="6" t="s">
        <v>4042</v>
      </c>
      <c r="H78" s="6" t="s">
        <v>289</v>
      </c>
      <c r="I78" s="20" t="s">
        <v>4043</v>
      </c>
      <c r="J78" s="6">
        <v>2</v>
      </c>
      <c r="K78" s="6" t="s">
        <v>19</v>
      </c>
      <c r="L78" s="10">
        <v>29.647345612500001</v>
      </c>
      <c r="M78" s="6" t="s">
        <v>33</v>
      </c>
      <c r="N78" s="10">
        <f>Tabla2[[#This Row],[Price]]*Tabla2[[#This Row],[QTY Adjusted]]</f>
        <v>59.294691225000001</v>
      </c>
      <c r="O78" s="10">
        <v>59.294691225000001</v>
      </c>
      <c r="P78" s="10" t="s">
        <v>4225</v>
      </c>
      <c r="Q78" s="6" t="s">
        <v>4245</v>
      </c>
    </row>
    <row r="79" spans="1:17" ht="42" customHeight="1" x14ac:dyDescent="0.3">
      <c r="A79" s="6">
        <v>2140</v>
      </c>
      <c r="B79" s="6" t="s">
        <v>4029</v>
      </c>
      <c r="C79" s="6" t="s">
        <v>237</v>
      </c>
      <c r="D79" s="6" t="s">
        <v>93</v>
      </c>
      <c r="E79" s="6"/>
      <c r="F79" s="6" t="s">
        <v>4059</v>
      </c>
      <c r="G79" s="6" t="s">
        <v>341</v>
      </c>
      <c r="H79" s="6" t="s">
        <v>337</v>
      </c>
      <c r="I79" s="20" t="s">
        <v>342</v>
      </c>
      <c r="J79" s="6">
        <v>3</v>
      </c>
      <c r="K79" s="6" t="s">
        <v>19</v>
      </c>
      <c r="L79" s="10">
        <v>16.690000000000001</v>
      </c>
      <c r="M79" s="6" t="s">
        <v>33</v>
      </c>
      <c r="N79" s="10">
        <f>Tabla2[[#This Row],[Price]]*Tabla2[[#This Row],[QTY Adjusted]]</f>
        <v>50.070000000000007</v>
      </c>
      <c r="O79" s="10">
        <v>50.070000000000007</v>
      </c>
      <c r="P79" s="10" t="s">
        <v>4225</v>
      </c>
      <c r="Q79" s="6" t="s">
        <v>4245</v>
      </c>
    </row>
    <row r="80" spans="1:17" ht="42" customHeight="1" x14ac:dyDescent="0.3">
      <c r="A80" s="6">
        <v>2142</v>
      </c>
      <c r="B80" s="6" t="s">
        <v>4029</v>
      </c>
      <c r="C80" s="6" t="s">
        <v>329</v>
      </c>
      <c r="D80" s="6" t="s">
        <v>93</v>
      </c>
      <c r="E80" s="6"/>
      <c r="F80" s="6" t="s">
        <v>4059</v>
      </c>
      <c r="G80" s="6" t="s">
        <v>346</v>
      </c>
      <c r="H80" s="6" t="s">
        <v>347</v>
      </c>
      <c r="I80" s="20" t="s">
        <v>348</v>
      </c>
      <c r="J80" s="6">
        <v>3</v>
      </c>
      <c r="K80" s="6" t="s">
        <v>19</v>
      </c>
      <c r="L80" s="10">
        <v>15.94</v>
      </c>
      <c r="M80" s="6" t="s">
        <v>33</v>
      </c>
      <c r="N80" s="10">
        <f>Tabla2[[#This Row],[Price]]*Tabla2[[#This Row],[QTY Adjusted]]</f>
        <v>47.82</v>
      </c>
      <c r="O80" s="10">
        <v>47.82</v>
      </c>
      <c r="P80" s="10" t="s">
        <v>4225</v>
      </c>
      <c r="Q80" s="6" t="s">
        <v>4245</v>
      </c>
    </row>
    <row r="81" spans="1:17" ht="42" customHeight="1" x14ac:dyDescent="0.3">
      <c r="A81" s="6">
        <v>2125</v>
      </c>
      <c r="B81" s="6" t="s">
        <v>4029</v>
      </c>
      <c r="C81" s="6" t="s">
        <v>321</v>
      </c>
      <c r="D81" s="6" t="s">
        <v>199</v>
      </c>
      <c r="E81" s="6"/>
      <c r="F81" s="6" t="s">
        <v>4059</v>
      </c>
      <c r="G81" s="6" t="s">
        <v>4044</v>
      </c>
      <c r="H81" s="6" t="s">
        <v>292</v>
      </c>
      <c r="I81" s="20" t="s">
        <v>4045</v>
      </c>
      <c r="J81" s="6">
        <v>2</v>
      </c>
      <c r="K81" s="6" t="s">
        <v>19</v>
      </c>
      <c r="L81" s="10">
        <v>21.341883543750004</v>
      </c>
      <c r="M81" s="6" t="s">
        <v>33</v>
      </c>
      <c r="N81" s="10">
        <f>Tabla2[[#This Row],[Price]]*Tabla2[[#This Row],[QTY Adjusted]]</f>
        <v>42.683767087500009</v>
      </c>
      <c r="O81" s="10">
        <v>42.683767087500009</v>
      </c>
      <c r="P81" s="10" t="s">
        <v>4225</v>
      </c>
      <c r="Q81" s="6" t="s">
        <v>4245</v>
      </c>
    </row>
    <row r="82" spans="1:17" ht="42" customHeight="1" x14ac:dyDescent="0.3">
      <c r="A82" s="6">
        <v>2134</v>
      </c>
      <c r="B82" s="6" t="s">
        <v>4029</v>
      </c>
      <c r="C82" s="6" t="s">
        <v>321</v>
      </c>
      <c r="D82" s="6" t="s">
        <v>199</v>
      </c>
      <c r="E82" s="6"/>
      <c r="F82" s="6" t="s">
        <v>4059</v>
      </c>
      <c r="G82" s="6" t="s">
        <v>322</v>
      </c>
      <c r="H82" s="6" t="s">
        <v>323</v>
      </c>
      <c r="I82" s="20" t="s">
        <v>324</v>
      </c>
      <c r="J82" s="6">
        <v>2</v>
      </c>
      <c r="K82" s="6" t="s">
        <v>19</v>
      </c>
      <c r="L82" s="10">
        <v>20.500824093750008</v>
      </c>
      <c r="M82" s="6" t="s">
        <v>33</v>
      </c>
      <c r="N82" s="10">
        <f>Tabla2[[#This Row],[Price]]*Tabla2[[#This Row],[QTY Adjusted]]</f>
        <v>41.001648187500017</v>
      </c>
      <c r="O82" s="10">
        <v>41.001648187500017</v>
      </c>
      <c r="P82" s="10" t="s">
        <v>4248</v>
      </c>
      <c r="Q82" s="6" t="s">
        <v>4245</v>
      </c>
    </row>
    <row r="83" spans="1:17" ht="42" customHeight="1" x14ac:dyDescent="0.3">
      <c r="A83" s="6">
        <v>2145</v>
      </c>
      <c r="B83" s="6" t="s">
        <v>4029</v>
      </c>
      <c r="C83" s="6" t="s">
        <v>272</v>
      </c>
      <c r="D83" s="6" t="s">
        <v>272</v>
      </c>
      <c r="E83" s="6"/>
      <c r="F83" s="6" t="s">
        <v>4059</v>
      </c>
      <c r="G83" s="6" t="s">
        <v>355</v>
      </c>
      <c r="H83" s="6" t="s">
        <v>347</v>
      </c>
      <c r="I83" s="20" t="s">
        <v>356</v>
      </c>
      <c r="J83" s="6">
        <v>4</v>
      </c>
      <c r="K83" s="6" t="s">
        <v>19</v>
      </c>
      <c r="L83" s="10">
        <v>9.08</v>
      </c>
      <c r="M83" s="6" t="s">
        <v>33</v>
      </c>
      <c r="N83" s="10">
        <f>Tabla2[[#This Row],[Price]]*Tabla2[[#This Row],[QTY Adjusted]]</f>
        <v>36.32</v>
      </c>
      <c r="O83" s="10">
        <v>36.32</v>
      </c>
      <c r="P83" s="10" t="s">
        <v>4230</v>
      </c>
      <c r="Q83" s="6" t="s">
        <v>4245</v>
      </c>
    </row>
    <row r="84" spans="1:17" ht="42" customHeight="1" x14ac:dyDescent="0.3">
      <c r="A84" s="6">
        <v>2138</v>
      </c>
      <c r="B84" s="6" t="s">
        <v>4029</v>
      </c>
      <c r="C84" s="6" t="s">
        <v>237</v>
      </c>
      <c r="D84" s="6" t="s">
        <v>93</v>
      </c>
      <c r="E84" s="6"/>
      <c r="F84" s="6" t="s">
        <v>4059</v>
      </c>
      <c r="G84" s="6" t="s">
        <v>336</v>
      </c>
      <c r="H84" s="6" t="s">
        <v>337</v>
      </c>
      <c r="I84" s="20" t="s">
        <v>338</v>
      </c>
      <c r="J84" s="6">
        <v>3</v>
      </c>
      <c r="K84" s="6" t="s">
        <v>19</v>
      </c>
      <c r="L84" s="10">
        <v>11.86</v>
      </c>
      <c r="M84" s="6" t="s">
        <v>33</v>
      </c>
      <c r="N84" s="10">
        <f>Tabla2[[#This Row],[Price]]*Tabla2[[#This Row],[QTY Adjusted]]</f>
        <v>35.58</v>
      </c>
      <c r="O84" s="10">
        <v>35.58</v>
      </c>
      <c r="P84" s="10" t="s">
        <v>4225</v>
      </c>
      <c r="Q84" s="6" t="s">
        <v>4245</v>
      </c>
    </row>
    <row r="85" spans="1:17" ht="42" customHeight="1" x14ac:dyDescent="0.3">
      <c r="A85" s="6">
        <v>2096</v>
      </c>
      <c r="B85" s="6" t="s">
        <v>3961</v>
      </c>
      <c r="C85" s="6" t="s">
        <v>266</v>
      </c>
      <c r="D85" s="6" t="s">
        <v>44</v>
      </c>
      <c r="E85" s="6"/>
      <c r="F85" s="6" t="s">
        <v>4062</v>
      </c>
      <c r="G85" s="6" t="s">
        <v>4019</v>
      </c>
      <c r="H85" s="6" t="s">
        <v>4020</v>
      </c>
      <c r="I85" s="20" t="s">
        <v>4021</v>
      </c>
      <c r="J85" s="6">
        <v>3</v>
      </c>
      <c r="K85" s="6" t="s">
        <v>19</v>
      </c>
      <c r="L85" s="10">
        <v>10.24</v>
      </c>
      <c r="M85" s="6" t="s">
        <v>33</v>
      </c>
      <c r="N85" s="10">
        <f>Tabla2[[#This Row],[Price]]*Tabla2[[#This Row],[QTY Adjusted]]</f>
        <v>30.72</v>
      </c>
      <c r="O85" s="10">
        <v>30.72</v>
      </c>
      <c r="P85" s="10" t="s">
        <v>4225</v>
      </c>
      <c r="Q85" s="6" t="s">
        <v>4245</v>
      </c>
    </row>
    <row r="86" spans="1:17" ht="42" customHeight="1" x14ac:dyDescent="0.3">
      <c r="A86" s="6">
        <v>2117</v>
      </c>
      <c r="B86" s="6" t="s">
        <v>4029</v>
      </c>
      <c r="C86" s="6" t="s">
        <v>266</v>
      </c>
      <c r="D86" s="6" t="s">
        <v>44</v>
      </c>
      <c r="E86" s="6"/>
      <c r="F86" s="6" t="s">
        <v>4059</v>
      </c>
      <c r="G86" s="6" t="s">
        <v>267</v>
      </c>
      <c r="H86" s="6" t="s">
        <v>268</v>
      </c>
      <c r="I86" s="20" t="s">
        <v>269</v>
      </c>
      <c r="J86" s="6">
        <v>3</v>
      </c>
      <c r="K86" s="6" t="s">
        <v>19</v>
      </c>
      <c r="L86" s="10">
        <v>9.984</v>
      </c>
      <c r="M86" s="6" t="s">
        <v>33</v>
      </c>
      <c r="N86" s="10">
        <f>Tabla2[[#This Row],[Price]]*Tabla2[[#This Row],[QTY Adjusted]]</f>
        <v>29.951999999999998</v>
      </c>
      <c r="O86" s="10">
        <v>29.951999999999998</v>
      </c>
      <c r="P86" s="10" t="s">
        <v>4225</v>
      </c>
      <c r="Q86" s="6" t="s">
        <v>4245</v>
      </c>
    </row>
    <row r="87" spans="1:17" ht="42" customHeight="1" x14ac:dyDescent="0.3">
      <c r="A87" s="6">
        <v>2118</v>
      </c>
      <c r="B87" s="6" t="s">
        <v>4029</v>
      </c>
      <c r="C87" s="6" t="s">
        <v>266</v>
      </c>
      <c r="D87" s="6" t="s">
        <v>44</v>
      </c>
      <c r="E87" s="6"/>
      <c r="F87" s="6" t="s">
        <v>4059</v>
      </c>
      <c r="G87" s="6" t="s">
        <v>270</v>
      </c>
      <c r="H87" s="6" t="s">
        <v>268</v>
      </c>
      <c r="I87" s="20" t="s">
        <v>271</v>
      </c>
      <c r="J87" s="6">
        <v>3</v>
      </c>
      <c r="K87" s="6" t="s">
        <v>19</v>
      </c>
      <c r="L87" s="10">
        <v>9.984</v>
      </c>
      <c r="M87" s="6" t="s">
        <v>33</v>
      </c>
      <c r="N87" s="10">
        <f>Tabla2[[#This Row],[Price]]*Tabla2[[#This Row],[QTY Adjusted]]</f>
        <v>29.951999999999998</v>
      </c>
      <c r="O87" s="10">
        <v>29.951999999999998</v>
      </c>
      <c r="P87" s="10" t="s">
        <v>4225</v>
      </c>
      <c r="Q87" s="6" t="s">
        <v>4245</v>
      </c>
    </row>
    <row r="88" spans="1:17" ht="42" customHeight="1" x14ac:dyDescent="0.3">
      <c r="A88" s="6">
        <v>2119</v>
      </c>
      <c r="B88" s="6" t="s">
        <v>4029</v>
      </c>
      <c r="C88" s="6" t="s">
        <v>272</v>
      </c>
      <c r="D88" s="6" t="s">
        <v>272</v>
      </c>
      <c r="E88" s="6"/>
      <c r="F88" s="6" t="s">
        <v>4059</v>
      </c>
      <c r="G88" s="6" t="s">
        <v>273</v>
      </c>
      <c r="H88" s="6" t="s">
        <v>274</v>
      </c>
      <c r="I88" s="20" t="s">
        <v>275</v>
      </c>
      <c r="J88" s="6">
        <v>1</v>
      </c>
      <c r="K88" s="6" t="s">
        <v>748</v>
      </c>
      <c r="L88" s="10">
        <v>28.8</v>
      </c>
      <c r="M88" s="6" t="s">
        <v>33</v>
      </c>
      <c r="N88" s="10">
        <f>Tabla2[[#This Row],[Price]]*Tabla2[[#This Row],[QTY Adjusted]]</f>
        <v>28.8</v>
      </c>
      <c r="O88" s="10">
        <v>28.8</v>
      </c>
      <c r="P88" s="10" t="s">
        <v>4230</v>
      </c>
      <c r="Q88" s="6" t="s">
        <v>4245</v>
      </c>
    </row>
    <row r="89" spans="1:17" ht="42" customHeight="1" x14ac:dyDescent="0.3">
      <c r="A89" s="6">
        <v>2141</v>
      </c>
      <c r="B89" s="6" t="s">
        <v>4029</v>
      </c>
      <c r="C89" s="6" t="s">
        <v>321</v>
      </c>
      <c r="D89" s="6" t="s">
        <v>199</v>
      </c>
      <c r="E89" s="6"/>
      <c r="F89" s="6" t="s">
        <v>4059</v>
      </c>
      <c r="G89" s="6" t="s">
        <v>343</v>
      </c>
      <c r="H89" s="6" t="s">
        <v>344</v>
      </c>
      <c r="I89" s="20" t="s">
        <v>345</v>
      </c>
      <c r="J89" s="6">
        <v>1</v>
      </c>
      <c r="K89" s="6" t="s">
        <v>19</v>
      </c>
      <c r="L89" s="10">
        <v>24.180459187500002</v>
      </c>
      <c r="M89" s="6" t="s">
        <v>33</v>
      </c>
      <c r="N89" s="10">
        <f>Tabla2[[#This Row],[Price]]*Tabla2[[#This Row],[QTY Adjusted]]</f>
        <v>24.180459187500002</v>
      </c>
      <c r="O89" s="10">
        <v>24.180459187500002</v>
      </c>
      <c r="P89" s="10" t="s">
        <v>4225</v>
      </c>
      <c r="Q89" s="6" t="s">
        <v>4245</v>
      </c>
    </row>
    <row r="90" spans="1:17" ht="42" customHeight="1" x14ac:dyDescent="0.3">
      <c r="A90" s="6">
        <v>2143</v>
      </c>
      <c r="B90" s="6" t="s">
        <v>4029</v>
      </c>
      <c r="C90" s="6" t="s">
        <v>228</v>
      </c>
      <c r="D90" s="6" t="s">
        <v>44</v>
      </c>
      <c r="E90" s="6"/>
      <c r="F90" s="6" t="s">
        <v>4059</v>
      </c>
      <c r="G90" s="6" t="s">
        <v>349</v>
      </c>
      <c r="H90" s="6" t="s">
        <v>350</v>
      </c>
      <c r="I90" s="20" t="s">
        <v>351</v>
      </c>
      <c r="J90" s="6">
        <v>2</v>
      </c>
      <c r="K90" s="6" t="s">
        <v>19</v>
      </c>
      <c r="L90" s="10">
        <v>9.8800000000000008</v>
      </c>
      <c r="M90" s="6" t="s">
        <v>33</v>
      </c>
      <c r="N90" s="10">
        <f>Tabla2[[#This Row],[Price]]*Tabla2[[#This Row],[QTY Adjusted]]</f>
        <v>19.760000000000002</v>
      </c>
      <c r="O90" s="10">
        <v>19.760000000000002</v>
      </c>
      <c r="P90" s="10" t="s">
        <v>4218</v>
      </c>
      <c r="Q90" s="6" t="s">
        <v>4245</v>
      </c>
    </row>
    <row r="91" spans="1:17" ht="42" customHeight="1" x14ac:dyDescent="0.3">
      <c r="A91" s="6">
        <v>2152</v>
      </c>
      <c r="B91" s="6" t="s">
        <v>4029</v>
      </c>
      <c r="C91" s="6" t="s">
        <v>92</v>
      </c>
      <c r="D91" s="6" t="s">
        <v>93</v>
      </c>
      <c r="E91" s="6"/>
      <c r="F91" s="6" t="s">
        <v>4059</v>
      </c>
      <c r="G91" s="6" t="s">
        <v>377</v>
      </c>
      <c r="H91" s="6" t="s">
        <v>373</v>
      </c>
      <c r="I91" s="20" t="s">
        <v>378</v>
      </c>
      <c r="J91" s="6">
        <v>2</v>
      </c>
      <c r="K91" s="6" t="s">
        <v>19</v>
      </c>
      <c r="L91" s="10">
        <v>9.2200000000000006</v>
      </c>
      <c r="M91" s="6" t="s">
        <v>33</v>
      </c>
      <c r="N91" s="10">
        <f>Tabla2[[#This Row],[Price]]*Tabla2[[#This Row],[QTY Adjusted]]</f>
        <v>18.440000000000001</v>
      </c>
      <c r="O91" s="10">
        <v>18.440000000000001</v>
      </c>
      <c r="P91" s="10" t="s">
        <v>4225</v>
      </c>
      <c r="Q91" s="6" t="s">
        <v>4245</v>
      </c>
    </row>
    <row r="92" spans="1:17" ht="42" customHeight="1" x14ac:dyDescent="0.3">
      <c r="A92" s="6">
        <v>2127</v>
      </c>
      <c r="B92" s="6" t="s">
        <v>4029</v>
      </c>
      <c r="C92" s="6" t="s">
        <v>228</v>
      </c>
      <c r="D92" s="6" t="s">
        <v>44</v>
      </c>
      <c r="E92" s="6"/>
      <c r="F92" s="6" t="s">
        <v>4059</v>
      </c>
      <c r="G92" s="6" t="s">
        <v>297</v>
      </c>
      <c r="H92" s="6" t="s">
        <v>298</v>
      </c>
      <c r="I92" s="20" t="s">
        <v>299</v>
      </c>
      <c r="J92" s="6">
        <v>2</v>
      </c>
      <c r="K92" s="6" t="s">
        <v>19</v>
      </c>
      <c r="L92" s="10">
        <v>9.07</v>
      </c>
      <c r="M92" s="6" t="s">
        <v>33</v>
      </c>
      <c r="N92" s="10">
        <f>Tabla2[[#This Row],[Price]]*Tabla2[[#This Row],[QTY Adjusted]]</f>
        <v>18.14</v>
      </c>
      <c r="O92" s="10">
        <v>18.14</v>
      </c>
      <c r="P92" s="22" t="s">
        <v>4225</v>
      </c>
      <c r="Q92" s="6" t="s">
        <v>4245</v>
      </c>
    </row>
    <row r="93" spans="1:17" ht="42" customHeight="1" x14ac:dyDescent="0.3">
      <c r="A93" s="6">
        <v>2103</v>
      </c>
      <c r="B93" s="6" t="s">
        <v>4029</v>
      </c>
      <c r="C93" s="6" t="s">
        <v>228</v>
      </c>
      <c r="D93" s="6" t="s">
        <v>44</v>
      </c>
      <c r="E93" s="6"/>
      <c r="F93" s="6" t="s">
        <v>4059</v>
      </c>
      <c r="G93" s="6" t="s">
        <v>229</v>
      </c>
      <c r="H93" s="6" t="s">
        <v>230</v>
      </c>
      <c r="I93" s="20" t="s">
        <v>231</v>
      </c>
      <c r="J93" s="6">
        <v>2</v>
      </c>
      <c r="K93" s="6" t="s">
        <v>19</v>
      </c>
      <c r="L93" s="10">
        <v>8.9600000000000009</v>
      </c>
      <c r="M93" s="6" t="s">
        <v>33</v>
      </c>
      <c r="N93" s="10">
        <f>Tabla2[[#This Row],[Price]]*Tabla2[[#This Row],[QTY Adjusted]]</f>
        <v>17.920000000000002</v>
      </c>
      <c r="O93" s="10">
        <v>17.920000000000002</v>
      </c>
      <c r="P93" s="22" t="s">
        <v>4225</v>
      </c>
      <c r="Q93" s="6" t="s">
        <v>4245</v>
      </c>
    </row>
    <row r="94" spans="1:17" ht="42" customHeight="1" x14ac:dyDescent="0.3">
      <c r="A94" s="6">
        <v>2128</v>
      </c>
      <c r="B94" s="6" t="s">
        <v>4029</v>
      </c>
      <c r="C94" s="6" t="s">
        <v>228</v>
      </c>
      <c r="D94" s="6" t="s">
        <v>44</v>
      </c>
      <c r="E94" s="6"/>
      <c r="F94" s="6" t="s">
        <v>4059</v>
      </c>
      <c r="G94" s="6" t="s">
        <v>300</v>
      </c>
      <c r="H94" s="6" t="s">
        <v>301</v>
      </c>
      <c r="I94" s="20" t="s">
        <v>302</v>
      </c>
      <c r="J94" s="6">
        <v>4</v>
      </c>
      <c r="K94" s="6" t="s">
        <v>19</v>
      </c>
      <c r="L94" s="10">
        <v>3.99</v>
      </c>
      <c r="M94" s="6" t="s">
        <v>33</v>
      </c>
      <c r="N94" s="10">
        <f>Tabla2[[#This Row],[Price]]*Tabla2[[#This Row],[QTY Adjusted]]</f>
        <v>15.96</v>
      </c>
      <c r="O94" s="10">
        <v>15.96</v>
      </c>
      <c r="P94" s="22" t="s">
        <v>4225</v>
      </c>
      <c r="Q94" s="6" t="s">
        <v>4245</v>
      </c>
    </row>
    <row r="95" spans="1:17" ht="42" customHeight="1" x14ac:dyDescent="0.3">
      <c r="A95" s="6">
        <v>2154</v>
      </c>
      <c r="B95" s="6" t="s">
        <v>4029</v>
      </c>
      <c r="C95" s="6" t="s">
        <v>329</v>
      </c>
      <c r="D95" s="6" t="s">
        <v>93</v>
      </c>
      <c r="E95" s="6"/>
      <c r="F95" s="6" t="s">
        <v>4059</v>
      </c>
      <c r="G95" s="6" t="s">
        <v>382</v>
      </c>
      <c r="H95" s="6" t="s">
        <v>383</v>
      </c>
      <c r="I95" s="20" t="s">
        <v>384</v>
      </c>
      <c r="J95" s="6">
        <v>1</v>
      </c>
      <c r="K95" s="6" t="s">
        <v>19</v>
      </c>
      <c r="L95" s="10">
        <v>13.11</v>
      </c>
      <c r="M95" s="6" t="s">
        <v>33</v>
      </c>
      <c r="N95" s="10">
        <f>Tabla2[[#This Row],[Price]]*Tabla2[[#This Row],[QTY Adjusted]]</f>
        <v>13.11</v>
      </c>
      <c r="O95" s="10">
        <v>13.11</v>
      </c>
      <c r="P95" s="10" t="s">
        <v>4225</v>
      </c>
      <c r="Q95" s="6" t="s">
        <v>4245</v>
      </c>
    </row>
    <row r="96" spans="1:17" ht="42" customHeight="1" x14ac:dyDescent="0.3">
      <c r="A96" s="6">
        <v>2150</v>
      </c>
      <c r="B96" s="6" t="s">
        <v>4029</v>
      </c>
      <c r="C96" s="6" t="s">
        <v>371</v>
      </c>
      <c r="D96" s="6" t="s">
        <v>371</v>
      </c>
      <c r="E96" s="6"/>
      <c r="F96" s="6" t="s">
        <v>4059</v>
      </c>
      <c r="G96" s="6" t="s">
        <v>372</v>
      </c>
      <c r="H96" s="6" t="s">
        <v>373</v>
      </c>
      <c r="I96" s="20" t="s">
        <v>374</v>
      </c>
      <c r="J96" s="6">
        <v>2</v>
      </c>
      <c r="K96" s="6" t="s">
        <v>19</v>
      </c>
      <c r="L96" s="10">
        <v>6.5</v>
      </c>
      <c r="M96" s="6" t="s">
        <v>33</v>
      </c>
      <c r="N96" s="10">
        <f>Tabla2[[#This Row],[Price]]*Tabla2[[#This Row],[QTY Adjusted]]</f>
        <v>13</v>
      </c>
      <c r="O96" s="10">
        <v>13</v>
      </c>
      <c r="P96" s="10" t="s">
        <v>4243</v>
      </c>
      <c r="Q96" s="6" t="s">
        <v>4245</v>
      </c>
    </row>
    <row r="97" spans="1:17" ht="42" customHeight="1" x14ac:dyDescent="0.3">
      <c r="A97" s="6">
        <v>2148</v>
      </c>
      <c r="B97" s="6" t="s">
        <v>4029</v>
      </c>
      <c r="C97" s="6" t="s">
        <v>329</v>
      </c>
      <c r="D97" s="6" t="s">
        <v>93</v>
      </c>
      <c r="E97" s="6"/>
      <c r="F97" s="6" t="s">
        <v>4059</v>
      </c>
      <c r="G97" s="6" t="s">
        <v>366</v>
      </c>
      <c r="H97" s="6" t="s">
        <v>367</v>
      </c>
      <c r="I97" s="20" t="s">
        <v>368</v>
      </c>
      <c r="J97" s="6">
        <v>3</v>
      </c>
      <c r="K97" s="6" t="s">
        <v>19</v>
      </c>
      <c r="L97" s="10">
        <v>4.28</v>
      </c>
      <c r="M97" s="6" t="s">
        <v>33</v>
      </c>
      <c r="N97" s="10">
        <f>Tabla2[[#This Row],[Price]]*Tabla2[[#This Row],[QTY Adjusted]]</f>
        <v>12.84</v>
      </c>
      <c r="O97" s="10">
        <v>12.84</v>
      </c>
      <c r="P97" s="10" t="s">
        <v>4225</v>
      </c>
      <c r="Q97" s="6" t="s">
        <v>4245</v>
      </c>
    </row>
    <row r="98" spans="1:17" ht="42" customHeight="1" x14ac:dyDescent="0.3">
      <c r="A98" s="6">
        <v>2146</v>
      </c>
      <c r="B98" s="6" t="s">
        <v>4029</v>
      </c>
      <c r="C98" s="6" t="s">
        <v>357</v>
      </c>
      <c r="D98" s="6" t="s">
        <v>93</v>
      </c>
      <c r="E98" s="6"/>
      <c r="F98" s="6" t="s">
        <v>4059</v>
      </c>
      <c r="G98" s="6" t="s">
        <v>358</v>
      </c>
      <c r="H98" s="6" t="s">
        <v>359</v>
      </c>
      <c r="I98" s="20" t="s">
        <v>360</v>
      </c>
      <c r="J98" s="6">
        <v>1</v>
      </c>
      <c r="K98" s="6" t="s">
        <v>19</v>
      </c>
      <c r="L98" s="10">
        <v>9.5299999999999994</v>
      </c>
      <c r="M98" s="6" t="s">
        <v>33</v>
      </c>
      <c r="N98" s="10">
        <f>Tabla2[[#This Row],[Price]]*Tabla2[[#This Row],[QTY Adjusted]]</f>
        <v>9.5299999999999994</v>
      </c>
      <c r="O98" s="10">
        <v>9.5299999999999994</v>
      </c>
      <c r="P98" s="10" t="s">
        <v>4225</v>
      </c>
      <c r="Q98" s="6" t="s">
        <v>4245</v>
      </c>
    </row>
    <row r="99" spans="1:17" ht="42" customHeight="1" x14ac:dyDescent="0.3">
      <c r="A99" s="6">
        <v>2104</v>
      </c>
      <c r="B99" s="6" t="s">
        <v>4029</v>
      </c>
      <c r="C99" s="6" t="s">
        <v>232</v>
      </c>
      <c r="D99" s="6" t="s">
        <v>233</v>
      </c>
      <c r="E99" s="6"/>
      <c r="F99" s="6" t="s">
        <v>4059</v>
      </c>
      <c r="G99" s="6" t="s">
        <v>234</v>
      </c>
      <c r="H99" s="6" t="s">
        <v>742</v>
      </c>
      <c r="I99" s="20" t="s">
        <v>236</v>
      </c>
      <c r="J99" s="6">
        <v>2</v>
      </c>
      <c r="K99" s="6" t="s">
        <v>19</v>
      </c>
      <c r="L99" s="10">
        <v>4.71</v>
      </c>
      <c r="M99" s="6" t="s">
        <v>33</v>
      </c>
      <c r="N99" s="10">
        <f>Tabla2[[#This Row],[Price]]*Tabla2[[#This Row],[QTY Adjusted]]</f>
        <v>9.42</v>
      </c>
      <c r="O99" s="10">
        <v>9.42</v>
      </c>
      <c r="P99" s="10" t="s">
        <v>4239</v>
      </c>
      <c r="Q99" s="6" t="s">
        <v>4245</v>
      </c>
    </row>
    <row r="100" spans="1:17" ht="42" customHeight="1" x14ac:dyDescent="0.3">
      <c r="A100" s="6">
        <v>2144</v>
      </c>
      <c r="B100" s="6" t="s">
        <v>4029</v>
      </c>
      <c r="C100" s="6" t="s">
        <v>329</v>
      </c>
      <c r="D100" s="6" t="s">
        <v>93</v>
      </c>
      <c r="E100" s="6"/>
      <c r="F100" s="6" t="s">
        <v>4059</v>
      </c>
      <c r="G100" s="6" t="s">
        <v>352</v>
      </c>
      <c r="H100" s="6" t="s">
        <v>353</v>
      </c>
      <c r="I100" s="20" t="s">
        <v>354</v>
      </c>
      <c r="J100" s="6">
        <v>1</v>
      </c>
      <c r="K100" s="6" t="s">
        <v>19</v>
      </c>
      <c r="L100" s="10">
        <v>8.93</v>
      </c>
      <c r="M100" s="6" t="s">
        <v>33</v>
      </c>
      <c r="N100" s="10">
        <f>Tabla2[[#This Row],[Price]]*Tabla2[[#This Row],[QTY Adjusted]]</f>
        <v>8.93</v>
      </c>
      <c r="O100" s="10">
        <v>8.93</v>
      </c>
      <c r="P100" s="10" t="s">
        <v>4225</v>
      </c>
      <c r="Q100" s="6" t="s">
        <v>4245</v>
      </c>
    </row>
    <row r="101" spans="1:17" ht="42" customHeight="1" x14ac:dyDescent="0.3">
      <c r="A101" s="6">
        <v>2153</v>
      </c>
      <c r="B101" s="6" t="s">
        <v>4029</v>
      </c>
      <c r="C101" s="6" t="s">
        <v>314</v>
      </c>
      <c r="D101" s="6" t="s">
        <v>93</v>
      </c>
      <c r="E101" s="6"/>
      <c r="F101" s="6" t="s">
        <v>4059</v>
      </c>
      <c r="G101" s="6" t="s">
        <v>379</v>
      </c>
      <c r="H101" s="6" t="s">
        <v>380</v>
      </c>
      <c r="I101" s="20" t="s">
        <v>381</v>
      </c>
      <c r="J101" s="6">
        <v>2</v>
      </c>
      <c r="K101" s="6" t="s">
        <v>19</v>
      </c>
      <c r="L101" s="10">
        <v>4.4000000000000004</v>
      </c>
      <c r="M101" s="6" t="s">
        <v>33</v>
      </c>
      <c r="N101" s="10">
        <f>Tabla2[[#This Row],[Price]]*Tabla2[[#This Row],[QTY Adjusted]]</f>
        <v>8.8000000000000007</v>
      </c>
      <c r="O101" s="10">
        <v>8.8000000000000007</v>
      </c>
      <c r="P101" s="10" t="s">
        <v>4225</v>
      </c>
      <c r="Q101" s="6" t="s">
        <v>4245</v>
      </c>
    </row>
    <row r="102" spans="1:17" ht="42" customHeight="1" x14ac:dyDescent="0.3">
      <c r="A102" s="6">
        <v>2129</v>
      </c>
      <c r="B102" s="6" t="s">
        <v>4029</v>
      </c>
      <c r="C102" s="6" t="s">
        <v>321</v>
      </c>
      <c r="D102" s="6" t="s">
        <v>199</v>
      </c>
      <c r="E102" s="6"/>
      <c r="F102" s="6" t="s">
        <v>4059</v>
      </c>
      <c r="G102" s="6" t="s">
        <v>766</v>
      </c>
      <c r="H102" s="6" t="s">
        <v>304</v>
      </c>
      <c r="I102" s="20" t="s">
        <v>1367</v>
      </c>
      <c r="J102" s="6">
        <v>1</v>
      </c>
      <c r="K102" s="6" t="s">
        <v>19</v>
      </c>
      <c r="L102" s="10">
        <v>6.3079458750000006</v>
      </c>
      <c r="M102" s="6" t="s">
        <v>33</v>
      </c>
      <c r="N102" s="10">
        <f>Tabla2[[#This Row],[Price]]*Tabla2[[#This Row],[QTY Adjusted]]</f>
        <v>6.3079458750000006</v>
      </c>
      <c r="O102" s="10">
        <v>6.3079458750000006</v>
      </c>
      <c r="P102" s="10" t="s">
        <v>4225</v>
      </c>
      <c r="Q102" s="6" t="s">
        <v>4245</v>
      </c>
    </row>
    <row r="103" spans="1:17" ht="42" customHeight="1" x14ac:dyDescent="0.3">
      <c r="A103" s="6">
        <v>2151</v>
      </c>
      <c r="B103" s="6" t="s">
        <v>4029</v>
      </c>
      <c r="C103" s="6" t="s">
        <v>371</v>
      </c>
      <c r="D103" s="6" t="s">
        <v>371</v>
      </c>
      <c r="E103" s="6"/>
      <c r="F103" s="6" t="s">
        <v>4059</v>
      </c>
      <c r="G103" s="6" t="s">
        <v>375</v>
      </c>
      <c r="H103" s="6" t="s">
        <v>373</v>
      </c>
      <c r="I103" s="20" t="s">
        <v>376</v>
      </c>
      <c r="J103" s="6">
        <v>2</v>
      </c>
      <c r="K103" s="6" t="s">
        <v>19</v>
      </c>
      <c r="L103" s="10">
        <v>3</v>
      </c>
      <c r="M103" s="6" t="s">
        <v>33</v>
      </c>
      <c r="N103" s="10">
        <f>Tabla2[[#This Row],[Price]]*Tabla2[[#This Row],[QTY Adjusted]]</f>
        <v>6</v>
      </c>
      <c r="O103" s="10">
        <v>6</v>
      </c>
      <c r="P103" s="10" t="s">
        <v>4243</v>
      </c>
      <c r="Q103" s="6" t="s">
        <v>4245</v>
      </c>
    </row>
    <row r="104" spans="1:17" ht="42" customHeight="1" x14ac:dyDescent="0.3">
      <c r="A104" s="6">
        <v>2155</v>
      </c>
      <c r="B104" s="6" t="s">
        <v>4029</v>
      </c>
      <c r="C104" s="6" t="s">
        <v>92</v>
      </c>
      <c r="D104" s="6" t="s">
        <v>93</v>
      </c>
      <c r="E104" s="6"/>
      <c r="F104" s="6" t="s">
        <v>4059</v>
      </c>
      <c r="G104" s="6" t="s">
        <v>385</v>
      </c>
      <c r="H104" s="6" t="s">
        <v>386</v>
      </c>
      <c r="I104" s="20" t="s">
        <v>387</v>
      </c>
      <c r="J104" s="6">
        <v>2</v>
      </c>
      <c r="K104" s="6" t="s">
        <v>19</v>
      </c>
      <c r="L104" s="10">
        <v>2.85</v>
      </c>
      <c r="M104" s="6" t="s">
        <v>33</v>
      </c>
      <c r="N104" s="10">
        <f>Tabla2[[#This Row],[Price]]*Tabla2[[#This Row],[QTY Adjusted]]</f>
        <v>5.7</v>
      </c>
      <c r="O104" s="10">
        <v>5.7</v>
      </c>
      <c r="P104" s="10" t="s">
        <v>4225</v>
      </c>
      <c r="Q104" s="6" t="s">
        <v>4245</v>
      </c>
    </row>
    <row r="105" spans="1:17" ht="42" customHeight="1" x14ac:dyDescent="0.3">
      <c r="A105" s="6">
        <v>2133</v>
      </c>
      <c r="B105" s="6" t="s">
        <v>4029</v>
      </c>
      <c r="C105" s="6" t="s">
        <v>314</v>
      </c>
      <c r="D105" s="6" t="s">
        <v>93</v>
      </c>
      <c r="E105" s="6"/>
      <c r="F105" s="6" t="s">
        <v>4059</v>
      </c>
      <c r="G105" s="6" t="s">
        <v>318</v>
      </c>
      <c r="H105" s="6" t="s">
        <v>319</v>
      </c>
      <c r="I105" s="20" t="s">
        <v>320</v>
      </c>
      <c r="J105" s="6">
        <v>3</v>
      </c>
      <c r="K105" s="6" t="s">
        <v>19</v>
      </c>
      <c r="L105" s="10">
        <v>1.63</v>
      </c>
      <c r="M105" s="6" t="s">
        <v>33</v>
      </c>
      <c r="N105" s="10">
        <f>Tabla2[[#This Row],[Price]]*Tabla2[[#This Row],[QTY Adjusted]]</f>
        <v>4.8899999999999997</v>
      </c>
      <c r="O105" s="10">
        <v>4.8899999999999997</v>
      </c>
      <c r="P105" s="10" t="s">
        <v>4228</v>
      </c>
      <c r="Q105" s="6" t="s">
        <v>4245</v>
      </c>
    </row>
    <row r="106" spans="1:17" ht="42" customHeight="1" x14ac:dyDescent="0.3">
      <c r="A106" s="6">
        <v>2136</v>
      </c>
      <c r="B106" s="6" t="s">
        <v>4029</v>
      </c>
      <c r="C106" s="6" t="s">
        <v>329</v>
      </c>
      <c r="D106" s="6" t="s">
        <v>93</v>
      </c>
      <c r="E106" s="6"/>
      <c r="F106" s="6" t="s">
        <v>4059</v>
      </c>
      <c r="G106" s="6" t="s">
        <v>330</v>
      </c>
      <c r="H106" s="6" t="s">
        <v>331</v>
      </c>
      <c r="I106" s="20" t="s">
        <v>332</v>
      </c>
      <c r="J106" s="6">
        <v>1</v>
      </c>
      <c r="K106" s="6" t="s">
        <v>19</v>
      </c>
      <c r="L106" s="10">
        <v>2.0499999999999998</v>
      </c>
      <c r="M106" s="6" t="s">
        <v>33</v>
      </c>
      <c r="N106" s="10">
        <f>Tabla2[[#This Row],[Price]]*Tabla2[[#This Row],[QTY Adjusted]]</f>
        <v>2.0499999999999998</v>
      </c>
      <c r="O106" s="10">
        <v>2.0499999999999998</v>
      </c>
      <c r="P106" s="10" t="s">
        <v>4225</v>
      </c>
      <c r="Q106" s="6">
        <v>0</v>
      </c>
    </row>
    <row r="107" spans="1:17" ht="42" customHeight="1" x14ac:dyDescent="0.3">
      <c r="A107" s="6">
        <v>2131</v>
      </c>
      <c r="B107" s="6" t="s">
        <v>4029</v>
      </c>
      <c r="C107" s="6" t="s">
        <v>309</v>
      </c>
      <c r="D107" s="6" t="s">
        <v>199</v>
      </c>
      <c r="E107" s="6"/>
      <c r="F107" s="6" t="s">
        <v>4059</v>
      </c>
      <c r="G107" s="6" t="s">
        <v>311</v>
      </c>
      <c r="H107" s="6" t="s">
        <v>312</v>
      </c>
      <c r="I107" s="20" t="s">
        <v>313</v>
      </c>
      <c r="J107" s="6">
        <v>1</v>
      </c>
      <c r="K107" s="6" t="s">
        <v>19</v>
      </c>
      <c r="L107" s="10">
        <v>0</v>
      </c>
      <c r="M107" s="6" t="s">
        <v>33</v>
      </c>
      <c r="N107" s="10">
        <f>Tabla2[[#This Row],[Price]]*Tabla2[[#This Row],[QTY Adjusted]]</f>
        <v>0</v>
      </c>
      <c r="O107" s="10">
        <v>0</v>
      </c>
      <c r="P107" s="28" t="s">
        <v>4242</v>
      </c>
      <c r="Q107" s="6">
        <v>0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5A56-DD45-4C40-8F08-E2346C680D69}">
  <dimension ref="A1:Q272"/>
  <sheetViews>
    <sheetView showGridLines="0" topLeftCell="I2" zoomScale="70" zoomScaleNormal="70" workbookViewId="0">
      <selection activeCell="P6" sqref="P6"/>
    </sheetView>
  </sheetViews>
  <sheetFormatPr baseColWidth="10" defaultColWidth="11.44140625" defaultRowHeight="14.4" x14ac:dyDescent="0.3"/>
  <cols>
    <col min="2" max="3" width="11.5546875" customWidth="1"/>
    <col min="4" max="4" width="26.88671875" bestFit="1" customWidth="1"/>
    <col min="5" max="5" width="48.109375" customWidth="1"/>
    <col min="6" max="6" width="14" customWidth="1"/>
    <col min="7" max="7" width="18.33203125" customWidth="1"/>
    <col min="8" max="8" width="50.88671875" customWidth="1"/>
    <col min="9" max="9" width="54" customWidth="1"/>
    <col min="10" max="10" width="14.33203125" customWidth="1"/>
    <col min="11" max="11" width="11.5546875" customWidth="1"/>
    <col min="12" max="12" width="15" customWidth="1"/>
    <col min="13" max="13" width="11.5546875" customWidth="1"/>
    <col min="14" max="14" width="14" customWidth="1"/>
    <col min="15" max="15" width="20.6640625" bestFit="1" customWidth="1"/>
    <col min="16" max="16" width="31.33203125" style="19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s="19" t="s">
        <v>4214</v>
      </c>
      <c r="Q2" t="s">
        <v>4247</v>
      </c>
    </row>
    <row r="3" spans="1:17" ht="40.200000000000003" customHeight="1" x14ac:dyDescent="0.3">
      <c r="A3" s="5">
        <v>1290</v>
      </c>
      <c r="B3" s="5" t="s">
        <v>1972</v>
      </c>
      <c r="C3" s="5" t="s">
        <v>990</v>
      </c>
      <c r="D3" s="17" t="s">
        <v>44</v>
      </c>
      <c r="E3" s="5" t="s">
        <v>2258</v>
      </c>
      <c r="F3" s="5" t="s">
        <v>4059</v>
      </c>
      <c r="G3" s="5" t="s">
        <v>2274</v>
      </c>
      <c r="H3" s="5" t="s">
        <v>2275</v>
      </c>
      <c r="I3" s="5" t="s">
        <v>2276</v>
      </c>
      <c r="J3" s="5">
        <v>12</v>
      </c>
      <c r="K3" s="5" t="s">
        <v>19</v>
      </c>
      <c r="L3" s="11">
        <v>1453.136718434972</v>
      </c>
      <c r="M3" s="5" t="s">
        <v>33</v>
      </c>
      <c r="N3" s="11">
        <f>Tabla3[[#This Row],[Price]]*Tabla3[[#This Row],[QTY Adjusted]]</f>
        <v>17437.640621219663</v>
      </c>
      <c r="O3" s="15">
        <v>8775.84</v>
      </c>
      <c r="P3" s="21" t="s">
        <v>4225</v>
      </c>
      <c r="Q3" s="6">
        <v>0</v>
      </c>
    </row>
    <row r="4" spans="1:17" ht="40.200000000000003" customHeight="1" x14ac:dyDescent="0.3">
      <c r="A4" s="5">
        <v>1281</v>
      </c>
      <c r="B4" s="5" t="s">
        <v>1972</v>
      </c>
      <c r="C4" s="5" t="s">
        <v>2229</v>
      </c>
      <c r="D4" s="5" t="s">
        <v>718</v>
      </c>
      <c r="E4" s="5" t="s">
        <v>2230</v>
      </c>
      <c r="F4" s="5" t="s">
        <v>4060</v>
      </c>
      <c r="G4" s="5">
        <v>4383</v>
      </c>
      <c r="H4" s="5" t="s">
        <v>2253</v>
      </c>
      <c r="I4" s="5" t="s">
        <v>2254</v>
      </c>
      <c r="J4" s="5">
        <v>87</v>
      </c>
      <c r="K4" s="5" t="s">
        <v>19</v>
      </c>
      <c r="L4" s="11">
        <v>162.30000000000001</v>
      </c>
      <c r="M4" s="5" t="s">
        <v>33</v>
      </c>
      <c r="N4" s="11">
        <f>Tabla3[[#This Row],[Price]]*Tabla3[[#This Row],[QTY Adjusted]]</f>
        <v>14120.1</v>
      </c>
      <c r="O4" s="11">
        <v>14120.1</v>
      </c>
      <c r="P4" s="21" t="s">
        <v>4238</v>
      </c>
      <c r="Q4" s="6">
        <v>0</v>
      </c>
    </row>
    <row r="5" spans="1:17" ht="40.200000000000003" customHeight="1" x14ac:dyDescent="0.3">
      <c r="A5" s="5">
        <v>1262</v>
      </c>
      <c r="B5" s="5" t="s">
        <v>1972</v>
      </c>
      <c r="C5" s="5" t="s">
        <v>990</v>
      </c>
      <c r="D5" s="5" t="s">
        <v>130</v>
      </c>
      <c r="E5" s="5" t="s">
        <v>2202</v>
      </c>
      <c r="F5" s="5" t="s">
        <v>4059</v>
      </c>
      <c r="G5" s="5" t="s">
        <v>2210</v>
      </c>
      <c r="H5" s="5" t="s">
        <v>2211</v>
      </c>
      <c r="I5" s="5" t="s">
        <v>2212</v>
      </c>
      <c r="J5" s="5">
        <v>10</v>
      </c>
      <c r="K5" s="5" t="s">
        <v>19</v>
      </c>
      <c r="L5" s="11">
        <v>1621.9920606223327</v>
      </c>
      <c r="M5" s="5" t="s">
        <v>33</v>
      </c>
      <c r="N5" s="11">
        <f>Tabla3[[#This Row],[Price]]*Tabla3[[#This Row],[QTY Adjusted]]</f>
        <v>16219.920606223328</v>
      </c>
      <c r="O5" s="11">
        <v>16219.920606223328</v>
      </c>
      <c r="P5" s="21" t="s">
        <v>4225</v>
      </c>
      <c r="Q5" s="6">
        <v>0</v>
      </c>
    </row>
    <row r="6" spans="1:17" ht="40.200000000000003" customHeight="1" x14ac:dyDescent="0.3">
      <c r="A6" s="5">
        <v>1135</v>
      </c>
      <c r="B6" s="5" t="s">
        <v>1972</v>
      </c>
      <c r="C6" s="5" t="s">
        <v>2003</v>
      </c>
      <c r="D6" s="5" t="s">
        <v>130</v>
      </c>
      <c r="E6" s="5" t="s">
        <v>1972</v>
      </c>
      <c r="F6" s="5" t="s">
        <v>4060</v>
      </c>
      <c r="G6" s="5" t="s">
        <v>2004</v>
      </c>
      <c r="H6" s="5" t="s">
        <v>2005</v>
      </c>
      <c r="I6" s="5" t="s">
        <v>2006</v>
      </c>
      <c r="J6" s="5">
        <v>280</v>
      </c>
      <c r="K6" s="5" t="s">
        <v>19</v>
      </c>
      <c r="L6" s="11">
        <v>75.971918637269923</v>
      </c>
      <c r="M6" s="5" t="s">
        <v>33</v>
      </c>
      <c r="N6" s="11">
        <f>Tabla3[[#This Row],[Price]]*Tabla3[[#This Row],[QTY Adjusted]]</f>
        <v>21272.137218435579</v>
      </c>
      <c r="O6" s="11">
        <v>21272.137218435579</v>
      </c>
      <c r="P6" s="21" t="s">
        <v>4241</v>
      </c>
      <c r="Q6" s="6">
        <v>0</v>
      </c>
    </row>
    <row r="7" spans="1:17" ht="40.200000000000003" customHeight="1" x14ac:dyDescent="0.3">
      <c r="A7" s="5">
        <v>1166</v>
      </c>
      <c r="B7" s="5" t="s">
        <v>1972</v>
      </c>
      <c r="C7" s="5" t="s">
        <v>130</v>
      </c>
      <c r="D7" s="5" t="s">
        <v>130</v>
      </c>
      <c r="E7" s="5" t="s">
        <v>1972</v>
      </c>
      <c r="F7" s="5" t="s">
        <v>4059</v>
      </c>
      <c r="G7" s="5" t="s">
        <v>2037</v>
      </c>
      <c r="H7" s="5" t="s">
        <v>1335</v>
      </c>
      <c r="I7" s="5" t="s">
        <v>2038</v>
      </c>
      <c r="J7" s="5">
        <v>48</v>
      </c>
      <c r="K7" s="5" t="s">
        <v>19</v>
      </c>
      <c r="L7" s="11">
        <v>297.21566375416654</v>
      </c>
      <c r="M7" s="5" t="s">
        <v>33</v>
      </c>
      <c r="N7" s="11">
        <f>Tabla3[[#This Row],[Price]]*Tabla3[[#This Row],[QTY Adjusted]]</f>
        <v>14266.351860199993</v>
      </c>
      <c r="O7" s="11">
        <v>14266.351860199993</v>
      </c>
      <c r="P7" s="21" t="s">
        <v>4225</v>
      </c>
      <c r="Q7" s="6">
        <v>0</v>
      </c>
    </row>
    <row r="8" spans="1:17" ht="40.200000000000003" customHeight="1" x14ac:dyDescent="0.3">
      <c r="A8" s="5">
        <v>1183</v>
      </c>
      <c r="B8" s="5" t="s">
        <v>1972</v>
      </c>
      <c r="C8" s="5" t="s">
        <v>223</v>
      </c>
      <c r="D8" s="17" t="s">
        <v>44</v>
      </c>
      <c r="E8" s="5" t="s">
        <v>1972</v>
      </c>
      <c r="F8" s="5" t="s">
        <v>4059</v>
      </c>
      <c r="G8" s="5" t="s">
        <v>676</v>
      </c>
      <c r="H8" s="5" t="s">
        <v>677</v>
      </c>
      <c r="I8" s="5" t="s">
        <v>678</v>
      </c>
      <c r="J8" s="5">
        <v>24</v>
      </c>
      <c r="K8" s="5" t="s">
        <v>19</v>
      </c>
      <c r="L8" s="11">
        <v>545.60766750000005</v>
      </c>
      <c r="M8" s="5" t="s">
        <v>33</v>
      </c>
      <c r="N8" s="11">
        <f>Tabla3[[#This Row],[Price]]*Tabla3[[#This Row],[QTY Adjusted]]</f>
        <v>13094.584020000002</v>
      </c>
      <c r="O8" s="15">
        <v>2778.2400000000002</v>
      </c>
      <c r="P8" s="23">
        <v>46096</v>
      </c>
      <c r="Q8" s="6">
        <v>0</v>
      </c>
    </row>
    <row r="9" spans="1:17" ht="40.200000000000003" customHeight="1" x14ac:dyDescent="0.3">
      <c r="A9" s="5">
        <v>1277</v>
      </c>
      <c r="B9" s="5" t="s">
        <v>1972</v>
      </c>
      <c r="C9" s="5" t="s">
        <v>2229</v>
      </c>
      <c r="D9" s="5" t="s">
        <v>718</v>
      </c>
      <c r="E9" s="5" t="s">
        <v>2230</v>
      </c>
      <c r="F9" s="5" t="s">
        <v>4060</v>
      </c>
      <c r="G9" s="5">
        <v>4381</v>
      </c>
      <c r="H9" s="5" t="s">
        <v>2243</v>
      </c>
      <c r="I9" s="5" t="s">
        <v>2244</v>
      </c>
      <c r="J9" s="5">
        <v>87</v>
      </c>
      <c r="K9" s="5" t="s">
        <v>19</v>
      </c>
      <c r="L9" s="11">
        <v>117</v>
      </c>
      <c r="M9" s="5" t="s">
        <v>33</v>
      </c>
      <c r="N9" s="11">
        <f>Tabla3[[#This Row],[Price]]*Tabla3[[#This Row],[QTY Adjusted]]</f>
        <v>10179</v>
      </c>
      <c r="O9" s="11">
        <v>10179</v>
      </c>
      <c r="P9" s="21" t="s">
        <v>4238</v>
      </c>
      <c r="Q9" s="6">
        <v>0</v>
      </c>
    </row>
    <row r="10" spans="1:17" ht="40.200000000000003" customHeight="1" x14ac:dyDescent="0.3">
      <c r="A10" s="5">
        <v>1151</v>
      </c>
      <c r="B10" s="5" t="s">
        <v>1972</v>
      </c>
      <c r="C10" s="5" t="s">
        <v>1387</v>
      </c>
      <c r="D10" s="5" t="s">
        <v>44</v>
      </c>
      <c r="E10" s="5" t="s">
        <v>1972</v>
      </c>
      <c r="F10" s="5" t="s">
        <v>4060</v>
      </c>
      <c r="G10" s="5" t="s">
        <v>1427</v>
      </c>
      <c r="H10" s="5" t="s">
        <v>1428</v>
      </c>
      <c r="I10" s="5" t="s">
        <v>1429</v>
      </c>
      <c r="J10" s="5">
        <v>792</v>
      </c>
      <c r="K10" s="5" t="s">
        <v>19</v>
      </c>
      <c r="L10" s="11">
        <v>10.584</v>
      </c>
      <c r="M10" s="5" t="s">
        <v>33</v>
      </c>
      <c r="N10" s="11">
        <f>Tabla3[[#This Row],[Price]]*Tabla3[[#This Row],[QTY Adjusted]]</f>
        <v>8382.5280000000002</v>
      </c>
      <c r="O10" s="15">
        <v>2970</v>
      </c>
      <c r="P10" s="23">
        <v>46101</v>
      </c>
      <c r="Q10" s="6">
        <v>0</v>
      </c>
    </row>
    <row r="11" spans="1:17" ht="40.200000000000003" customHeight="1" x14ac:dyDescent="0.3">
      <c r="A11" s="5">
        <v>1291</v>
      </c>
      <c r="B11" s="5" t="s">
        <v>1972</v>
      </c>
      <c r="C11" s="5" t="s">
        <v>990</v>
      </c>
      <c r="D11" s="17" t="s">
        <v>44</v>
      </c>
      <c r="E11" s="5" t="s">
        <v>2258</v>
      </c>
      <c r="F11" s="5" t="s">
        <v>4059</v>
      </c>
      <c r="G11" s="5" t="s">
        <v>2277</v>
      </c>
      <c r="H11" s="5" t="s">
        <v>2278</v>
      </c>
      <c r="I11" s="5" t="s">
        <v>2279</v>
      </c>
      <c r="J11" s="5">
        <v>8</v>
      </c>
      <c r="K11" s="5" t="s">
        <v>19</v>
      </c>
      <c r="L11" s="11">
        <v>1216.1006658357603</v>
      </c>
      <c r="M11" s="5" t="s">
        <v>33</v>
      </c>
      <c r="N11" s="11">
        <f>Tabla3[[#This Row],[Price]]*Tabla3[[#This Row],[QTY Adjusted]]</f>
        <v>9728.8053266860825</v>
      </c>
      <c r="O11" s="15">
        <v>4142.96</v>
      </c>
      <c r="P11" s="23">
        <v>46096</v>
      </c>
      <c r="Q11" s="6">
        <v>0</v>
      </c>
    </row>
    <row r="12" spans="1:17" ht="40.200000000000003" customHeight="1" x14ac:dyDescent="0.3">
      <c r="A12" s="5">
        <v>1267</v>
      </c>
      <c r="B12" s="5" t="s">
        <v>1972</v>
      </c>
      <c r="C12" s="5" t="s">
        <v>43</v>
      </c>
      <c r="D12" s="5" t="s">
        <v>44</v>
      </c>
      <c r="E12" s="5" t="s">
        <v>2202</v>
      </c>
      <c r="F12" s="5" t="s">
        <v>4059</v>
      </c>
      <c r="G12" s="5">
        <v>660143</v>
      </c>
      <c r="H12" s="5" t="s">
        <v>2222</v>
      </c>
      <c r="I12" s="5" t="s">
        <v>2223</v>
      </c>
      <c r="J12" s="5">
        <v>34</v>
      </c>
      <c r="K12" s="5" t="s">
        <v>19</v>
      </c>
      <c r="L12" s="11">
        <v>275.565</v>
      </c>
      <c r="M12" s="5" t="s">
        <v>33</v>
      </c>
      <c r="N12" s="11">
        <f>Tabla3[[#This Row],[Price]]*Tabla3[[#This Row],[QTY Adjusted]]</f>
        <v>9369.2099999999991</v>
      </c>
      <c r="O12" s="11">
        <v>9369.2099999999991</v>
      </c>
      <c r="P12" s="23">
        <v>46101</v>
      </c>
      <c r="Q12" s="6">
        <v>0</v>
      </c>
    </row>
    <row r="13" spans="1:17" ht="40.200000000000003" customHeight="1" x14ac:dyDescent="0.3">
      <c r="A13" s="5">
        <v>1131</v>
      </c>
      <c r="B13" s="5" t="s">
        <v>1972</v>
      </c>
      <c r="C13" s="5" t="s">
        <v>219</v>
      </c>
      <c r="D13" s="5" t="s">
        <v>44</v>
      </c>
      <c r="E13" s="5" t="s">
        <v>1972</v>
      </c>
      <c r="F13" s="5" t="s">
        <v>4063</v>
      </c>
      <c r="G13" s="5">
        <v>1170500001</v>
      </c>
      <c r="H13" s="5" t="s">
        <v>64</v>
      </c>
      <c r="I13" s="5" t="s">
        <v>1999</v>
      </c>
      <c r="J13" s="5">
        <v>792</v>
      </c>
      <c r="K13" s="5" t="s">
        <v>19</v>
      </c>
      <c r="L13" s="11">
        <v>9.9659999999999993</v>
      </c>
      <c r="M13" s="5" t="s">
        <v>33</v>
      </c>
      <c r="N13" s="11">
        <f>Tabla3[[#This Row],[Price]]*Tabla3[[#This Row],[QTY Adjusted]]</f>
        <v>7893.0719999999992</v>
      </c>
      <c r="O13" s="11">
        <v>7893.0719999999992</v>
      </c>
      <c r="P13" s="23">
        <v>46096</v>
      </c>
      <c r="Q13" s="6">
        <v>0</v>
      </c>
    </row>
    <row r="14" spans="1:17" ht="40.200000000000003" customHeight="1" x14ac:dyDescent="0.3">
      <c r="A14" s="5">
        <v>1132</v>
      </c>
      <c r="B14" s="5" t="s">
        <v>1972</v>
      </c>
      <c r="C14" s="5" t="s">
        <v>219</v>
      </c>
      <c r="D14" s="5" t="s">
        <v>44</v>
      </c>
      <c r="E14" s="5" t="s">
        <v>1972</v>
      </c>
      <c r="F14" s="5" t="s">
        <v>4063</v>
      </c>
      <c r="G14" s="5">
        <v>1170500002</v>
      </c>
      <c r="H14" s="5" t="s">
        <v>67</v>
      </c>
      <c r="I14" s="5" t="s">
        <v>2000</v>
      </c>
      <c r="J14" s="5">
        <v>792</v>
      </c>
      <c r="K14" s="5" t="s">
        <v>19</v>
      </c>
      <c r="L14" s="11">
        <v>9.9659999999999993</v>
      </c>
      <c r="M14" s="5" t="s">
        <v>33</v>
      </c>
      <c r="N14" s="11">
        <f>Tabla3[[#This Row],[Price]]*Tabla3[[#This Row],[QTY Adjusted]]</f>
        <v>7893.0719999999992</v>
      </c>
      <c r="O14" s="11">
        <v>7893.0719999999992</v>
      </c>
      <c r="P14" s="23">
        <v>46096</v>
      </c>
      <c r="Q14" s="6">
        <v>0</v>
      </c>
    </row>
    <row r="15" spans="1:17" ht="40.200000000000003" customHeight="1" x14ac:dyDescent="0.3">
      <c r="A15" s="5">
        <v>1133</v>
      </c>
      <c r="B15" s="5" t="s">
        <v>1972</v>
      </c>
      <c r="C15" s="5" t="s">
        <v>219</v>
      </c>
      <c r="D15" s="5" t="s">
        <v>44</v>
      </c>
      <c r="E15" s="5" t="s">
        <v>1972</v>
      </c>
      <c r="F15" s="5" t="s">
        <v>4063</v>
      </c>
      <c r="G15" s="5">
        <v>1170500005</v>
      </c>
      <c r="H15" s="5" t="s">
        <v>70</v>
      </c>
      <c r="I15" s="5" t="s">
        <v>2001</v>
      </c>
      <c r="J15" s="5">
        <v>792</v>
      </c>
      <c r="K15" s="5" t="s">
        <v>19</v>
      </c>
      <c r="L15" s="11">
        <v>9.7919999999999998</v>
      </c>
      <c r="M15" s="5" t="s">
        <v>33</v>
      </c>
      <c r="N15" s="11">
        <f>Tabla3[[#This Row],[Price]]*Tabla3[[#This Row],[QTY Adjusted]]</f>
        <v>7755.2640000000001</v>
      </c>
      <c r="O15" s="11">
        <v>7755.2640000000001</v>
      </c>
      <c r="P15" s="23">
        <v>46096</v>
      </c>
      <c r="Q15" s="6">
        <v>0</v>
      </c>
    </row>
    <row r="16" spans="1:17" ht="40.200000000000003" customHeight="1" x14ac:dyDescent="0.3">
      <c r="A16" s="5">
        <v>1260</v>
      </c>
      <c r="B16" s="5" t="s">
        <v>1972</v>
      </c>
      <c r="C16" s="5" t="s">
        <v>990</v>
      </c>
      <c r="D16" s="5" t="s">
        <v>130</v>
      </c>
      <c r="E16" s="5" t="s">
        <v>2202</v>
      </c>
      <c r="F16" s="5" t="s">
        <v>4059</v>
      </c>
      <c r="G16" s="5" t="s">
        <v>2203</v>
      </c>
      <c r="H16" s="5" t="s">
        <v>2204</v>
      </c>
      <c r="I16" s="5" t="s">
        <v>2205</v>
      </c>
      <c r="J16" s="5">
        <v>12</v>
      </c>
      <c r="K16" s="5" t="s">
        <v>19</v>
      </c>
      <c r="L16" s="11">
        <v>722.21444873857558</v>
      </c>
      <c r="M16" s="5" t="s">
        <v>33</v>
      </c>
      <c r="N16" s="11">
        <f>Tabla3[[#This Row],[Price]]*Tabla3[[#This Row],[QTY Adjusted]]</f>
        <v>8666.5733848629061</v>
      </c>
      <c r="O16" s="11">
        <v>8666.5733848629061</v>
      </c>
      <c r="P16" s="21" t="s">
        <v>4225</v>
      </c>
      <c r="Q16" s="6">
        <v>0</v>
      </c>
    </row>
    <row r="17" spans="1:17" ht="40.200000000000003" customHeight="1" x14ac:dyDescent="0.3">
      <c r="A17" s="5">
        <v>1126</v>
      </c>
      <c r="B17" s="5" t="s">
        <v>1972</v>
      </c>
      <c r="C17" s="5" t="s">
        <v>219</v>
      </c>
      <c r="D17" s="5" t="s">
        <v>44</v>
      </c>
      <c r="E17" s="5" t="s">
        <v>1972</v>
      </c>
      <c r="F17" s="5" t="s">
        <v>4063</v>
      </c>
      <c r="G17" s="5">
        <v>1170500012</v>
      </c>
      <c r="H17" s="5" t="s">
        <v>49</v>
      </c>
      <c r="I17" s="5" t="s">
        <v>1990</v>
      </c>
      <c r="J17" s="5">
        <v>792</v>
      </c>
      <c r="K17" s="5" t="s">
        <v>19</v>
      </c>
      <c r="L17" s="11">
        <v>9.06</v>
      </c>
      <c r="M17" s="5" t="s">
        <v>33</v>
      </c>
      <c r="N17" s="11">
        <f>Tabla3[[#This Row],[Price]]*Tabla3[[#This Row],[QTY Adjusted]]</f>
        <v>7175.52</v>
      </c>
      <c r="O17" s="11">
        <v>7175.52</v>
      </c>
      <c r="P17" s="23">
        <v>46096</v>
      </c>
      <c r="Q17" s="6">
        <v>0</v>
      </c>
    </row>
    <row r="18" spans="1:17" ht="40.200000000000003" customHeight="1" x14ac:dyDescent="0.3">
      <c r="A18" s="5">
        <v>1127</v>
      </c>
      <c r="B18" s="5" t="s">
        <v>1972</v>
      </c>
      <c r="C18" s="5" t="s">
        <v>219</v>
      </c>
      <c r="D18" s="5" t="s">
        <v>44</v>
      </c>
      <c r="E18" s="5" t="s">
        <v>1972</v>
      </c>
      <c r="F18" s="5" t="s">
        <v>4063</v>
      </c>
      <c r="G18" s="5">
        <v>1170500015</v>
      </c>
      <c r="H18" s="5" t="s">
        <v>501</v>
      </c>
      <c r="I18" s="5" t="s">
        <v>1991</v>
      </c>
      <c r="J18" s="5">
        <v>792</v>
      </c>
      <c r="K18" s="5" t="s">
        <v>19</v>
      </c>
      <c r="L18" s="11">
        <v>9.06</v>
      </c>
      <c r="M18" s="5" t="s">
        <v>33</v>
      </c>
      <c r="N18" s="11">
        <f>Tabla3[[#This Row],[Price]]*Tabla3[[#This Row],[QTY Adjusted]]</f>
        <v>7175.52</v>
      </c>
      <c r="O18" s="11">
        <v>7175.52</v>
      </c>
      <c r="P18" s="23">
        <v>46096</v>
      </c>
      <c r="Q18" s="6">
        <v>0</v>
      </c>
    </row>
    <row r="19" spans="1:17" ht="40.200000000000003" customHeight="1" x14ac:dyDescent="0.3">
      <c r="A19" s="5">
        <v>1128</v>
      </c>
      <c r="B19" s="5" t="s">
        <v>1972</v>
      </c>
      <c r="C19" s="5" t="s">
        <v>219</v>
      </c>
      <c r="D19" s="5" t="s">
        <v>44</v>
      </c>
      <c r="E19" s="5" t="s">
        <v>1972</v>
      </c>
      <c r="F19" s="5" t="s">
        <v>4063</v>
      </c>
      <c r="G19" s="5">
        <v>1170500011</v>
      </c>
      <c r="H19" s="5" t="s">
        <v>1992</v>
      </c>
      <c r="I19" s="5" t="s">
        <v>1993</v>
      </c>
      <c r="J19" s="5">
        <v>792</v>
      </c>
      <c r="K19" s="5" t="s">
        <v>19</v>
      </c>
      <c r="L19" s="11">
        <v>9.06</v>
      </c>
      <c r="M19" s="5" t="s">
        <v>33</v>
      </c>
      <c r="N19" s="11">
        <f>Tabla3[[#This Row],[Price]]*Tabla3[[#This Row],[QTY Adjusted]]</f>
        <v>7175.52</v>
      </c>
      <c r="O19" s="11">
        <v>7175.52</v>
      </c>
      <c r="P19" s="23">
        <v>46096</v>
      </c>
      <c r="Q19" s="6">
        <v>0</v>
      </c>
    </row>
    <row r="20" spans="1:17" ht="40.200000000000003" customHeight="1" x14ac:dyDescent="0.3">
      <c r="A20" s="5">
        <v>1328</v>
      </c>
      <c r="B20" s="5" t="s">
        <v>1972</v>
      </c>
      <c r="C20" s="5" t="s">
        <v>2370</v>
      </c>
      <c r="D20" s="17" t="s">
        <v>1490</v>
      </c>
      <c r="E20" s="5" t="s">
        <v>2362</v>
      </c>
      <c r="F20" s="5" t="s">
        <v>4059</v>
      </c>
      <c r="G20" s="5" t="s">
        <v>2371</v>
      </c>
      <c r="H20" s="5" t="s">
        <v>2372</v>
      </c>
      <c r="I20" s="5" t="s">
        <v>2373</v>
      </c>
      <c r="J20" s="5">
        <v>2</v>
      </c>
      <c r="K20" s="5" t="s">
        <v>19</v>
      </c>
      <c r="L20" s="11">
        <v>4124.9874999999993</v>
      </c>
      <c r="M20" s="5" t="s">
        <v>33</v>
      </c>
      <c r="N20" s="11">
        <f>Tabla3[[#This Row],[Price]]*Tabla3[[#This Row],[QTY Adjusted]]</f>
        <v>8249.9749999999985</v>
      </c>
      <c r="O20" s="15">
        <v>6496.36</v>
      </c>
      <c r="P20" s="21" t="s">
        <v>4225</v>
      </c>
      <c r="Q20" s="6">
        <v>0</v>
      </c>
    </row>
    <row r="21" spans="1:17" ht="40.200000000000003" customHeight="1" x14ac:dyDescent="0.3">
      <c r="A21" s="5">
        <v>1129</v>
      </c>
      <c r="B21" s="5" t="s">
        <v>1972</v>
      </c>
      <c r="C21" s="5" t="s">
        <v>219</v>
      </c>
      <c r="D21" s="5" t="s">
        <v>44</v>
      </c>
      <c r="E21" s="5" t="s">
        <v>1972</v>
      </c>
      <c r="F21" s="5" t="s">
        <v>4063</v>
      </c>
      <c r="G21" s="5" t="s">
        <v>1994</v>
      </c>
      <c r="H21" s="5" t="s">
        <v>1995</v>
      </c>
      <c r="I21" s="5" t="s">
        <v>1996</v>
      </c>
      <c r="J21" s="5">
        <v>1318</v>
      </c>
      <c r="K21" s="5" t="s">
        <v>19</v>
      </c>
      <c r="L21" s="11">
        <v>5.3280000000000003</v>
      </c>
      <c r="M21" s="5" t="s">
        <v>33</v>
      </c>
      <c r="N21" s="11">
        <f>Tabla3[[#This Row],[Price]]*Tabla3[[#This Row],[QTY Adjusted]]</f>
        <v>7022.3040000000001</v>
      </c>
      <c r="O21" s="11">
        <v>7022.3040000000001</v>
      </c>
      <c r="P21" s="23">
        <v>46096</v>
      </c>
      <c r="Q21" s="6">
        <v>0</v>
      </c>
    </row>
    <row r="22" spans="1:17" ht="40.200000000000003" customHeight="1" x14ac:dyDescent="0.3">
      <c r="A22" s="5">
        <v>1125</v>
      </c>
      <c r="B22" s="5" t="s">
        <v>1972</v>
      </c>
      <c r="C22" s="5" t="s">
        <v>219</v>
      </c>
      <c r="D22" s="5" t="s">
        <v>44</v>
      </c>
      <c r="E22" s="5" t="s">
        <v>1972</v>
      </c>
      <c r="F22" s="5" t="s">
        <v>4059</v>
      </c>
      <c r="G22" s="5" t="s">
        <v>1988</v>
      </c>
      <c r="H22" s="5" t="s">
        <v>1379</v>
      </c>
      <c r="I22" s="5" t="s">
        <v>1989</v>
      </c>
      <c r="J22" s="5">
        <v>87</v>
      </c>
      <c r="K22" s="5" t="s">
        <v>19</v>
      </c>
      <c r="L22" s="11">
        <v>80.784000000000006</v>
      </c>
      <c r="M22" s="5" t="s">
        <v>33</v>
      </c>
      <c r="N22" s="11">
        <f>Tabla3[[#This Row],[Price]]*Tabla3[[#This Row],[QTY Adjusted]]</f>
        <v>7028.2080000000005</v>
      </c>
      <c r="O22" s="11">
        <v>7028.2080000000005</v>
      </c>
      <c r="P22" s="23">
        <v>46096</v>
      </c>
      <c r="Q22" s="6">
        <v>0</v>
      </c>
    </row>
    <row r="23" spans="1:17" ht="40.200000000000003" customHeight="1" x14ac:dyDescent="0.3">
      <c r="A23" s="5">
        <v>1326</v>
      </c>
      <c r="B23" s="5" t="s">
        <v>1972</v>
      </c>
      <c r="C23" s="5" t="s">
        <v>2361</v>
      </c>
      <c r="D23" s="17" t="s">
        <v>1490</v>
      </c>
      <c r="E23" s="5" t="s">
        <v>2362</v>
      </c>
      <c r="F23" s="5" t="s">
        <v>4059</v>
      </c>
      <c r="G23" s="5" t="s">
        <v>2363</v>
      </c>
      <c r="H23" s="5" t="s">
        <v>2364</v>
      </c>
      <c r="I23" s="5" t="s">
        <v>2365</v>
      </c>
      <c r="J23" s="5">
        <v>2</v>
      </c>
      <c r="K23" s="5" t="s">
        <v>19</v>
      </c>
      <c r="L23" s="15">
        <v>2065.2516233766232</v>
      </c>
      <c r="M23" s="5" t="s">
        <v>33</v>
      </c>
      <c r="N23" s="11">
        <f>Tabla3[[#This Row],[Price]]*Tabla3[[#This Row],[QTY Adjusted]]</f>
        <v>4130.5032467532465</v>
      </c>
      <c r="O23" s="15">
        <v>4130.5032467532465</v>
      </c>
      <c r="P23" s="21" t="s">
        <v>4229</v>
      </c>
      <c r="Q23" s="6">
        <v>0</v>
      </c>
    </row>
    <row r="24" spans="1:17" ht="40.200000000000003" customHeight="1" x14ac:dyDescent="0.3">
      <c r="A24" s="5">
        <v>1201</v>
      </c>
      <c r="B24" s="5" t="s">
        <v>1972</v>
      </c>
      <c r="C24" s="5" t="s">
        <v>43</v>
      </c>
      <c r="D24" s="5" t="s">
        <v>44</v>
      </c>
      <c r="E24" s="5" t="s">
        <v>2079</v>
      </c>
      <c r="F24" s="5" t="s">
        <v>4059</v>
      </c>
      <c r="G24" s="5">
        <v>660412</v>
      </c>
      <c r="H24" s="5" t="s">
        <v>2083</v>
      </c>
      <c r="I24" s="5" t="s">
        <v>2084</v>
      </c>
      <c r="J24" s="5">
        <v>12</v>
      </c>
      <c r="K24" s="5" t="s">
        <v>19</v>
      </c>
      <c r="L24" s="11">
        <v>658.78499999999997</v>
      </c>
      <c r="M24" s="5" t="s">
        <v>33</v>
      </c>
      <c r="N24" s="11">
        <f>Tabla3[[#This Row],[Price]]*Tabla3[[#This Row],[QTY Adjusted]]</f>
        <v>7905.42</v>
      </c>
      <c r="O24" s="11">
        <v>7905.42</v>
      </c>
      <c r="P24" s="23">
        <v>46101</v>
      </c>
      <c r="Q24" s="6">
        <v>0</v>
      </c>
    </row>
    <row r="25" spans="1:17" ht="40.200000000000003" customHeight="1" x14ac:dyDescent="0.3">
      <c r="A25" s="5">
        <v>1139</v>
      </c>
      <c r="B25" s="5" t="s">
        <v>1972</v>
      </c>
      <c r="C25" s="5" t="s">
        <v>1387</v>
      </c>
      <c r="D25" s="5" t="s">
        <v>44</v>
      </c>
      <c r="E25" s="5" t="s">
        <v>1972</v>
      </c>
      <c r="F25" s="5" t="s">
        <v>4060</v>
      </c>
      <c r="G25" s="5" t="s">
        <v>1400</v>
      </c>
      <c r="H25" s="5" t="s">
        <v>1401</v>
      </c>
      <c r="I25" s="5" t="s">
        <v>1402</v>
      </c>
      <c r="J25" s="5">
        <v>317</v>
      </c>
      <c r="K25" s="5" t="s">
        <v>19</v>
      </c>
      <c r="L25" s="11">
        <v>21.155999999999999</v>
      </c>
      <c r="M25" s="5" t="s">
        <v>33</v>
      </c>
      <c r="N25" s="11">
        <f>Tabla3[[#This Row],[Price]]*Tabla3[[#This Row],[QTY Adjusted]]</f>
        <v>6706.4519999999993</v>
      </c>
      <c r="O25" s="15">
        <v>4872.29</v>
      </c>
      <c r="P25" s="23">
        <v>46101</v>
      </c>
      <c r="Q25" s="6">
        <v>0</v>
      </c>
    </row>
    <row r="26" spans="1:17" ht="40.200000000000003" customHeight="1" x14ac:dyDescent="0.3">
      <c r="A26" s="5">
        <v>1136</v>
      </c>
      <c r="B26" s="5" t="s">
        <v>1972</v>
      </c>
      <c r="C26" s="5" t="s">
        <v>1387</v>
      </c>
      <c r="D26" s="5" t="s">
        <v>44</v>
      </c>
      <c r="E26" s="5" t="s">
        <v>1972</v>
      </c>
      <c r="F26" s="5" t="s">
        <v>4060</v>
      </c>
      <c r="G26" s="5" t="s">
        <v>1388</v>
      </c>
      <c r="H26" s="5" t="s">
        <v>1389</v>
      </c>
      <c r="I26" s="5" t="s">
        <v>1390</v>
      </c>
      <c r="J26" s="5">
        <v>792</v>
      </c>
      <c r="K26" s="5" t="s">
        <v>19</v>
      </c>
      <c r="L26" s="11">
        <v>8.3940000000000001</v>
      </c>
      <c r="M26" s="5" t="s">
        <v>33</v>
      </c>
      <c r="N26" s="11">
        <f>Tabla3[[#This Row],[Price]]*Tabla3[[#This Row],[QTY Adjusted]]</f>
        <v>6648.0479999999998</v>
      </c>
      <c r="O26" s="11">
        <v>6648.0479999999998</v>
      </c>
      <c r="P26" s="23">
        <v>46101</v>
      </c>
      <c r="Q26" s="6">
        <v>0</v>
      </c>
    </row>
    <row r="27" spans="1:17" ht="40.200000000000003" customHeight="1" x14ac:dyDescent="0.3">
      <c r="A27" s="5">
        <v>1197</v>
      </c>
      <c r="B27" s="5" t="s">
        <v>1972</v>
      </c>
      <c r="C27" s="5" t="s">
        <v>1481</v>
      </c>
      <c r="D27" s="5" t="str">
        <f>Tabla3[[#This Row],[Vendor]]</f>
        <v>GT Linens</v>
      </c>
      <c r="E27" s="5" t="s">
        <v>2060</v>
      </c>
      <c r="F27" s="5" t="s">
        <v>4059</v>
      </c>
      <c r="G27" s="5" t="s">
        <v>178</v>
      </c>
      <c r="H27" s="5" t="s">
        <v>2073</v>
      </c>
      <c r="I27" s="5" t="s">
        <v>1484</v>
      </c>
      <c r="J27" s="5">
        <v>84</v>
      </c>
      <c r="K27" s="5" t="s">
        <v>19</v>
      </c>
      <c r="L27" s="11">
        <v>91.94</v>
      </c>
      <c r="M27" s="5" t="s">
        <v>33</v>
      </c>
      <c r="N27" s="11">
        <f>Tabla3[[#This Row],[Price]]*Tabla3[[#This Row],[QTY Adjusted]]</f>
        <v>7722.96</v>
      </c>
      <c r="O27" s="11">
        <v>7722.96</v>
      </c>
      <c r="P27" s="21" t="s">
        <v>4237</v>
      </c>
      <c r="Q27" s="6" t="s">
        <v>4246</v>
      </c>
    </row>
    <row r="28" spans="1:17" ht="40.200000000000003" customHeight="1" x14ac:dyDescent="0.3">
      <c r="A28" s="5">
        <v>1167</v>
      </c>
      <c r="B28" s="5" t="s">
        <v>1972</v>
      </c>
      <c r="C28" s="5" t="s">
        <v>130</v>
      </c>
      <c r="D28" s="5" t="s">
        <v>130</v>
      </c>
      <c r="E28" s="5" t="s">
        <v>1972</v>
      </c>
      <c r="F28" s="5" t="s">
        <v>4059</v>
      </c>
      <c r="G28" s="5" t="s">
        <v>2039</v>
      </c>
      <c r="H28" s="5" t="s">
        <v>2040</v>
      </c>
      <c r="I28" s="5" t="s">
        <v>2041</v>
      </c>
      <c r="J28" s="5">
        <v>36</v>
      </c>
      <c r="K28" s="5" t="s">
        <v>19</v>
      </c>
      <c r="L28" s="11">
        <v>210.54195936003836</v>
      </c>
      <c r="M28" s="5" t="s">
        <v>33</v>
      </c>
      <c r="N28" s="11">
        <f>Tabla3[[#This Row],[Price]]*Tabla3[[#This Row],[QTY Adjusted]]</f>
        <v>7579.5105369613811</v>
      </c>
      <c r="O28" s="11">
        <v>7579.5105369613811</v>
      </c>
      <c r="P28" s="21" t="s">
        <v>4241</v>
      </c>
      <c r="Q28" s="6" t="s">
        <v>4246</v>
      </c>
    </row>
    <row r="29" spans="1:17" ht="40.200000000000003" customHeight="1" x14ac:dyDescent="0.3">
      <c r="A29" s="5">
        <v>1269</v>
      </c>
      <c r="B29" s="5" t="s">
        <v>1972</v>
      </c>
      <c r="C29" s="5" t="s">
        <v>43</v>
      </c>
      <c r="D29" s="5" t="s">
        <v>44</v>
      </c>
      <c r="E29" s="5" t="s">
        <v>2202</v>
      </c>
      <c r="F29" s="5" t="s">
        <v>4059</v>
      </c>
      <c r="G29" s="5">
        <v>660153</v>
      </c>
      <c r="H29" s="5" t="s">
        <v>2220</v>
      </c>
      <c r="I29" s="5" t="s">
        <v>2226</v>
      </c>
      <c r="J29" s="5">
        <v>34</v>
      </c>
      <c r="K29" s="5" t="s">
        <v>19</v>
      </c>
      <c r="L29" s="11">
        <v>222.89500000000001</v>
      </c>
      <c r="M29" s="5" t="s">
        <v>33</v>
      </c>
      <c r="N29" s="11">
        <f>Tabla3[[#This Row],[Price]]*Tabla3[[#This Row],[QTY Adjusted]]</f>
        <v>7578.43</v>
      </c>
      <c r="O29" s="11">
        <v>7578.43</v>
      </c>
      <c r="P29" s="23">
        <v>46101</v>
      </c>
      <c r="Q29" s="6" t="s">
        <v>4246</v>
      </c>
    </row>
    <row r="30" spans="1:17" ht="40.200000000000003" customHeight="1" x14ac:dyDescent="0.3">
      <c r="A30" s="5">
        <v>1124</v>
      </c>
      <c r="B30" s="5" t="s">
        <v>1972</v>
      </c>
      <c r="C30" s="5" t="s">
        <v>1983</v>
      </c>
      <c r="D30" s="5" t="s">
        <v>493</v>
      </c>
      <c r="E30" s="5" t="s">
        <v>1972</v>
      </c>
      <c r="F30" s="5" t="s">
        <v>4059</v>
      </c>
      <c r="G30" s="5" t="s">
        <v>1986</v>
      </c>
      <c r="H30" s="5" t="s">
        <v>45</v>
      </c>
      <c r="I30" s="5" t="s">
        <v>1987</v>
      </c>
      <c r="J30" s="5">
        <v>87</v>
      </c>
      <c r="K30" s="5" t="s">
        <v>19</v>
      </c>
      <c r="L30" s="11">
        <v>73.209999999999994</v>
      </c>
      <c r="M30" s="5" t="s">
        <v>33</v>
      </c>
      <c r="N30" s="11">
        <f>Tabla3[[#This Row],[Price]]*Tabla3[[#This Row],[QTY Adjusted]]</f>
        <v>6369.2699999999995</v>
      </c>
      <c r="O30" s="11">
        <v>6369.2699999999995</v>
      </c>
      <c r="P30" s="21" t="s">
        <v>4231</v>
      </c>
      <c r="Q30" s="6" t="s">
        <v>4246</v>
      </c>
    </row>
    <row r="31" spans="1:17" ht="40.200000000000003" customHeight="1" x14ac:dyDescent="0.3">
      <c r="A31" s="5">
        <v>1172</v>
      </c>
      <c r="B31" s="5" t="s">
        <v>1972</v>
      </c>
      <c r="C31" s="5" t="s">
        <v>124</v>
      </c>
      <c r="D31" s="5" t="str">
        <f>Tabla3[[#This Row],[Vendor]]</f>
        <v>Impulse</v>
      </c>
      <c r="E31" s="5" t="s">
        <v>1972</v>
      </c>
      <c r="F31" s="5" t="s">
        <v>4062</v>
      </c>
      <c r="G31" s="5">
        <v>5557</v>
      </c>
      <c r="H31" s="5" t="s">
        <v>132</v>
      </c>
      <c r="I31" s="5" t="s">
        <v>2046</v>
      </c>
      <c r="J31" s="5">
        <v>792</v>
      </c>
      <c r="K31" s="5" t="s">
        <v>19</v>
      </c>
      <c r="L31" s="11">
        <v>7.85</v>
      </c>
      <c r="M31" s="5" t="s">
        <v>33</v>
      </c>
      <c r="N31" s="11">
        <f>Tabla3[[#This Row],[Price]]*Tabla3[[#This Row],[QTY Adjusted]]</f>
        <v>6217.2</v>
      </c>
      <c r="O31" s="11">
        <v>6217.2</v>
      </c>
      <c r="P31" s="21" t="s">
        <v>4224</v>
      </c>
      <c r="Q31" s="6" t="s">
        <v>4246</v>
      </c>
    </row>
    <row r="32" spans="1:17" ht="40.200000000000003" customHeight="1" x14ac:dyDescent="0.3">
      <c r="A32" s="5">
        <v>1182</v>
      </c>
      <c r="B32" s="5" t="s">
        <v>1972</v>
      </c>
      <c r="C32" s="5" t="s">
        <v>223</v>
      </c>
      <c r="D32" s="17" t="s">
        <v>44</v>
      </c>
      <c r="E32" s="5" t="s">
        <v>1972</v>
      </c>
      <c r="F32" s="5" t="s">
        <v>4059</v>
      </c>
      <c r="G32" s="5">
        <v>948</v>
      </c>
      <c r="H32" s="5" t="s">
        <v>674</v>
      </c>
      <c r="I32" s="5" t="s">
        <v>675</v>
      </c>
      <c r="J32" s="5">
        <v>24</v>
      </c>
      <c r="K32" s="5" t="s">
        <v>19</v>
      </c>
      <c r="L32" s="11">
        <v>300.09997499999997</v>
      </c>
      <c r="M32" s="5" t="s">
        <v>33</v>
      </c>
      <c r="N32" s="11">
        <f>Tabla3[[#This Row],[Price]]*Tabla3[[#This Row],[QTY Adjusted]]</f>
        <v>7202.3993999999993</v>
      </c>
      <c r="O32" s="15">
        <v>1292.1600000000001</v>
      </c>
      <c r="P32" s="23">
        <v>46096</v>
      </c>
      <c r="Q32" s="6" t="s">
        <v>4246</v>
      </c>
    </row>
    <row r="33" spans="1:17" ht="40.200000000000003" customHeight="1" x14ac:dyDescent="0.3">
      <c r="A33" s="5">
        <v>1155</v>
      </c>
      <c r="B33" s="5" t="s">
        <v>1972</v>
      </c>
      <c r="C33" s="5" t="s">
        <v>1387</v>
      </c>
      <c r="D33" s="5" t="s">
        <v>44</v>
      </c>
      <c r="E33" s="5" t="s">
        <v>1972</v>
      </c>
      <c r="F33" s="5" t="s">
        <v>4060</v>
      </c>
      <c r="G33" s="5" t="s">
        <v>2019</v>
      </c>
      <c r="H33" s="5" t="s">
        <v>2020</v>
      </c>
      <c r="I33" s="5" t="s">
        <v>2021</v>
      </c>
      <c r="J33" s="5">
        <v>317</v>
      </c>
      <c r="K33" s="5" t="s">
        <v>19</v>
      </c>
      <c r="L33" s="11">
        <v>17.472000000000001</v>
      </c>
      <c r="M33" s="5" t="s">
        <v>33</v>
      </c>
      <c r="N33" s="11">
        <f>Tabla3[[#This Row],[Price]]*Tabla3[[#This Row],[QTY Adjusted]]</f>
        <v>5538.6240000000007</v>
      </c>
      <c r="O33" s="15">
        <v>2605.7400000000002</v>
      </c>
      <c r="P33" s="21" t="s">
        <v>4225</v>
      </c>
      <c r="Q33" s="6" t="s">
        <v>4246</v>
      </c>
    </row>
    <row r="34" spans="1:17" ht="40.200000000000003" customHeight="1" x14ac:dyDescent="0.3">
      <c r="A34" s="5">
        <v>1261</v>
      </c>
      <c r="B34" s="5" t="s">
        <v>1972</v>
      </c>
      <c r="C34" s="5" t="s">
        <v>2206</v>
      </c>
      <c r="D34" s="5" t="s">
        <v>44</v>
      </c>
      <c r="E34" s="5" t="s">
        <v>2202</v>
      </c>
      <c r="F34" s="5" t="s">
        <v>4059</v>
      </c>
      <c r="G34" s="5" t="s">
        <v>2207</v>
      </c>
      <c r="H34" s="5" t="s">
        <v>2208</v>
      </c>
      <c r="I34" s="5" t="s">
        <v>2209</v>
      </c>
      <c r="J34" s="5">
        <v>6</v>
      </c>
      <c r="K34" s="5" t="s">
        <v>19</v>
      </c>
      <c r="L34" s="11">
        <v>1075.4100000000001</v>
      </c>
      <c r="M34" s="5" t="s">
        <v>33</v>
      </c>
      <c r="N34" s="11">
        <f>Tabla3[[#This Row],[Price]]*Tabla3[[#This Row],[QTY Adjusted]]</f>
        <v>6452.4600000000009</v>
      </c>
      <c r="O34" s="11">
        <v>6452.4600000000009</v>
      </c>
      <c r="P34" s="23" t="s">
        <v>4225</v>
      </c>
      <c r="Q34" s="6" t="s">
        <v>4246</v>
      </c>
    </row>
    <row r="35" spans="1:17" ht="40.200000000000003" customHeight="1" x14ac:dyDescent="0.3">
      <c r="A35" s="5">
        <v>1185</v>
      </c>
      <c r="B35" s="5" t="s">
        <v>1972</v>
      </c>
      <c r="C35" s="5" t="s">
        <v>223</v>
      </c>
      <c r="D35" s="17" t="s">
        <v>44</v>
      </c>
      <c r="E35" s="5" t="s">
        <v>1972</v>
      </c>
      <c r="F35" s="5" t="s">
        <v>4059</v>
      </c>
      <c r="G35" s="5">
        <v>200443</v>
      </c>
      <c r="H35" s="5" t="s">
        <v>190</v>
      </c>
      <c r="I35" s="5" t="s">
        <v>722</v>
      </c>
      <c r="J35" s="5">
        <v>116</v>
      </c>
      <c r="K35" s="5" t="s">
        <v>19</v>
      </c>
      <c r="L35" s="11">
        <v>46.258117500000004</v>
      </c>
      <c r="M35" s="5" t="s">
        <v>33</v>
      </c>
      <c r="N35" s="11">
        <f>Tabla3[[#This Row],[Price]]*Tabla3[[#This Row],[QTY Adjusted]]</f>
        <v>5365.9416300000003</v>
      </c>
      <c r="O35" s="15">
        <v>1864.1200000000001</v>
      </c>
      <c r="P35" s="23">
        <v>46096</v>
      </c>
      <c r="Q35" s="6" t="s">
        <v>4246</v>
      </c>
    </row>
    <row r="36" spans="1:17" ht="40.200000000000003" customHeight="1" x14ac:dyDescent="0.3">
      <c r="A36" s="5">
        <v>1152</v>
      </c>
      <c r="B36" s="5" t="s">
        <v>1972</v>
      </c>
      <c r="C36" s="5" t="s">
        <v>1387</v>
      </c>
      <c r="D36" s="5" t="s">
        <v>44</v>
      </c>
      <c r="E36" s="5" t="s">
        <v>1972</v>
      </c>
      <c r="F36" s="5" t="s">
        <v>4060</v>
      </c>
      <c r="G36" s="5" t="s">
        <v>1430</v>
      </c>
      <c r="H36" s="5" t="s">
        <v>517</v>
      </c>
      <c r="I36" s="5" t="s">
        <v>1431</v>
      </c>
      <c r="J36" s="5">
        <v>792</v>
      </c>
      <c r="K36" s="5" t="s">
        <v>19</v>
      </c>
      <c r="L36" s="11">
        <v>6.7439999999999998</v>
      </c>
      <c r="M36" s="5" t="s">
        <v>33</v>
      </c>
      <c r="N36" s="11">
        <f>Tabla3[[#This Row],[Price]]*Tabla3[[#This Row],[QTY Adjusted]]</f>
        <v>5341.2479999999996</v>
      </c>
      <c r="O36" s="15">
        <v>2249.2799999999997</v>
      </c>
      <c r="P36" s="23">
        <v>46101</v>
      </c>
      <c r="Q36" s="6" t="s">
        <v>4246</v>
      </c>
    </row>
    <row r="37" spans="1:17" ht="40.200000000000003" customHeight="1" x14ac:dyDescent="0.3">
      <c r="A37" s="5">
        <v>1198</v>
      </c>
      <c r="B37" s="5" t="s">
        <v>1972</v>
      </c>
      <c r="C37" s="5" t="s">
        <v>1481</v>
      </c>
      <c r="D37" s="5" t="str">
        <f>Tabla3[[#This Row],[Vendor]]</f>
        <v>GT Linens</v>
      </c>
      <c r="E37" s="5" t="s">
        <v>2060</v>
      </c>
      <c r="F37" s="5" t="s">
        <v>4061</v>
      </c>
      <c r="G37" s="5" t="s">
        <v>178</v>
      </c>
      <c r="H37" s="5" t="s">
        <v>2074</v>
      </c>
      <c r="I37" s="5" t="s">
        <v>1484</v>
      </c>
      <c r="J37" s="5">
        <v>168</v>
      </c>
      <c r="K37" s="5" t="s">
        <v>19</v>
      </c>
      <c r="L37" s="11">
        <v>37.01</v>
      </c>
      <c r="M37" s="5" t="s">
        <v>33</v>
      </c>
      <c r="N37" s="11">
        <f>Tabla3[[#This Row],[Price]]*Tabla3[[#This Row],[QTY Adjusted]]</f>
        <v>6217.6799999999994</v>
      </c>
      <c r="O37" s="11">
        <v>6217.6799999999994</v>
      </c>
      <c r="P37" s="21" t="s">
        <v>4237</v>
      </c>
      <c r="Q37" s="6" t="s">
        <v>4246</v>
      </c>
    </row>
    <row r="38" spans="1:17" ht="40.200000000000003" customHeight="1" x14ac:dyDescent="0.3">
      <c r="A38" s="5">
        <v>1193</v>
      </c>
      <c r="B38" s="5" t="s">
        <v>1972</v>
      </c>
      <c r="C38" s="5" t="s">
        <v>1481</v>
      </c>
      <c r="D38" s="5" t="str">
        <f>Tabla3[[#This Row],[Vendor]]</f>
        <v>GT Linens</v>
      </c>
      <c r="E38" s="5" t="s">
        <v>2060</v>
      </c>
      <c r="F38" s="5" t="s">
        <v>4061</v>
      </c>
      <c r="G38" s="5" t="s">
        <v>178</v>
      </c>
      <c r="H38" s="5" t="s">
        <v>2069</v>
      </c>
      <c r="I38" s="5" t="s">
        <v>2062</v>
      </c>
      <c r="J38" s="5">
        <v>84</v>
      </c>
      <c r="K38" s="5" t="s">
        <v>19</v>
      </c>
      <c r="L38" s="11">
        <v>73.209999999999994</v>
      </c>
      <c r="M38" s="5" t="s">
        <v>33</v>
      </c>
      <c r="N38" s="11">
        <f>Tabla3[[#This Row],[Price]]*Tabla3[[#This Row],[QTY Adjusted]]</f>
        <v>6149.6399999999994</v>
      </c>
      <c r="O38" s="11">
        <v>6149.6399999999994</v>
      </c>
      <c r="P38" s="21" t="s">
        <v>4237</v>
      </c>
      <c r="Q38" s="6" t="s">
        <v>4246</v>
      </c>
    </row>
    <row r="39" spans="1:17" ht="40.200000000000003" customHeight="1" x14ac:dyDescent="0.3">
      <c r="A39" s="5">
        <v>1159</v>
      </c>
      <c r="B39" s="5" t="s">
        <v>1972</v>
      </c>
      <c r="C39" s="5" t="s">
        <v>1387</v>
      </c>
      <c r="D39" s="5" t="s">
        <v>44</v>
      </c>
      <c r="E39" s="5" t="s">
        <v>1972</v>
      </c>
      <c r="F39" s="5" t="s">
        <v>4060</v>
      </c>
      <c r="G39" s="5" t="s">
        <v>2028</v>
      </c>
      <c r="H39" s="5" t="s">
        <v>2029</v>
      </c>
      <c r="I39" s="5" t="s">
        <v>2030</v>
      </c>
      <c r="J39" s="5">
        <v>267</v>
      </c>
      <c r="K39" s="5" t="s">
        <v>19</v>
      </c>
      <c r="L39" s="11">
        <v>19.224</v>
      </c>
      <c r="M39" s="5" t="s">
        <v>33</v>
      </c>
      <c r="N39" s="11">
        <f>Tabla3[[#This Row],[Price]]*Tabla3[[#This Row],[QTY Adjusted]]</f>
        <v>5132.808</v>
      </c>
      <c r="O39" s="15">
        <v>4597.74</v>
      </c>
      <c r="P39" s="23">
        <v>46101</v>
      </c>
      <c r="Q39" s="6" t="s">
        <v>4246</v>
      </c>
    </row>
    <row r="40" spans="1:17" ht="40.200000000000003" customHeight="1" x14ac:dyDescent="0.3">
      <c r="A40" s="5">
        <v>1156</v>
      </c>
      <c r="B40" s="5" t="s">
        <v>1972</v>
      </c>
      <c r="C40" s="5" t="s">
        <v>1387</v>
      </c>
      <c r="D40" s="5" t="s">
        <v>44</v>
      </c>
      <c r="E40" s="5" t="s">
        <v>1972</v>
      </c>
      <c r="F40" s="5" t="s">
        <v>4060</v>
      </c>
      <c r="G40" s="5" t="s">
        <v>1397</v>
      </c>
      <c r="H40" s="5" t="s">
        <v>1398</v>
      </c>
      <c r="I40" s="5" t="s">
        <v>1399</v>
      </c>
      <c r="J40" s="5">
        <v>317</v>
      </c>
      <c r="K40" s="5" t="s">
        <v>19</v>
      </c>
      <c r="L40" s="11">
        <v>15.635999999999999</v>
      </c>
      <c r="M40" s="5" t="s">
        <v>33</v>
      </c>
      <c r="N40" s="11">
        <f>Tabla3[[#This Row],[Price]]*Tabla3[[#This Row],[QTY Adjusted]]</f>
        <v>4956.6120000000001</v>
      </c>
      <c r="O40" s="15">
        <v>1930.53</v>
      </c>
      <c r="P40" s="23">
        <v>46101</v>
      </c>
      <c r="Q40" s="6" t="s">
        <v>4246</v>
      </c>
    </row>
    <row r="41" spans="1:17" ht="40.200000000000003" customHeight="1" x14ac:dyDescent="0.3">
      <c r="A41" s="5">
        <v>1279</v>
      </c>
      <c r="B41" s="5" t="s">
        <v>1972</v>
      </c>
      <c r="C41" s="5" t="s">
        <v>2229</v>
      </c>
      <c r="D41" s="5" t="s">
        <v>718</v>
      </c>
      <c r="E41" s="5" t="s">
        <v>2230</v>
      </c>
      <c r="F41" s="5" t="s">
        <v>4059</v>
      </c>
      <c r="G41" s="5" t="s">
        <v>2247</v>
      </c>
      <c r="H41" s="5" t="s">
        <v>2248</v>
      </c>
      <c r="I41" s="5" t="s">
        <v>2249</v>
      </c>
      <c r="J41" s="5">
        <v>58</v>
      </c>
      <c r="K41" s="5" t="s">
        <v>19</v>
      </c>
      <c r="L41" s="11">
        <v>83.2</v>
      </c>
      <c r="M41" s="5" t="s">
        <v>33</v>
      </c>
      <c r="N41" s="11">
        <f>Tabla3[[#This Row],[Price]]*Tabla3[[#This Row],[QTY Adjusted]]</f>
        <v>4825.6000000000004</v>
      </c>
      <c r="O41" s="11">
        <v>4825.6000000000004</v>
      </c>
      <c r="P41" s="21" t="s">
        <v>4238</v>
      </c>
      <c r="Q41" s="6" t="s">
        <v>4246</v>
      </c>
    </row>
    <row r="42" spans="1:17" ht="40.200000000000003" customHeight="1" x14ac:dyDescent="0.3">
      <c r="A42" s="5">
        <v>1258</v>
      </c>
      <c r="B42" s="5" t="s">
        <v>1972</v>
      </c>
      <c r="C42" s="5" t="s">
        <v>232</v>
      </c>
      <c r="D42" s="5" t="s">
        <v>233</v>
      </c>
      <c r="E42" s="5" t="s">
        <v>2186</v>
      </c>
      <c r="F42" s="5" t="s">
        <v>4059</v>
      </c>
      <c r="G42" s="5" t="s">
        <v>4220</v>
      </c>
      <c r="H42" s="5" t="s">
        <v>2201</v>
      </c>
      <c r="I42" s="5" t="s">
        <v>4222</v>
      </c>
      <c r="J42" s="5">
        <v>144</v>
      </c>
      <c r="K42" s="5" t="s">
        <v>19</v>
      </c>
      <c r="L42" s="11">
        <v>33.24</v>
      </c>
      <c r="M42" s="5" t="s">
        <v>33</v>
      </c>
      <c r="N42" s="11">
        <f>Tabla3[[#This Row],[Price]]*Tabla3[[#This Row],[QTY Adjusted]]</f>
        <v>4786.5600000000004</v>
      </c>
      <c r="O42" s="11">
        <v>4786.5600000000004</v>
      </c>
      <c r="P42" s="21" t="s">
        <v>4239</v>
      </c>
      <c r="Q42" s="6" t="s">
        <v>4246</v>
      </c>
    </row>
    <row r="43" spans="1:17" ht="40.200000000000003" customHeight="1" x14ac:dyDescent="0.3">
      <c r="A43" s="5">
        <v>1173</v>
      </c>
      <c r="B43" s="5" t="s">
        <v>1972</v>
      </c>
      <c r="C43" s="5" t="s">
        <v>232</v>
      </c>
      <c r="D43" s="5" t="s">
        <v>1490</v>
      </c>
      <c r="E43" s="5" t="s">
        <v>1972</v>
      </c>
      <c r="F43" s="5" t="s">
        <v>4062</v>
      </c>
      <c r="G43" s="5">
        <v>26.112414999999999</v>
      </c>
      <c r="H43" s="5" t="s">
        <v>142</v>
      </c>
      <c r="I43" s="5" t="s">
        <v>951</v>
      </c>
      <c r="J43" s="5">
        <v>526</v>
      </c>
      <c r="K43" s="5" t="s">
        <v>19</v>
      </c>
      <c r="L43" s="11">
        <v>8.9499999999999993</v>
      </c>
      <c r="M43" s="5" t="s">
        <v>33</v>
      </c>
      <c r="N43" s="11">
        <f>Tabla3[[#This Row],[Price]]*Tabla3[[#This Row],[QTY Adjusted]]</f>
        <v>4707.7</v>
      </c>
      <c r="O43" s="15">
        <v>3140.22</v>
      </c>
      <c r="P43" s="21" t="s">
        <v>4225</v>
      </c>
      <c r="Q43" s="6" t="s">
        <v>4246</v>
      </c>
    </row>
    <row r="44" spans="1:17" ht="40.200000000000003" customHeight="1" x14ac:dyDescent="0.3">
      <c r="A44" s="5">
        <v>1174</v>
      </c>
      <c r="B44" s="5" t="s">
        <v>1972</v>
      </c>
      <c r="C44" s="5" t="s">
        <v>232</v>
      </c>
      <c r="D44" s="5" t="s">
        <v>1490</v>
      </c>
      <c r="E44" s="5" t="s">
        <v>1972</v>
      </c>
      <c r="F44" s="5" t="s">
        <v>4062</v>
      </c>
      <c r="G44" s="5">
        <v>26.112413</v>
      </c>
      <c r="H44" s="5" t="s">
        <v>2047</v>
      </c>
      <c r="I44" s="5" t="s">
        <v>2048</v>
      </c>
      <c r="J44" s="5">
        <v>526</v>
      </c>
      <c r="K44" s="5" t="s">
        <v>19</v>
      </c>
      <c r="L44" s="11">
        <v>8.9499999999999993</v>
      </c>
      <c r="M44" s="5" t="s">
        <v>33</v>
      </c>
      <c r="N44" s="11">
        <f>Tabla3[[#This Row],[Price]]*Tabla3[[#This Row],[QTY Adjusted]]</f>
        <v>4707.7</v>
      </c>
      <c r="O44" s="15">
        <v>3345.36</v>
      </c>
      <c r="P44" s="21" t="s">
        <v>4225</v>
      </c>
      <c r="Q44" s="6" t="s">
        <v>4246</v>
      </c>
    </row>
    <row r="45" spans="1:17" ht="40.200000000000003" customHeight="1" x14ac:dyDescent="0.3">
      <c r="A45" s="5">
        <v>1140</v>
      </c>
      <c r="B45" s="5" t="s">
        <v>1972</v>
      </c>
      <c r="C45" s="5" t="s">
        <v>1387</v>
      </c>
      <c r="D45" s="5" t="s">
        <v>44</v>
      </c>
      <c r="E45" s="5" t="s">
        <v>1972</v>
      </c>
      <c r="F45" s="5" t="s">
        <v>4060</v>
      </c>
      <c r="G45" s="5" t="s">
        <v>2007</v>
      </c>
      <c r="H45" s="5" t="s">
        <v>1407</v>
      </c>
      <c r="I45" s="5" t="s">
        <v>2008</v>
      </c>
      <c r="J45" s="5">
        <v>209</v>
      </c>
      <c r="K45" s="5" t="s">
        <v>19</v>
      </c>
      <c r="L45" s="11">
        <v>22.032</v>
      </c>
      <c r="M45" s="5" t="s">
        <v>33</v>
      </c>
      <c r="N45" s="11">
        <f>Tabla3[[#This Row],[Price]]*Tabla3[[#This Row],[QTY Adjusted]]</f>
        <v>4604.6880000000001</v>
      </c>
      <c r="O45" s="15">
        <v>3473.5800000000004</v>
      </c>
      <c r="P45" s="21" t="s">
        <v>4225</v>
      </c>
      <c r="Q45" s="6" t="s">
        <v>4246</v>
      </c>
    </row>
    <row r="46" spans="1:17" ht="40.200000000000003" customHeight="1" x14ac:dyDescent="0.3">
      <c r="A46" s="5">
        <v>1138</v>
      </c>
      <c r="B46" s="5" t="s">
        <v>1972</v>
      </c>
      <c r="C46" s="5" t="s">
        <v>1387</v>
      </c>
      <c r="D46" s="5" t="s">
        <v>44</v>
      </c>
      <c r="E46" s="5" t="s">
        <v>1972</v>
      </c>
      <c r="F46" s="5" t="s">
        <v>4060</v>
      </c>
      <c r="G46" s="5" t="s">
        <v>1394</v>
      </c>
      <c r="H46" s="5" t="s">
        <v>1395</v>
      </c>
      <c r="I46" s="5" t="s">
        <v>1396</v>
      </c>
      <c r="J46" s="5">
        <v>267</v>
      </c>
      <c r="K46" s="5" t="s">
        <v>19</v>
      </c>
      <c r="L46" s="11">
        <v>17.13</v>
      </c>
      <c r="M46" s="5" t="s">
        <v>33</v>
      </c>
      <c r="N46" s="11">
        <f>Tabla3[[#This Row],[Price]]*Tabla3[[#This Row],[QTY Adjusted]]</f>
        <v>4573.71</v>
      </c>
      <c r="O46" s="11">
        <v>4573.71</v>
      </c>
      <c r="P46" s="23">
        <v>46101</v>
      </c>
      <c r="Q46" s="6" t="s">
        <v>4246</v>
      </c>
    </row>
    <row r="47" spans="1:17" ht="40.200000000000003" customHeight="1" x14ac:dyDescent="0.3">
      <c r="A47" s="5">
        <v>1160</v>
      </c>
      <c r="B47" s="5" t="s">
        <v>1972</v>
      </c>
      <c r="C47" s="5" t="s">
        <v>1387</v>
      </c>
      <c r="D47" s="5" t="s">
        <v>44</v>
      </c>
      <c r="E47" s="5" t="s">
        <v>1972</v>
      </c>
      <c r="F47" s="5" t="s">
        <v>4060</v>
      </c>
      <c r="G47" s="5" t="s">
        <v>2031</v>
      </c>
      <c r="H47" s="5" t="s">
        <v>2032</v>
      </c>
      <c r="I47" s="5" t="s">
        <v>2033</v>
      </c>
      <c r="J47" s="5">
        <v>267</v>
      </c>
      <c r="K47" s="5" t="s">
        <v>19</v>
      </c>
      <c r="L47" s="11">
        <v>17.100000000000001</v>
      </c>
      <c r="M47" s="5" t="s">
        <v>33</v>
      </c>
      <c r="N47" s="11">
        <f>Tabla3[[#This Row],[Price]]*Tabla3[[#This Row],[QTY Adjusted]]</f>
        <v>4565.7000000000007</v>
      </c>
      <c r="O47" s="15">
        <v>3847.4700000000003</v>
      </c>
      <c r="P47" s="23">
        <v>46101</v>
      </c>
      <c r="Q47" s="6" t="s">
        <v>4246</v>
      </c>
    </row>
    <row r="48" spans="1:17" ht="40.200000000000003" customHeight="1" x14ac:dyDescent="0.3">
      <c r="A48" s="5">
        <v>1195</v>
      </c>
      <c r="B48" s="5" t="s">
        <v>1972</v>
      </c>
      <c r="C48" s="5" t="s">
        <v>1481</v>
      </c>
      <c r="D48" s="5" t="str">
        <f>Tabla3[[#This Row],[Vendor]]</f>
        <v>GT Linens</v>
      </c>
      <c r="E48" s="5" t="s">
        <v>2060</v>
      </c>
      <c r="F48" s="5" t="s">
        <v>4061</v>
      </c>
      <c r="G48" s="5" t="s">
        <v>178</v>
      </c>
      <c r="H48" s="5" t="s">
        <v>2071</v>
      </c>
      <c r="I48" s="5" t="s">
        <v>1484</v>
      </c>
      <c r="J48" s="5">
        <v>60</v>
      </c>
      <c r="K48" s="5" t="s">
        <v>19</v>
      </c>
      <c r="L48" s="11">
        <v>87.52</v>
      </c>
      <c r="M48" s="5" t="s">
        <v>33</v>
      </c>
      <c r="N48" s="11">
        <f>Tabla3[[#This Row],[Price]]*Tabla3[[#This Row],[QTY Adjusted]]</f>
        <v>5251.2</v>
      </c>
      <c r="O48" s="11">
        <v>5251.2</v>
      </c>
      <c r="P48" s="21" t="s">
        <v>4237</v>
      </c>
      <c r="Q48" s="6" t="s">
        <v>4246</v>
      </c>
    </row>
    <row r="49" spans="1:17" ht="40.200000000000003" customHeight="1" x14ac:dyDescent="0.3">
      <c r="A49" s="5">
        <v>1268</v>
      </c>
      <c r="B49" s="5" t="s">
        <v>1972</v>
      </c>
      <c r="C49" s="5" t="s">
        <v>43</v>
      </c>
      <c r="D49" s="5" t="s">
        <v>44</v>
      </c>
      <c r="E49" s="5" t="s">
        <v>2202</v>
      </c>
      <c r="F49" s="5" t="s">
        <v>4059</v>
      </c>
      <c r="G49" s="5">
        <v>660160</v>
      </c>
      <c r="H49" s="5" t="s">
        <v>2224</v>
      </c>
      <c r="I49" s="5" t="s">
        <v>2225</v>
      </c>
      <c r="J49" s="5">
        <v>34</v>
      </c>
      <c r="K49" s="5" t="s">
        <v>19</v>
      </c>
      <c r="L49" s="11">
        <v>146.315</v>
      </c>
      <c r="M49" s="5" t="s">
        <v>33</v>
      </c>
      <c r="N49" s="11">
        <f>Tabla3[[#This Row],[Price]]*Tabla3[[#This Row],[QTY Adjusted]]</f>
        <v>4974.71</v>
      </c>
      <c r="O49" s="11">
        <v>4974.71</v>
      </c>
      <c r="P49" s="23">
        <v>46101</v>
      </c>
      <c r="Q49" s="6" t="s">
        <v>4246</v>
      </c>
    </row>
    <row r="50" spans="1:17" ht="40.200000000000003" customHeight="1" x14ac:dyDescent="0.3">
      <c r="A50" s="5">
        <v>1194</v>
      </c>
      <c r="B50" s="5" t="s">
        <v>1972</v>
      </c>
      <c r="C50" s="5" t="s">
        <v>1481</v>
      </c>
      <c r="D50" s="5" t="str">
        <f>Tabla3[[#This Row],[Vendor]]</f>
        <v>GT Linens</v>
      </c>
      <c r="E50" s="5" t="s">
        <v>2060</v>
      </c>
      <c r="F50" s="5" t="s">
        <v>4061</v>
      </c>
      <c r="G50" s="5" t="s">
        <v>178</v>
      </c>
      <c r="H50" s="5" t="s">
        <v>2070</v>
      </c>
      <c r="I50" s="5" t="s">
        <v>2062</v>
      </c>
      <c r="J50" s="5">
        <v>168</v>
      </c>
      <c r="K50" s="5" t="s">
        <v>19</v>
      </c>
      <c r="L50" s="11">
        <v>28.98</v>
      </c>
      <c r="M50" s="5" t="s">
        <v>33</v>
      </c>
      <c r="N50" s="11">
        <f>Tabla3[[#This Row],[Price]]*Tabla3[[#This Row],[QTY Adjusted]]</f>
        <v>4868.6400000000003</v>
      </c>
      <c r="O50" s="11">
        <v>4868.6400000000003</v>
      </c>
      <c r="P50" s="21" t="s">
        <v>4237</v>
      </c>
      <c r="Q50" s="6" t="s">
        <v>4246</v>
      </c>
    </row>
    <row r="51" spans="1:17" ht="40.200000000000003" customHeight="1" x14ac:dyDescent="0.3">
      <c r="A51" s="5">
        <v>1170</v>
      </c>
      <c r="B51" s="5" t="s">
        <v>1972</v>
      </c>
      <c r="C51" s="5" t="s">
        <v>684</v>
      </c>
      <c r="D51" s="5" t="str">
        <f>Tabla3[[#This Row],[Vendor]]</f>
        <v>Pantheon</v>
      </c>
      <c r="E51" s="5" t="s">
        <v>1972</v>
      </c>
      <c r="F51" s="5" t="s">
        <v>4059</v>
      </c>
      <c r="G51" s="5" t="s">
        <v>2044</v>
      </c>
      <c r="H51" s="5" t="s">
        <v>686</v>
      </c>
      <c r="I51" s="5" t="s">
        <v>2045</v>
      </c>
      <c r="J51" s="5">
        <v>48</v>
      </c>
      <c r="K51" s="5" t="s">
        <v>19</v>
      </c>
      <c r="L51" s="11">
        <v>99.84</v>
      </c>
      <c r="M51" s="5" t="s">
        <v>33</v>
      </c>
      <c r="N51" s="11">
        <f>Tabla3[[#This Row],[Price]]*Tabla3[[#This Row],[QTY Adjusted]]</f>
        <v>4792.32</v>
      </c>
      <c r="O51" s="11">
        <v>4792.32</v>
      </c>
      <c r="P51" s="21" t="s">
        <v>4234</v>
      </c>
      <c r="Q51" s="6" t="s">
        <v>4246</v>
      </c>
    </row>
    <row r="52" spans="1:17" ht="40.200000000000003" customHeight="1" x14ac:dyDescent="0.3">
      <c r="A52" s="5">
        <v>1379</v>
      </c>
      <c r="B52" s="5" t="s">
        <v>1972</v>
      </c>
      <c r="C52" s="5" t="s">
        <v>361</v>
      </c>
      <c r="D52" s="5" t="s">
        <v>362</v>
      </c>
      <c r="E52" s="5" t="s">
        <v>2392</v>
      </c>
      <c r="F52" s="5" t="s">
        <v>4059</v>
      </c>
      <c r="G52" s="5" t="s">
        <v>369</v>
      </c>
      <c r="H52" s="5" t="s">
        <v>347</v>
      </c>
      <c r="I52" s="5" t="s">
        <v>370</v>
      </c>
      <c r="J52" s="5">
        <v>72</v>
      </c>
      <c r="K52" s="5" t="s">
        <v>19</v>
      </c>
      <c r="L52" s="11">
        <v>65.73294117647059</v>
      </c>
      <c r="M52" s="5" t="s">
        <v>33</v>
      </c>
      <c r="N52" s="11">
        <f>Tabla3[[#This Row],[Price]]*Tabla3[[#This Row],[QTY Adjusted]]</f>
        <v>4732.7717647058826</v>
      </c>
      <c r="O52" s="11">
        <v>4732.7717647058826</v>
      </c>
      <c r="P52" s="21" t="s">
        <v>4225</v>
      </c>
      <c r="Q52" s="6" t="s">
        <v>4246</v>
      </c>
    </row>
    <row r="53" spans="1:17" ht="40.200000000000003" customHeight="1" x14ac:dyDescent="0.3">
      <c r="A53" s="5">
        <v>1157</v>
      </c>
      <c r="B53" s="5" t="s">
        <v>1972</v>
      </c>
      <c r="C53" s="5" t="s">
        <v>1387</v>
      </c>
      <c r="D53" s="5" t="s">
        <v>44</v>
      </c>
      <c r="E53" s="5" t="s">
        <v>1972</v>
      </c>
      <c r="F53" s="5" t="s">
        <v>4060</v>
      </c>
      <c r="G53" s="5" t="s">
        <v>2022</v>
      </c>
      <c r="H53" s="5" t="s">
        <v>2023</v>
      </c>
      <c r="I53" s="5" t="s">
        <v>2024</v>
      </c>
      <c r="J53" s="5">
        <v>317</v>
      </c>
      <c r="K53" s="5" t="s">
        <v>19</v>
      </c>
      <c r="L53" s="11">
        <v>12.42</v>
      </c>
      <c r="M53" s="5" t="s">
        <v>33</v>
      </c>
      <c r="N53" s="11">
        <f>Tabla3[[#This Row],[Price]]*Tabla3[[#This Row],[QTY Adjusted]]</f>
        <v>3937.14</v>
      </c>
      <c r="O53" s="15">
        <v>1337.74</v>
      </c>
      <c r="P53" s="21" t="s">
        <v>4225</v>
      </c>
      <c r="Q53" s="6" t="s">
        <v>4246</v>
      </c>
    </row>
    <row r="54" spans="1:17" ht="40.200000000000003" customHeight="1" x14ac:dyDescent="0.3">
      <c r="A54" s="5">
        <v>1259</v>
      </c>
      <c r="B54" s="5" t="s">
        <v>1972</v>
      </c>
      <c r="C54" s="5" t="s">
        <v>232</v>
      </c>
      <c r="D54" s="5" t="s">
        <v>233</v>
      </c>
      <c r="E54" s="5" t="s">
        <v>2186</v>
      </c>
      <c r="F54" s="5" t="s">
        <v>4059</v>
      </c>
      <c r="G54" s="5" t="s">
        <v>4221</v>
      </c>
      <c r="H54" s="5" t="s">
        <v>2201</v>
      </c>
      <c r="I54" s="5" t="s">
        <v>4223</v>
      </c>
      <c r="J54" s="5">
        <v>144</v>
      </c>
      <c r="K54" s="5" t="s">
        <v>19</v>
      </c>
      <c r="L54" s="11">
        <v>26.69</v>
      </c>
      <c r="M54" s="5" t="s">
        <v>33</v>
      </c>
      <c r="N54" s="11">
        <f>Tabla3[[#This Row],[Price]]*Tabla3[[#This Row],[QTY Adjusted]]</f>
        <v>3843.36</v>
      </c>
      <c r="O54" s="11">
        <v>3843.36</v>
      </c>
      <c r="P54" s="21" t="s">
        <v>4239</v>
      </c>
      <c r="Q54" s="6" t="s">
        <v>4246</v>
      </c>
    </row>
    <row r="55" spans="1:17" ht="40.200000000000003" customHeight="1" x14ac:dyDescent="0.3">
      <c r="A55" s="5">
        <v>1196</v>
      </c>
      <c r="B55" s="5" t="s">
        <v>1972</v>
      </c>
      <c r="C55" s="5" t="s">
        <v>1481</v>
      </c>
      <c r="D55" s="5" t="str">
        <f>Tabla3[[#This Row],[Vendor]]</f>
        <v>GT Linens</v>
      </c>
      <c r="E55" s="5" t="s">
        <v>2060</v>
      </c>
      <c r="F55" s="5" t="s">
        <v>4061</v>
      </c>
      <c r="G55" s="5" t="s">
        <v>178</v>
      </c>
      <c r="H55" s="5" t="s">
        <v>2072</v>
      </c>
      <c r="I55" s="5" t="s">
        <v>1484</v>
      </c>
      <c r="J55" s="5">
        <v>120</v>
      </c>
      <c r="K55" s="5" t="s">
        <v>19</v>
      </c>
      <c r="L55" s="11">
        <v>37.01</v>
      </c>
      <c r="M55" s="5" t="s">
        <v>33</v>
      </c>
      <c r="N55" s="11">
        <f>Tabla3[[#This Row],[Price]]*Tabla3[[#This Row],[QTY Adjusted]]</f>
        <v>4441.2</v>
      </c>
      <c r="O55" s="11">
        <v>4441.2</v>
      </c>
      <c r="P55" s="21" t="s">
        <v>4237</v>
      </c>
      <c r="Q55" s="6" t="s">
        <v>4246</v>
      </c>
    </row>
    <row r="56" spans="1:17" ht="40.200000000000003" customHeight="1" x14ac:dyDescent="0.3">
      <c r="A56" s="5">
        <v>1137</v>
      </c>
      <c r="B56" s="5" t="s">
        <v>1972</v>
      </c>
      <c r="C56" s="5" t="s">
        <v>1387</v>
      </c>
      <c r="D56" s="5" t="s">
        <v>44</v>
      </c>
      <c r="E56" s="5" t="s">
        <v>1972</v>
      </c>
      <c r="F56" s="5" t="s">
        <v>4060</v>
      </c>
      <c r="G56" s="5" t="s">
        <v>1391</v>
      </c>
      <c r="H56" s="5" t="s">
        <v>1392</v>
      </c>
      <c r="I56" s="5" t="s">
        <v>1393</v>
      </c>
      <c r="J56" s="5">
        <v>267</v>
      </c>
      <c r="K56" s="5" t="s">
        <v>19</v>
      </c>
      <c r="L56" s="11">
        <v>13.326000000000001</v>
      </c>
      <c r="M56" s="5" t="s">
        <v>33</v>
      </c>
      <c r="N56" s="11">
        <f>Tabla3[[#This Row],[Price]]*Tabla3[[#This Row],[QTY Adjusted]]</f>
        <v>3558.0419999999999</v>
      </c>
      <c r="O56" s="11">
        <v>3558.0419999999999</v>
      </c>
      <c r="P56" s="23">
        <v>46101</v>
      </c>
      <c r="Q56" s="6" t="s">
        <v>4246</v>
      </c>
    </row>
    <row r="57" spans="1:17" ht="40.200000000000003" customHeight="1" x14ac:dyDescent="0.3">
      <c r="A57" s="5">
        <v>1191</v>
      </c>
      <c r="B57" s="5" t="s">
        <v>1972</v>
      </c>
      <c r="C57" s="5" t="s">
        <v>1481</v>
      </c>
      <c r="D57" s="5" t="str">
        <f>Tabla3[[#This Row],[Vendor]]</f>
        <v>GT Linens</v>
      </c>
      <c r="E57" s="5" t="s">
        <v>2060</v>
      </c>
      <c r="F57" s="5" t="s">
        <v>4061</v>
      </c>
      <c r="G57" s="5" t="s">
        <v>178</v>
      </c>
      <c r="H57" s="5" t="s">
        <v>2067</v>
      </c>
      <c r="I57" s="5" t="s">
        <v>2062</v>
      </c>
      <c r="J57" s="5">
        <v>60</v>
      </c>
      <c r="K57" s="5" t="s">
        <v>19</v>
      </c>
      <c r="L57" s="11">
        <v>67.959999999999994</v>
      </c>
      <c r="M57" s="5" t="s">
        <v>33</v>
      </c>
      <c r="N57" s="11">
        <f>Tabla3[[#This Row],[Price]]*Tabla3[[#This Row],[QTY Adjusted]]</f>
        <v>4077.5999999999995</v>
      </c>
      <c r="O57" s="11">
        <v>4077.5999999999995</v>
      </c>
      <c r="P57" s="21" t="s">
        <v>4237</v>
      </c>
      <c r="Q57" s="6" t="s">
        <v>4246</v>
      </c>
    </row>
    <row r="58" spans="1:17" ht="40.200000000000003" customHeight="1" x14ac:dyDescent="0.3">
      <c r="A58" s="5">
        <v>1280</v>
      </c>
      <c r="B58" s="5" t="s">
        <v>1972</v>
      </c>
      <c r="C58" s="5" t="s">
        <v>2229</v>
      </c>
      <c r="D58" s="5" t="s">
        <v>718</v>
      </c>
      <c r="E58" s="5" t="s">
        <v>2230</v>
      </c>
      <c r="F58" s="5" t="s">
        <v>4059</v>
      </c>
      <c r="G58" s="5" t="s">
        <v>2250</v>
      </c>
      <c r="H58" s="5" t="s">
        <v>2251</v>
      </c>
      <c r="I58" s="5" t="s">
        <v>2252</v>
      </c>
      <c r="J58" s="5">
        <v>58</v>
      </c>
      <c r="K58" s="5" t="s">
        <v>19</v>
      </c>
      <c r="L58" s="11">
        <v>58.7</v>
      </c>
      <c r="M58" s="5" t="s">
        <v>33</v>
      </c>
      <c r="N58" s="11">
        <f>Tabla3[[#This Row],[Price]]*Tabla3[[#This Row],[QTY Adjusted]]</f>
        <v>3404.6000000000004</v>
      </c>
      <c r="O58" s="11">
        <v>3404.6000000000004</v>
      </c>
      <c r="P58" s="21" t="s">
        <v>4238</v>
      </c>
      <c r="Q58" s="6" t="s">
        <v>4246</v>
      </c>
    </row>
    <row r="59" spans="1:17" ht="40.200000000000003" customHeight="1" x14ac:dyDescent="0.3">
      <c r="A59" s="5">
        <v>1323</v>
      </c>
      <c r="B59" s="5" t="s">
        <v>1972</v>
      </c>
      <c r="C59" s="5" t="s">
        <v>329</v>
      </c>
      <c r="D59" s="5" t="s">
        <v>199</v>
      </c>
      <c r="E59" s="5" t="s">
        <v>2339</v>
      </c>
      <c r="F59" s="5" t="s">
        <v>4059</v>
      </c>
      <c r="G59" s="5" t="s">
        <v>2352</v>
      </c>
      <c r="H59" s="5" t="s">
        <v>2353</v>
      </c>
      <c r="I59" s="5" t="s">
        <v>2354</v>
      </c>
      <c r="J59" s="5">
        <v>8</v>
      </c>
      <c r="K59" s="5" t="s">
        <v>19</v>
      </c>
      <c r="L59" s="11">
        <v>466.65233999999992</v>
      </c>
      <c r="M59" s="5" t="s">
        <v>33</v>
      </c>
      <c r="N59" s="11">
        <f>Tabla3[[#This Row],[Price]]*Tabla3[[#This Row],[QTY Adjusted]]</f>
        <v>3733.2187199999994</v>
      </c>
      <c r="O59" s="11">
        <v>3733.2187199999994</v>
      </c>
      <c r="P59" s="21" t="s">
        <v>4225</v>
      </c>
      <c r="Q59" s="6" t="s">
        <v>4246</v>
      </c>
    </row>
    <row r="60" spans="1:17" ht="40.200000000000003" customHeight="1" x14ac:dyDescent="0.3">
      <c r="A60" s="5">
        <v>1266</v>
      </c>
      <c r="B60" s="5" t="s">
        <v>1972</v>
      </c>
      <c r="C60" s="5" t="s">
        <v>43</v>
      </c>
      <c r="D60" s="5" t="s">
        <v>44</v>
      </c>
      <c r="E60" s="5" t="s">
        <v>2202</v>
      </c>
      <c r="F60" s="5" t="s">
        <v>4059</v>
      </c>
      <c r="G60" s="5">
        <v>660151</v>
      </c>
      <c r="H60" s="5" t="s">
        <v>2220</v>
      </c>
      <c r="I60" s="5" t="s">
        <v>2221</v>
      </c>
      <c r="J60" s="5">
        <v>18</v>
      </c>
      <c r="K60" s="5" t="s">
        <v>19</v>
      </c>
      <c r="L60" s="11">
        <v>197.88499999999999</v>
      </c>
      <c r="M60" s="5" t="s">
        <v>33</v>
      </c>
      <c r="N60" s="11">
        <f>Tabla3[[#This Row],[Price]]*Tabla3[[#This Row],[QTY Adjusted]]</f>
        <v>3561.93</v>
      </c>
      <c r="O60" s="11">
        <v>3561.93</v>
      </c>
      <c r="P60" s="23">
        <v>46101</v>
      </c>
      <c r="Q60" s="6" t="s">
        <v>4246</v>
      </c>
    </row>
    <row r="61" spans="1:17" ht="40.200000000000003" customHeight="1" x14ac:dyDescent="0.3">
      <c r="A61" s="5">
        <v>1192</v>
      </c>
      <c r="B61" s="5" t="s">
        <v>1972</v>
      </c>
      <c r="C61" s="5" t="s">
        <v>1481</v>
      </c>
      <c r="D61" s="5" t="str">
        <f>Tabla3[[#This Row],[Vendor]]</f>
        <v>GT Linens</v>
      </c>
      <c r="E61" s="5" t="s">
        <v>2060</v>
      </c>
      <c r="F61" s="5" t="s">
        <v>4061</v>
      </c>
      <c r="G61" s="5" t="s">
        <v>178</v>
      </c>
      <c r="H61" s="5" t="s">
        <v>2068</v>
      </c>
      <c r="I61" s="5" t="s">
        <v>2062</v>
      </c>
      <c r="J61" s="5">
        <v>120</v>
      </c>
      <c r="K61" s="5" t="s">
        <v>19</v>
      </c>
      <c r="L61" s="11">
        <v>28.98</v>
      </c>
      <c r="M61" s="5" t="s">
        <v>33</v>
      </c>
      <c r="N61" s="11">
        <f>Tabla3[[#This Row],[Price]]*Tabla3[[#This Row],[QTY Adjusted]]</f>
        <v>3477.6</v>
      </c>
      <c r="O61" s="11">
        <v>3477.6</v>
      </c>
      <c r="P61" s="21" t="s">
        <v>4237</v>
      </c>
      <c r="Q61" s="6" t="s">
        <v>4246</v>
      </c>
    </row>
    <row r="62" spans="1:17" ht="40.200000000000003" customHeight="1" x14ac:dyDescent="0.3">
      <c r="A62" s="5">
        <v>1187</v>
      </c>
      <c r="B62" s="5" t="s">
        <v>1972</v>
      </c>
      <c r="C62" s="5" t="s">
        <v>1481</v>
      </c>
      <c r="D62" s="5" t="str">
        <f>Tabla3[[#This Row],[Vendor]]</f>
        <v>GT Linens</v>
      </c>
      <c r="E62" s="5" t="s">
        <v>2060</v>
      </c>
      <c r="F62" s="5" t="s">
        <v>4061</v>
      </c>
      <c r="G62" s="5" t="s">
        <v>178</v>
      </c>
      <c r="H62" s="5" t="s">
        <v>2061</v>
      </c>
      <c r="I62" s="5" t="s">
        <v>2062</v>
      </c>
      <c r="J62" s="5">
        <v>1584</v>
      </c>
      <c r="K62" s="5" t="s">
        <v>19</v>
      </c>
      <c r="L62" s="11">
        <v>1.85</v>
      </c>
      <c r="M62" s="5" t="s">
        <v>33</v>
      </c>
      <c r="N62" s="11">
        <f>Tabla3[[#This Row],[Price]]*Tabla3[[#This Row],[QTY Adjusted]]</f>
        <v>2930.4</v>
      </c>
      <c r="O62" s="11">
        <v>2930.4</v>
      </c>
      <c r="P62" s="21" t="s">
        <v>4237</v>
      </c>
      <c r="Q62" s="6" t="s">
        <v>4246</v>
      </c>
    </row>
    <row r="63" spans="1:17" ht="40.200000000000003" customHeight="1" x14ac:dyDescent="0.3">
      <c r="A63" s="5">
        <v>1210</v>
      </c>
      <c r="B63" s="5" t="s">
        <v>1972</v>
      </c>
      <c r="C63" s="5" t="s">
        <v>43</v>
      </c>
      <c r="D63" s="5" t="s">
        <v>44</v>
      </c>
      <c r="E63" s="5" t="s">
        <v>2079</v>
      </c>
      <c r="F63" s="5" t="s">
        <v>4059</v>
      </c>
      <c r="G63" s="5">
        <v>656032</v>
      </c>
      <c r="H63" s="5" t="s">
        <v>2099</v>
      </c>
      <c r="I63" s="5" t="s">
        <v>2100</v>
      </c>
      <c r="J63" s="5">
        <v>24</v>
      </c>
      <c r="K63" s="5" t="s">
        <v>19</v>
      </c>
      <c r="L63" s="11">
        <v>142.02000000000001</v>
      </c>
      <c r="M63" s="5" t="s">
        <v>33</v>
      </c>
      <c r="N63" s="11">
        <f>Tabla3[[#This Row],[Price]]*Tabla3[[#This Row],[QTY Adjusted]]</f>
        <v>3408.4800000000005</v>
      </c>
      <c r="O63" s="11">
        <v>3408.4800000000005</v>
      </c>
      <c r="P63" s="23">
        <v>46101</v>
      </c>
      <c r="Q63" s="6" t="s">
        <v>4246</v>
      </c>
    </row>
    <row r="64" spans="1:17" ht="40.200000000000003" customHeight="1" x14ac:dyDescent="0.3">
      <c r="A64" s="5">
        <v>1188</v>
      </c>
      <c r="B64" s="5" t="s">
        <v>1972</v>
      </c>
      <c r="C64" s="5" t="s">
        <v>1481</v>
      </c>
      <c r="D64" s="5" t="str">
        <f>Tabla3[[#This Row],[Vendor]]</f>
        <v>GT Linens</v>
      </c>
      <c r="E64" s="5" t="s">
        <v>2060</v>
      </c>
      <c r="F64" s="5" t="s">
        <v>4061</v>
      </c>
      <c r="G64" s="5" t="s">
        <v>178</v>
      </c>
      <c r="H64" s="5" t="s">
        <v>1483</v>
      </c>
      <c r="I64" s="5" t="s">
        <v>1484</v>
      </c>
      <c r="J64" s="5">
        <v>1584</v>
      </c>
      <c r="K64" s="5" t="s">
        <v>19</v>
      </c>
      <c r="L64" s="11">
        <v>1.82</v>
      </c>
      <c r="M64" s="5" t="s">
        <v>33</v>
      </c>
      <c r="N64" s="11">
        <f>Tabla3[[#This Row],[Price]]*Tabla3[[#This Row],[QTY Adjusted]]</f>
        <v>2882.88</v>
      </c>
      <c r="O64" s="11">
        <v>2882.88</v>
      </c>
      <c r="P64" s="21" t="s">
        <v>4237</v>
      </c>
      <c r="Q64" s="6" t="s">
        <v>4246</v>
      </c>
    </row>
    <row r="65" spans="1:17" ht="40.200000000000003" customHeight="1" x14ac:dyDescent="0.3">
      <c r="A65" s="5">
        <v>1123</v>
      </c>
      <c r="B65" s="5" t="s">
        <v>1972</v>
      </c>
      <c r="C65" s="5" t="s">
        <v>1983</v>
      </c>
      <c r="D65" s="5" t="s">
        <v>493</v>
      </c>
      <c r="E65" s="5" t="s">
        <v>1972</v>
      </c>
      <c r="F65" s="5" t="s">
        <v>4059</v>
      </c>
      <c r="G65" s="5" t="s">
        <v>1984</v>
      </c>
      <c r="H65" s="5" t="s">
        <v>895</v>
      </c>
      <c r="I65" s="5" t="s">
        <v>1985</v>
      </c>
      <c r="J65" s="5">
        <v>87</v>
      </c>
      <c r="K65" s="5" t="s">
        <v>19</v>
      </c>
      <c r="L65" s="11">
        <v>32.869999999999997</v>
      </c>
      <c r="M65" s="5" t="s">
        <v>33</v>
      </c>
      <c r="N65" s="11">
        <f>Tabla3[[#This Row],[Price]]*Tabla3[[#This Row],[QTY Adjusted]]</f>
        <v>2859.6899999999996</v>
      </c>
      <c r="O65" s="11">
        <v>2859.6899999999996</v>
      </c>
      <c r="P65" s="21" t="s">
        <v>4231</v>
      </c>
      <c r="Q65" s="6" t="s">
        <v>4246</v>
      </c>
    </row>
    <row r="66" spans="1:17" ht="40.200000000000003" customHeight="1" x14ac:dyDescent="0.3">
      <c r="A66" s="5">
        <v>1168</v>
      </c>
      <c r="B66" s="5" t="s">
        <v>1972</v>
      </c>
      <c r="C66" s="5" t="s">
        <v>130</v>
      </c>
      <c r="D66" s="5" t="s">
        <v>130</v>
      </c>
      <c r="E66" s="5" t="s">
        <v>1972</v>
      </c>
      <c r="F66" s="5" t="s">
        <v>4060</v>
      </c>
      <c r="G66" s="5" t="s">
        <v>2042</v>
      </c>
      <c r="H66" s="5" t="s">
        <v>118</v>
      </c>
      <c r="I66" s="5" t="s">
        <v>2043</v>
      </c>
      <c r="J66" s="5">
        <v>36</v>
      </c>
      <c r="K66" s="5" t="s">
        <v>19</v>
      </c>
      <c r="L66" s="11">
        <v>90.690859325699648</v>
      </c>
      <c r="M66" s="5" t="s">
        <v>33</v>
      </c>
      <c r="N66" s="11">
        <f>Tabla3[[#This Row],[Price]]*Tabla3[[#This Row],[QTY Adjusted]]</f>
        <v>3264.8709357251873</v>
      </c>
      <c r="O66" s="11">
        <v>3264.8709357251873</v>
      </c>
      <c r="P66" s="21" t="s">
        <v>4241</v>
      </c>
      <c r="Q66" s="6" t="s">
        <v>4246</v>
      </c>
    </row>
    <row r="67" spans="1:17" ht="40.200000000000003" customHeight="1" x14ac:dyDescent="0.3">
      <c r="A67" s="5">
        <v>1171</v>
      </c>
      <c r="B67" s="5" t="s">
        <v>1972</v>
      </c>
      <c r="C67" s="5" t="s">
        <v>1444</v>
      </c>
      <c r="D67" s="5" t="s">
        <v>44</v>
      </c>
      <c r="E67" s="5" t="s">
        <v>1972</v>
      </c>
      <c r="F67" s="5" t="s">
        <v>4060</v>
      </c>
      <c r="G67" s="5" t="s">
        <v>1445</v>
      </c>
      <c r="H67" s="5" t="s">
        <v>1446</v>
      </c>
      <c r="I67" s="5" t="s">
        <v>1447</v>
      </c>
      <c r="J67" s="5">
        <v>108</v>
      </c>
      <c r="K67" s="5" t="s">
        <v>19</v>
      </c>
      <c r="L67" s="11">
        <v>24.9</v>
      </c>
      <c r="M67" s="5" t="s">
        <v>33</v>
      </c>
      <c r="N67" s="11">
        <f>Tabla3[[#This Row],[Price]]*Tabla3[[#This Row],[QTY Adjusted]]</f>
        <v>2689.2</v>
      </c>
      <c r="O67" s="11">
        <v>2689.2</v>
      </c>
      <c r="P67" s="23">
        <v>46101</v>
      </c>
      <c r="Q67" s="6" t="s">
        <v>4246</v>
      </c>
    </row>
    <row r="68" spans="1:17" ht="40.200000000000003" customHeight="1" x14ac:dyDescent="0.3">
      <c r="A68" s="5">
        <v>1142</v>
      </c>
      <c r="B68" s="5" t="s">
        <v>1972</v>
      </c>
      <c r="C68" s="5" t="s">
        <v>1387</v>
      </c>
      <c r="D68" s="5" t="s">
        <v>44</v>
      </c>
      <c r="E68" s="5" t="s">
        <v>1972</v>
      </c>
      <c r="F68" s="5" t="s">
        <v>4060</v>
      </c>
      <c r="G68" s="5" t="s">
        <v>1406</v>
      </c>
      <c r="H68" s="5" t="s">
        <v>1407</v>
      </c>
      <c r="I68" s="5" t="s">
        <v>1408</v>
      </c>
      <c r="J68" s="5">
        <v>108</v>
      </c>
      <c r="K68" s="5" t="s">
        <v>19</v>
      </c>
      <c r="L68" s="11">
        <v>24.852</v>
      </c>
      <c r="M68" s="5" t="s">
        <v>33</v>
      </c>
      <c r="N68" s="11">
        <f>Tabla3[[#This Row],[Price]]*Tabla3[[#This Row],[QTY Adjusted]]</f>
        <v>2684.0160000000001</v>
      </c>
      <c r="O68" s="11">
        <v>2684.0160000000001</v>
      </c>
      <c r="P68" s="23">
        <v>46101</v>
      </c>
      <c r="Q68" s="6" t="s">
        <v>4246</v>
      </c>
    </row>
    <row r="69" spans="1:17" ht="40.200000000000003" customHeight="1" x14ac:dyDescent="0.3">
      <c r="A69" s="5">
        <v>1312</v>
      </c>
      <c r="B69" s="5" t="s">
        <v>1972</v>
      </c>
      <c r="C69" s="5" t="s">
        <v>2318</v>
      </c>
      <c r="D69" s="5" t="s">
        <v>362</v>
      </c>
      <c r="E69" s="5" t="s">
        <v>2306</v>
      </c>
      <c r="F69" s="5" t="s">
        <v>4059</v>
      </c>
      <c r="G69" s="5">
        <v>871557</v>
      </c>
      <c r="H69" s="5" t="s">
        <v>2319</v>
      </c>
      <c r="I69" s="5" t="s">
        <v>2320</v>
      </c>
      <c r="J69" s="5">
        <v>48</v>
      </c>
      <c r="K69" s="5" t="s">
        <v>19</v>
      </c>
      <c r="L69" s="11">
        <v>63.581081081081074</v>
      </c>
      <c r="M69" s="5" t="s">
        <v>33</v>
      </c>
      <c r="N69" s="11">
        <f>Tabla3[[#This Row],[Price]]*Tabla3[[#This Row],[QTY Adjusted]]</f>
        <v>3051.8918918918916</v>
      </c>
      <c r="O69" s="11">
        <v>3051.8918918918916</v>
      </c>
      <c r="P69" s="21" t="s">
        <v>4244</v>
      </c>
      <c r="Q69" s="6" t="s">
        <v>4246</v>
      </c>
    </row>
    <row r="70" spans="1:17" ht="40.200000000000003" customHeight="1" x14ac:dyDescent="0.3">
      <c r="A70" s="5">
        <v>1246</v>
      </c>
      <c r="B70" s="5" t="s">
        <v>1972</v>
      </c>
      <c r="C70" s="5" t="s">
        <v>990</v>
      </c>
      <c r="D70" s="5" t="s">
        <v>130</v>
      </c>
      <c r="E70" s="5" t="s">
        <v>2079</v>
      </c>
      <c r="F70" s="5" t="s">
        <v>4059</v>
      </c>
      <c r="G70" s="5" t="s">
        <v>2171</v>
      </c>
      <c r="H70" s="5" t="s">
        <v>2172</v>
      </c>
      <c r="I70" s="5" t="s">
        <v>2173</v>
      </c>
      <c r="J70" s="5">
        <v>4</v>
      </c>
      <c r="K70" s="5" t="s">
        <v>19</v>
      </c>
      <c r="L70" s="11">
        <v>751.59188681206638</v>
      </c>
      <c r="M70" s="5" t="s">
        <v>33</v>
      </c>
      <c r="N70" s="11">
        <f>Tabla3[[#This Row],[Price]]*Tabla3[[#This Row],[QTY Adjusted]]</f>
        <v>3006.3675472482655</v>
      </c>
      <c r="O70" s="11">
        <v>3006.3675472482655</v>
      </c>
      <c r="P70" s="21" t="s">
        <v>4225</v>
      </c>
      <c r="Q70" s="6" t="s">
        <v>4246</v>
      </c>
    </row>
    <row r="71" spans="1:17" ht="40.200000000000003" customHeight="1" x14ac:dyDescent="0.3">
      <c r="A71" s="5">
        <v>1149</v>
      </c>
      <c r="B71" s="5" t="s">
        <v>1972</v>
      </c>
      <c r="C71" s="5" t="s">
        <v>1387</v>
      </c>
      <c r="D71" s="5" t="s">
        <v>44</v>
      </c>
      <c r="E71" s="5" t="s">
        <v>1972</v>
      </c>
      <c r="F71" s="5" t="s">
        <v>4060</v>
      </c>
      <c r="G71" s="5" t="s">
        <v>1421</v>
      </c>
      <c r="H71" s="5" t="s">
        <v>1422</v>
      </c>
      <c r="I71" s="5" t="s">
        <v>1423</v>
      </c>
      <c r="J71" s="5">
        <v>209</v>
      </c>
      <c r="K71" s="5" t="s">
        <v>19</v>
      </c>
      <c r="L71" s="11">
        <v>12.3</v>
      </c>
      <c r="M71" s="5" t="s">
        <v>33</v>
      </c>
      <c r="N71" s="11">
        <f>Tabla3[[#This Row],[Price]]*Tabla3[[#This Row],[QTY Adjusted]]</f>
        <v>2570.7000000000003</v>
      </c>
      <c r="O71" s="15">
        <v>2163.15</v>
      </c>
      <c r="P71" s="23">
        <v>46101</v>
      </c>
      <c r="Q71" s="6" t="s">
        <v>4246</v>
      </c>
    </row>
    <row r="72" spans="1:17" ht="40.200000000000003" customHeight="1" x14ac:dyDescent="0.3">
      <c r="A72" s="5">
        <v>1331</v>
      </c>
      <c r="B72" s="5" t="s">
        <v>1972</v>
      </c>
      <c r="C72" s="5" t="s">
        <v>2380</v>
      </c>
      <c r="D72" s="5" t="s">
        <v>1490</v>
      </c>
      <c r="E72" s="5" t="s">
        <v>2362</v>
      </c>
      <c r="F72" s="5" t="s">
        <v>4059</v>
      </c>
      <c r="G72" s="5" t="s">
        <v>205</v>
      </c>
      <c r="H72" s="5" t="s">
        <v>2381</v>
      </c>
      <c r="I72" s="5" t="s">
        <v>2382</v>
      </c>
      <c r="J72" s="5">
        <v>1</v>
      </c>
      <c r="K72" s="5" t="s">
        <v>19</v>
      </c>
      <c r="L72" s="11" t="e">
        <f>#REF!</f>
        <v>#REF!</v>
      </c>
      <c r="M72" s="5" t="s">
        <v>33</v>
      </c>
      <c r="N72" s="11" t="e">
        <f>Tabla3[[#This Row],[Price]]*Tabla3[[#This Row],[QTY Adjusted]]</f>
        <v>#REF!</v>
      </c>
      <c r="O72" s="11">
        <v>3499</v>
      </c>
      <c r="P72" s="21" t="s">
        <v>4229</v>
      </c>
      <c r="Q72" s="6" t="s">
        <v>4246</v>
      </c>
    </row>
    <row r="73" spans="1:17" ht="40.200000000000003" customHeight="1" x14ac:dyDescent="0.3">
      <c r="A73" s="5">
        <v>1158</v>
      </c>
      <c r="B73" s="5" t="s">
        <v>1972</v>
      </c>
      <c r="C73" s="5" t="s">
        <v>1387</v>
      </c>
      <c r="D73" s="5" t="s">
        <v>44</v>
      </c>
      <c r="E73" s="5" t="s">
        <v>1972</v>
      </c>
      <c r="F73" s="5" t="s">
        <v>4060</v>
      </c>
      <c r="G73" s="5" t="s">
        <v>2025</v>
      </c>
      <c r="H73" s="5" t="s">
        <v>2026</v>
      </c>
      <c r="I73" s="5" t="s">
        <v>2027</v>
      </c>
      <c r="J73" s="5">
        <v>267</v>
      </c>
      <c r="K73" s="5" t="s">
        <v>19</v>
      </c>
      <c r="L73" s="11">
        <v>9.2759999999999998</v>
      </c>
      <c r="M73" s="5" t="s">
        <v>33</v>
      </c>
      <c r="N73" s="11">
        <f>Tabla3[[#This Row],[Price]]*Tabla3[[#This Row],[QTY Adjusted]]</f>
        <v>2476.692</v>
      </c>
      <c r="O73" s="15">
        <v>854.40000000000009</v>
      </c>
      <c r="P73" s="23">
        <v>46101</v>
      </c>
      <c r="Q73" s="6" t="s">
        <v>4246</v>
      </c>
    </row>
    <row r="74" spans="1:17" ht="40.200000000000003" customHeight="1" x14ac:dyDescent="0.3">
      <c r="A74" s="5">
        <v>1145</v>
      </c>
      <c r="B74" s="5" t="s">
        <v>1972</v>
      </c>
      <c r="C74" s="5" t="s">
        <v>1387</v>
      </c>
      <c r="D74" s="5" t="s">
        <v>44</v>
      </c>
      <c r="E74" s="5" t="s">
        <v>1972</v>
      </c>
      <c r="F74" s="5" t="s">
        <v>4060</v>
      </c>
      <c r="G74" s="5" t="s">
        <v>1409</v>
      </c>
      <c r="H74" s="5" t="s">
        <v>1410</v>
      </c>
      <c r="I74" s="5" t="s">
        <v>1411</v>
      </c>
      <c r="J74" s="5">
        <v>267</v>
      </c>
      <c r="K74" s="5" t="s">
        <v>19</v>
      </c>
      <c r="L74" s="11">
        <v>9.24</v>
      </c>
      <c r="M74" s="5" t="s">
        <v>33</v>
      </c>
      <c r="N74" s="11">
        <f>Tabla3[[#This Row],[Price]]*Tabla3[[#This Row],[QTY Adjusted]]</f>
        <v>2467.08</v>
      </c>
      <c r="O74" s="11">
        <v>2467.08</v>
      </c>
      <c r="P74" s="23">
        <v>46101</v>
      </c>
      <c r="Q74" s="6" t="s">
        <v>4246</v>
      </c>
    </row>
    <row r="75" spans="1:17" ht="40.200000000000003" customHeight="1" x14ac:dyDescent="0.3">
      <c r="A75" s="5">
        <v>1200</v>
      </c>
      <c r="B75" s="5" t="s">
        <v>1972</v>
      </c>
      <c r="C75" s="5" t="s">
        <v>219</v>
      </c>
      <c r="D75" s="5" t="s">
        <v>44</v>
      </c>
      <c r="E75" s="5" t="s">
        <v>2079</v>
      </c>
      <c r="F75" s="5" t="s">
        <v>4059</v>
      </c>
      <c r="G75" s="5" t="s">
        <v>2080</v>
      </c>
      <c r="H75" s="5" t="s">
        <v>2081</v>
      </c>
      <c r="I75" s="5" t="s">
        <v>2082</v>
      </c>
      <c r="J75" s="5">
        <v>4</v>
      </c>
      <c r="K75" s="5" t="s">
        <v>19</v>
      </c>
      <c r="L75" s="11">
        <v>712.36800000000005</v>
      </c>
      <c r="M75" s="5" t="s">
        <v>33</v>
      </c>
      <c r="N75" s="11">
        <f>Tabla3[[#This Row],[Price]]*Tabla3[[#This Row],[QTY Adjusted]]</f>
        <v>2849.4720000000002</v>
      </c>
      <c r="O75" s="11">
        <v>2849.4720000000002</v>
      </c>
      <c r="P75" s="23">
        <v>46096</v>
      </c>
      <c r="Q75" s="6" t="s">
        <v>4246</v>
      </c>
    </row>
    <row r="76" spans="1:17" ht="40.200000000000003" customHeight="1" x14ac:dyDescent="0.3">
      <c r="A76" s="5">
        <v>1271</v>
      </c>
      <c r="B76" s="5" t="s">
        <v>1972</v>
      </c>
      <c r="C76" s="5" t="s">
        <v>2229</v>
      </c>
      <c r="D76" s="5" t="s">
        <v>718</v>
      </c>
      <c r="E76" s="5" t="s">
        <v>2230</v>
      </c>
      <c r="F76" s="5" t="s">
        <v>4059</v>
      </c>
      <c r="G76" s="5">
        <v>4583</v>
      </c>
      <c r="H76" s="5" t="s">
        <v>2231</v>
      </c>
      <c r="I76" s="5" t="s">
        <v>2232</v>
      </c>
      <c r="J76" s="5">
        <v>12</v>
      </c>
      <c r="K76" s="5" t="s">
        <v>19</v>
      </c>
      <c r="L76" s="11">
        <v>232.5</v>
      </c>
      <c r="M76" s="5" t="s">
        <v>33</v>
      </c>
      <c r="N76" s="11">
        <f>Tabla3[[#This Row],[Price]]*Tabla3[[#This Row],[QTY Adjusted]]</f>
        <v>2790</v>
      </c>
      <c r="O76" s="11">
        <v>2790</v>
      </c>
      <c r="P76" s="21" t="s">
        <v>4238</v>
      </c>
      <c r="Q76" s="6" t="s">
        <v>4246</v>
      </c>
    </row>
    <row r="77" spans="1:17" ht="40.200000000000003" customHeight="1" x14ac:dyDescent="0.3">
      <c r="A77" s="5">
        <v>1144</v>
      </c>
      <c r="B77" s="5" t="s">
        <v>1972</v>
      </c>
      <c r="C77" s="5" t="s">
        <v>1387</v>
      </c>
      <c r="D77" s="5" t="s">
        <v>44</v>
      </c>
      <c r="E77" s="5" t="s">
        <v>1972</v>
      </c>
      <c r="F77" s="5" t="s">
        <v>4060</v>
      </c>
      <c r="G77" s="5" t="s">
        <v>2012</v>
      </c>
      <c r="H77" s="5" t="s">
        <v>2013</v>
      </c>
      <c r="I77" s="5" t="s">
        <v>2014</v>
      </c>
      <c r="J77" s="5">
        <v>144</v>
      </c>
      <c r="K77" s="5" t="s">
        <v>19</v>
      </c>
      <c r="L77" s="11">
        <v>16.416</v>
      </c>
      <c r="M77" s="5" t="s">
        <v>33</v>
      </c>
      <c r="N77" s="11">
        <f>Tabla3[[#This Row],[Price]]*Tabla3[[#This Row],[QTY Adjusted]]</f>
        <v>2363.904</v>
      </c>
      <c r="O77" s="11">
        <v>2363.904</v>
      </c>
      <c r="P77" s="23">
        <v>46101</v>
      </c>
      <c r="Q77" s="6" t="s">
        <v>4246</v>
      </c>
    </row>
    <row r="78" spans="1:17" ht="40.200000000000003" customHeight="1" x14ac:dyDescent="0.3">
      <c r="A78" s="5">
        <v>1186</v>
      </c>
      <c r="B78" s="5" t="s">
        <v>1972</v>
      </c>
      <c r="C78" s="5" t="s">
        <v>648</v>
      </c>
      <c r="D78" s="5" t="s">
        <v>130</v>
      </c>
      <c r="E78" s="5" t="s">
        <v>1972</v>
      </c>
      <c r="F78" s="5" t="s">
        <v>4060</v>
      </c>
      <c r="G78" s="5" t="s">
        <v>1945</v>
      </c>
      <c r="H78" s="5" t="s">
        <v>1946</v>
      </c>
      <c r="I78" s="5" t="s">
        <v>1947</v>
      </c>
      <c r="J78" s="5">
        <v>6</v>
      </c>
      <c r="K78" s="5" t="s">
        <v>19</v>
      </c>
      <c r="L78" s="11">
        <v>440.43241791926249</v>
      </c>
      <c r="M78" s="5" t="s">
        <v>33</v>
      </c>
      <c r="N78" s="11">
        <f>Tabla3[[#This Row],[Price]]*Tabla3[[#This Row],[QTY Adjusted]]</f>
        <v>2642.5945075155751</v>
      </c>
      <c r="O78" s="11">
        <v>2642.5945075155751</v>
      </c>
      <c r="P78" s="21" t="s">
        <v>4241</v>
      </c>
      <c r="Q78" s="6" t="s">
        <v>4246</v>
      </c>
    </row>
    <row r="79" spans="1:17" ht="40.200000000000003" customHeight="1" x14ac:dyDescent="0.3">
      <c r="A79" s="5">
        <v>1176</v>
      </c>
      <c r="B79" s="5" t="s">
        <v>1972</v>
      </c>
      <c r="C79" s="5" t="s">
        <v>228</v>
      </c>
      <c r="D79" s="5" t="s">
        <v>44</v>
      </c>
      <c r="E79" s="5" t="s">
        <v>1972</v>
      </c>
      <c r="F79" s="5" t="s">
        <v>4062</v>
      </c>
      <c r="G79" s="5" t="s">
        <v>2051</v>
      </c>
      <c r="H79" s="5" t="s">
        <v>2052</v>
      </c>
      <c r="I79" s="5" t="s">
        <v>2053</v>
      </c>
      <c r="J79" s="5">
        <v>396</v>
      </c>
      <c r="K79" s="5" t="s">
        <v>19</v>
      </c>
      <c r="L79" s="11">
        <v>5.57</v>
      </c>
      <c r="M79" s="5" t="s">
        <v>33</v>
      </c>
      <c r="N79" s="11">
        <f>Tabla3[[#This Row],[Price]]*Tabla3[[#This Row],[QTY Adjusted]]</f>
        <v>2205.7200000000003</v>
      </c>
      <c r="O79" s="11">
        <v>2205.7200000000003</v>
      </c>
      <c r="P79" s="23" t="s">
        <v>4225</v>
      </c>
      <c r="Q79" s="6" t="s">
        <v>4246</v>
      </c>
    </row>
    <row r="80" spans="1:17" ht="40.200000000000003" customHeight="1" x14ac:dyDescent="0.3">
      <c r="A80" s="5">
        <v>1239</v>
      </c>
      <c r="B80" s="5" t="s">
        <v>1972</v>
      </c>
      <c r="C80" s="5" t="s">
        <v>561</v>
      </c>
      <c r="D80" s="5" t="s">
        <v>44</v>
      </c>
      <c r="E80" s="5" t="s">
        <v>2079</v>
      </c>
      <c r="F80" s="5" t="s">
        <v>4059</v>
      </c>
      <c r="G80" s="5" t="s">
        <v>2153</v>
      </c>
      <c r="H80" s="5" t="s">
        <v>2154</v>
      </c>
      <c r="I80" s="5" t="s">
        <v>2155</v>
      </c>
      <c r="J80" s="5">
        <v>4</v>
      </c>
      <c r="K80" s="5" t="s">
        <v>19</v>
      </c>
      <c r="L80" s="11">
        <v>641.13</v>
      </c>
      <c r="M80" s="5" t="s">
        <v>33</v>
      </c>
      <c r="N80" s="11">
        <f>Tabla3[[#This Row],[Price]]*Tabla3[[#This Row],[QTY Adjusted]]</f>
        <v>2564.52</v>
      </c>
      <c r="O80" s="11">
        <v>2564.52</v>
      </c>
      <c r="P80" s="23" t="s">
        <v>4225</v>
      </c>
      <c r="Q80" s="6" t="s">
        <v>4246</v>
      </c>
    </row>
    <row r="81" spans="1:17" ht="40.200000000000003" customHeight="1" x14ac:dyDescent="0.3">
      <c r="A81" s="5">
        <v>1329</v>
      </c>
      <c r="B81" s="5" t="s">
        <v>1972</v>
      </c>
      <c r="C81" s="5" t="s">
        <v>2374</v>
      </c>
      <c r="D81" s="5" t="str">
        <f>Tabla3[[#This Row],[Vendor]]</f>
        <v xml:space="preserve">Gozney </v>
      </c>
      <c r="E81" s="5" t="s">
        <v>2362</v>
      </c>
      <c r="F81" s="5" t="s">
        <v>4059</v>
      </c>
      <c r="G81" s="5" t="s">
        <v>205</v>
      </c>
      <c r="H81" s="5" t="s">
        <v>2375</v>
      </c>
      <c r="I81" s="5" t="s">
        <v>2376</v>
      </c>
      <c r="J81" s="5">
        <v>1</v>
      </c>
      <c r="K81" s="5" t="s">
        <v>2377</v>
      </c>
      <c r="L81" s="11">
        <v>2499.9875000000002</v>
      </c>
      <c r="M81" s="5" t="s">
        <v>33</v>
      </c>
      <c r="N81" s="11">
        <f>Tabla3[[#This Row],[Price]]*Tabla3[[#This Row],[QTY Adjusted]]</f>
        <v>2499.9875000000002</v>
      </c>
      <c r="O81" s="11">
        <v>2499.9875000000002</v>
      </c>
      <c r="P81" s="21" t="s">
        <v>4231</v>
      </c>
      <c r="Q81" s="6" t="s">
        <v>4246</v>
      </c>
    </row>
    <row r="82" spans="1:17" ht="40.200000000000003" customHeight="1" x14ac:dyDescent="0.3">
      <c r="A82" s="5">
        <v>1332</v>
      </c>
      <c r="B82" s="5" t="s">
        <v>1972</v>
      </c>
      <c r="C82" s="5" t="s">
        <v>2383</v>
      </c>
      <c r="D82" s="5" t="str">
        <f>Tabla3[[#This Row],[Vendor]]</f>
        <v>Mill Scale</v>
      </c>
      <c r="E82" s="5" t="s">
        <v>2362</v>
      </c>
      <c r="F82" s="5" t="s">
        <v>4059</v>
      </c>
      <c r="G82" s="5" t="s">
        <v>205</v>
      </c>
      <c r="H82" s="5" t="s">
        <v>2384</v>
      </c>
      <c r="I82" s="5" t="s">
        <v>2385</v>
      </c>
      <c r="J82" s="5">
        <v>1</v>
      </c>
      <c r="K82" s="5" t="s">
        <v>19</v>
      </c>
      <c r="L82" s="11">
        <v>2493.75</v>
      </c>
      <c r="M82" s="5" t="s">
        <v>33</v>
      </c>
      <c r="N82" s="11">
        <f>Tabla3[[#This Row],[Price]]*Tabla3[[#This Row],[QTY Adjusted]]</f>
        <v>2493.75</v>
      </c>
      <c r="O82" s="11">
        <v>2493.75</v>
      </c>
      <c r="P82" s="21" t="s">
        <v>4224</v>
      </c>
      <c r="Q82" s="6" t="s">
        <v>4246</v>
      </c>
    </row>
    <row r="83" spans="1:17" ht="40.200000000000003" customHeight="1" x14ac:dyDescent="0.3">
      <c r="A83" s="5">
        <v>1241</v>
      </c>
      <c r="B83" s="5" t="s">
        <v>1972</v>
      </c>
      <c r="C83" s="5" t="s">
        <v>561</v>
      </c>
      <c r="D83" s="5" t="s">
        <v>44</v>
      </c>
      <c r="E83" s="5" t="s">
        <v>2079</v>
      </c>
      <c r="F83" s="5" t="s">
        <v>4059</v>
      </c>
      <c r="G83" s="5" t="s">
        <v>1122</v>
      </c>
      <c r="H83" s="5" t="s">
        <v>2158</v>
      </c>
      <c r="I83" s="5" t="s">
        <v>2159</v>
      </c>
      <c r="J83" s="5">
        <v>8</v>
      </c>
      <c r="K83" s="5" t="s">
        <v>2098</v>
      </c>
      <c r="L83" s="11">
        <v>310.20499999999998</v>
      </c>
      <c r="M83" s="5" t="s">
        <v>33</v>
      </c>
      <c r="N83" s="11">
        <f>Tabla3[[#This Row],[Price]]*Tabla3[[#This Row],[QTY Adjusted]]</f>
        <v>2481.64</v>
      </c>
      <c r="O83" s="11">
        <v>2481.64</v>
      </c>
      <c r="P83" s="23" t="s">
        <v>4225</v>
      </c>
      <c r="Q83" s="6" t="s">
        <v>4246</v>
      </c>
    </row>
    <row r="84" spans="1:17" ht="40.200000000000003" customHeight="1" x14ac:dyDescent="0.3">
      <c r="A84" s="5">
        <v>1146</v>
      </c>
      <c r="B84" s="5" t="s">
        <v>1972</v>
      </c>
      <c r="C84" s="5" t="s">
        <v>1387</v>
      </c>
      <c r="D84" s="5" t="s">
        <v>44</v>
      </c>
      <c r="E84" s="5" t="s">
        <v>1972</v>
      </c>
      <c r="F84" s="5" t="s">
        <v>4060</v>
      </c>
      <c r="G84" s="5" t="s">
        <v>1412</v>
      </c>
      <c r="H84" s="5" t="s">
        <v>1413</v>
      </c>
      <c r="I84" s="5" t="s">
        <v>1414</v>
      </c>
      <c r="J84" s="5">
        <v>267</v>
      </c>
      <c r="K84" s="5" t="s">
        <v>19</v>
      </c>
      <c r="L84" s="11">
        <v>7.68</v>
      </c>
      <c r="M84" s="5" t="s">
        <v>33</v>
      </c>
      <c r="N84" s="11">
        <f>Tabla3[[#This Row],[Price]]*Tabla3[[#This Row],[QTY Adjusted]]</f>
        <v>2050.56</v>
      </c>
      <c r="O84" s="11">
        <v>2050.56</v>
      </c>
      <c r="P84" s="23">
        <v>46101</v>
      </c>
      <c r="Q84" s="6" t="s">
        <v>4246</v>
      </c>
    </row>
    <row r="85" spans="1:17" ht="40.200000000000003" customHeight="1" x14ac:dyDescent="0.3">
      <c r="A85" s="5">
        <v>1190</v>
      </c>
      <c r="B85" s="5" t="s">
        <v>1972</v>
      </c>
      <c r="C85" s="5" t="s">
        <v>1481</v>
      </c>
      <c r="D85" s="5" t="str">
        <f>Tabla3[[#This Row],[Vendor]]</f>
        <v>GT Linens</v>
      </c>
      <c r="E85" s="5" t="s">
        <v>2060</v>
      </c>
      <c r="F85" s="5" t="s">
        <v>4061</v>
      </c>
      <c r="G85" s="5" t="s">
        <v>178</v>
      </c>
      <c r="H85" s="5" t="s">
        <v>2065</v>
      </c>
      <c r="I85" s="5" t="s">
        <v>2066</v>
      </c>
      <c r="J85" s="5">
        <v>32</v>
      </c>
      <c r="K85" s="5" t="s">
        <v>19</v>
      </c>
      <c r="L85" s="11">
        <v>74.06</v>
      </c>
      <c r="M85" s="5" t="s">
        <v>33</v>
      </c>
      <c r="N85" s="11">
        <f>Tabla3[[#This Row],[Price]]*Tabla3[[#This Row],[QTY Adjusted]]</f>
        <v>2369.92</v>
      </c>
      <c r="O85" s="11">
        <v>2369.92</v>
      </c>
      <c r="P85" s="21" t="s">
        <v>4237</v>
      </c>
      <c r="Q85" s="6" t="s">
        <v>4246</v>
      </c>
    </row>
    <row r="86" spans="1:17" ht="40.200000000000003" customHeight="1" x14ac:dyDescent="0.3">
      <c r="A86" s="5">
        <v>1169</v>
      </c>
      <c r="B86" s="5" t="s">
        <v>1972</v>
      </c>
      <c r="C86" s="5" t="s">
        <v>357</v>
      </c>
      <c r="D86" s="5" t="s">
        <v>93</v>
      </c>
      <c r="E86" s="5" t="s">
        <v>1972</v>
      </c>
      <c r="F86" s="5" t="s">
        <v>4059</v>
      </c>
      <c r="G86" s="5" t="s">
        <v>679</v>
      </c>
      <c r="H86" s="5" t="s">
        <v>125</v>
      </c>
      <c r="I86" s="5" t="s">
        <v>680</v>
      </c>
      <c r="J86" s="5">
        <v>48</v>
      </c>
      <c r="K86" s="5" t="s">
        <v>19</v>
      </c>
      <c r="L86" s="11">
        <v>48.49</v>
      </c>
      <c r="M86" s="5" t="s">
        <v>33</v>
      </c>
      <c r="N86" s="11">
        <f>Tabla3[[#This Row],[Price]]*Tabla3[[#This Row],[QTY Adjusted]]</f>
        <v>2327.52</v>
      </c>
      <c r="O86" s="11">
        <v>2327.52</v>
      </c>
      <c r="P86" s="21" t="s">
        <v>4225</v>
      </c>
      <c r="Q86" s="6" t="s">
        <v>4246</v>
      </c>
    </row>
    <row r="87" spans="1:17" ht="40.200000000000003" customHeight="1" x14ac:dyDescent="0.3">
      <c r="A87" s="5">
        <v>1211</v>
      </c>
      <c r="B87" s="5" t="s">
        <v>1972</v>
      </c>
      <c r="C87" s="5" t="s">
        <v>43</v>
      </c>
      <c r="D87" s="5" t="s">
        <v>44</v>
      </c>
      <c r="E87" s="5" t="s">
        <v>2079</v>
      </c>
      <c r="F87" s="5" t="s">
        <v>4059</v>
      </c>
      <c r="G87" s="5" t="s">
        <v>2101</v>
      </c>
      <c r="H87" s="5" t="s">
        <v>2102</v>
      </c>
      <c r="I87" s="5" t="s">
        <v>2103</v>
      </c>
      <c r="J87" s="5">
        <v>12</v>
      </c>
      <c r="K87" s="5" t="s">
        <v>19</v>
      </c>
      <c r="L87" s="11">
        <v>193.89</v>
      </c>
      <c r="M87" s="5" t="s">
        <v>33</v>
      </c>
      <c r="N87" s="11">
        <f>Tabla3[[#This Row],[Price]]*Tabla3[[#This Row],[QTY Adjusted]]</f>
        <v>2326.6799999999998</v>
      </c>
      <c r="O87" s="11">
        <v>2326.6799999999998</v>
      </c>
      <c r="P87" s="23">
        <v>46101</v>
      </c>
      <c r="Q87" s="6" t="s">
        <v>4246</v>
      </c>
    </row>
    <row r="88" spans="1:17" ht="40.200000000000003" customHeight="1" x14ac:dyDescent="0.3">
      <c r="A88" s="5">
        <v>1278</v>
      </c>
      <c r="B88" s="5" t="s">
        <v>1972</v>
      </c>
      <c r="C88" s="5" t="s">
        <v>2229</v>
      </c>
      <c r="D88" s="5" t="s">
        <v>718</v>
      </c>
      <c r="E88" s="5" t="s">
        <v>2230</v>
      </c>
      <c r="F88" s="5" t="s">
        <v>4059</v>
      </c>
      <c r="G88" s="5">
        <v>5405</v>
      </c>
      <c r="H88" s="5" t="s">
        <v>2245</v>
      </c>
      <c r="I88" s="5" t="s">
        <v>2246</v>
      </c>
      <c r="J88" s="5">
        <v>87</v>
      </c>
      <c r="K88" s="5" t="s">
        <v>19</v>
      </c>
      <c r="L88" s="11">
        <v>22.8</v>
      </c>
      <c r="M88" s="5" t="s">
        <v>33</v>
      </c>
      <c r="N88" s="11">
        <f>Tabla3[[#This Row],[Price]]*Tabla3[[#This Row],[QTY Adjusted]]</f>
        <v>1983.6000000000001</v>
      </c>
      <c r="O88" s="11">
        <v>1983.6000000000001</v>
      </c>
      <c r="P88" s="21" t="s">
        <v>4238</v>
      </c>
      <c r="Q88" s="6" t="s">
        <v>4246</v>
      </c>
    </row>
    <row r="89" spans="1:17" ht="40.200000000000003" customHeight="1" x14ac:dyDescent="0.3">
      <c r="A89" s="5">
        <v>1265</v>
      </c>
      <c r="B89" s="5" t="s">
        <v>1972</v>
      </c>
      <c r="C89" s="5" t="s">
        <v>990</v>
      </c>
      <c r="D89" s="5" t="s">
        <v>130</v>
      </c>
      <c r="E89" s="5" t="s">
        <v>2202</v>
      </c>
      <c r="F89" s="5" t="s">
        <v>4059</v>
      </c>
      <c r="G89" s="5" t="s">
        <v>2217</v>
      </c>
      <c r="H89" s="5" t="s">
        <v>2218</v>
      </c>
      <c r="I89" s="5" t="s">
        <v>2219</v>
      </c>
      <c r="J89" s="5">
        <v>3</v>
      </c>
      <c r="K89" s="5" t="s">
        <v>19</v>
      </c>
      <c r="L89" s="11">
        <v>736.25124357470304</v>
      </c>
      <c r="M89" s="5" t="s">
        <v>33</v>
      </c>
      <c r="N89" s="11">
        <f>Tabla3[[#This Row],[Price]]*Tabla3[[#This Row],[QTY Adjusted]]</f>
        <v>2208.7537307241091</v>
      </c>
      <c r="O89" s="11">
        <v>2208.7537307241091</v>
      </c>
      <c r="P89" s="21" t="s">
        <v>4225</v>
      </c>
      <c r="Q89" s="6" t="s">
        <v>4246</v>
      </c>
    </row>
    <row r="90" spans="1:17" ht="40.200000000000003" customHeight="1" x14ac:dyDescent="0.3">
      <c r="A90" s="5">
        <v>1308</v>
      </c>
      <c r="B90" s="5" t="s">
        <v>1972</v>
      </c>
      <c r="C90" s="5" t="s">
        <v>684</v>
      </c>
      <c r="D90" s="5" t="str">
        <f>Tabla3[[#This Row],[Vendor]]</f>
        <v>Pantheon</v>
      </c>
      <c r="E90" s="5" t="s">
        <v>2306</v>
      </c>
      <c r="F90" s="5" t="s">
        <v>4059</v>
      </c>
      <c r="G90" s="5" t="s">
        <v>195</v>
      </c>
      <c r="H90" s="5" t="s">
        <v>2307</v>
      </c>
      <c r="I90" s="5" t="s">
        <v>2308</v>
      </c>
      <c r="J90" s="5">
        <v>48</v>
      </c>
      <c r="K90" s="5" t="s">
        <v>19</v>
      </c>
      <c r="L90" s="11">
        <v>45.92</v>
      </c>
      <c r="M90" s="5" t="s">
        <v>33</v>
      </c>
      <c r="N90" s="11">
        <f>Tabla3[[#This Row],[Price]]*Tabla3[[#This Row],[QTY Adjusted]]</f>
        <v>2204.16</v>
      </c>
      <c r="O90" s="11">
        <v>2204.16</v>
      </c>
      <c r="P90" s="21" t="s">
        <v>4244</v>
      </c>
      <c r="Q90" s="6" t="s">
        <v>4246</v>
      </c>
    </row>
    <row r="91" spans="1:17" ht="40.200000000000003" customHeight="1" x14ac:dyDescent="0.3">
      <c r="A91" s="5">
        <v>1230</v>
      </c>
      <c r="B91" s="5" t="s">
        <v>1972</v>
      </c>
      <c r="C91" s="5" t="s">
        <v>561</v>
      </c>
      <c r="D91" s="5" t="s">
        <v>44</v>
      </c>
      <c r="E91" s="5" t="s">
        <v>2079</v>
      </c>
      <c r="F91" s="5" t="s">
        <v>4059</v>
      </c>
      <c r="G91" s="5" t="s">
        <v>2140</v>
      </c>
      <c r="H91" s="5" t="s">
        <v>2141</v>
      </c>
      <c r="I91" s="5"/>
      <c r="J91" s="5">
        <v>8</v>
      </c>
      <c r="K91" s="5" t="s">
        <v>19</v>
      </c>
      <c r="L91" s="11">
        <v>273.35000000000002</v>
      </c>
      <c r="M91" s="5" t="s">
        <v>33</v>
      </c>
      <c r="N91" s="11">
        <f>Tabla3[[#This Row],[Price]]*Tabla3[[#This Row],[QTY Adjusted]]</f>
        <v>2186.8000000000002</v>
      </c>
      <c r="O91" s="11">
        <v>2186.8000000000002</v>
      </c>
      <c r="P91" s="23" t="s">
        <v>4225</v>
      </c>
      <c r="Q91" s="6">
        <v>0</v>
      </c>
    </row>
    <row r="92" spans="1:17" ht="40.200000000000003" customHeight="1" x14ac:dyDescent="0.3">
      <c r="A92" s="5">
        <v>1272</v>
      </c>
      <c r="B92" s="5" t="s">
        <v>1972</v>
      </c>
      <c r="C92" s="5" t="s">
        <v>2229</v>
      </c>
      <c r="D92" s="5" t="s">
        <v>718</v>
      </c>
      <c r="E92" s="5" t="s">
        <v>2230</v>
      </c>
      <c r="F92" s="5" t="s">
        <v>4059</v>
      </c>
      <c r="G92" s="5">
        <v>4582</v>
      </c>
      <c r="H92" s="5" t="s">
        <v>2233</v>
      </c>
      <c r="I92" s="5" t="s">
        <v>2234</v>
      </c>
      <c r="J92" s="5">
        <v>12</v>
      </c>
      <c r="K92" s="5" t="s">
        <v>19</v>
      </c>
      <c r="L92" s="11">
        <v>182</v>
      </c>
      <c r="M92" s="5" t="s">
        <v>33</v>
      </c>
      <c r="N92" s="11">
        <f>Tabla3[[#This Row],[Price]]*Tabla3[[#This Row],[QTY Adjusted]]</f>
        <v>2184</v>
      </c>
      <c r="O92" s="11">
        <v>2184</v>
      </c>
      <c r="P92" s="21" t="s">
        <v>4238</v>
      </c>
      <c r="Q92" s="6">
        <v>0</v>
      </c>
    </row>
    <row r="93" spans="1:17" ht="40.200000000000003" customHeight="1" x14ac:dyDescent="0.3">
      <c r="A93" s="5">
        <v>1143</v>
      </c>
      <c r="B93" s="5" t="s">
        <v>1972</v>
      </c>
      <c r="C93" s="5" t="s">
        <v>1387</v>
      </c>
      <c r="D93" s="5" t="s">
        <v>44</v>
      </c>
      <c r="E93" s="5" t="s">
        <v>1972</v>
      </c>
      <c r="F93" s="5" t="s">
        <v>4060</v>
      </c>
      <c r="G93" s="5" t="s">
        <v>2009</v>
      </c>
      <c r="H93" s="5" t="s">
        <v>2010</v>
      </c>
      <c r="I93" s="5" t="s">
        <v>2011</v>
      </c>
      <c r="J93" s="5">
        <v>108</v>
      </c>
      <c r="K93" s="5" t="s">
        <v>19</v>
      </c>
      <c r="L93" s="11">
        <v>16.974</v>
      </c>
      <c r="M93" s="5" t="s">
        <v>33</v>
      </c>
      <c r="N93" s="11">
        <f>Tabla3[[#This Row],[Price]]*Tabla3[[#This Row],[QTY Adjusted]]</f>
        <v>1833.192</v>
      </c>
      <c r="O93" s="11">
        <v>1833.192</v>
      </c>
      <c r="P93" s="23">
        <v>46101</v>
      </c>
      <c r="Q93" s="6">
        <v>0</v>
      </c>
    </row>
    <row r="94" spans="1:17" ht="40.200000000000003" customHeight="1" x14ac:dyDescent="0.3">
      <c r="A94" s="5">
        <v>1213</v>
      </c>
      <c r="B94" s="5" t="s">
        <v>1972</v>
      </c>
      <c r="C94" s="5" t="s">
        <v>43</v>
      </c>
      <c r="D94" s="5" t="s">
        <v>44</v>
      </c>
      <c r="E94" s="5" t="s">
        <v>2079</v>
      </c>
      <c r="F94" s="5" t="s">
        <v>4059</v>
      </c>
      <c r="G94" s="5" t="s">
        <v>2106</v>
      </c>
      <c r="H94" s="5" t="s">
        <v>2107</v>
      </c>
      <c r="I94" s="5" t="s">
        <v>2108</v>
      </c>
      <c r="J94" s="5">
        <v>12</v>
      </c>
      <c r="K94" s="5" t="s">
        <v>19</v>
      </c>
      <c r="L94" s="11">
        <v>173.29499999999999</v>
      </c>
      <c r="M94" s="5" t="s">
        <v>33</v>
      </c>
      <c r="N94" s="11">
        <f>Tabla3[[#This Row],[Price]]*Tabla3[[#This Row],[QTY Adjusted]]</f>
        <v>2079.54</v>
      </c>
      <c r="O94" s="11">
        <v>2079.54</v>
      </c>
      <c r="P94" s="23">
        <v>46101</v>
      </c>
      <c r="Q94" s="6">
        <v>0</v>
      </c>
    </row>
    <row r="95" spans="1:17" ht="40.200000000000003" customHeight="1" x14ac:dyDescent="0.3">
      <c r="A95" s="5">
        <v>1276</v>
      </c>
      <c r="B95" s="5" t="s">
        <v>1972</v>
      </c>
      <c r="C95" s="5" t="s">
        <v>2229</v>
      </c>
      <c r="D95" s="5" t="s">
        <v>718</v>
      </c>
      <c r="E95" s="5" t="s">
        <v>2230</v>
      </c>
      <c r="F95" s="5" t="s">
        <v>4063</v>
      </c>
      <c r="G95" s="5">
        <v>1938</v>
      </c>
      <c r="H95" s="5" t="s">
        <v>2241</v>
      </c>
      <c r="I95" s="5" t="s">
        <v>2242</v>
      </c>
      <c r="J95" s="5">
        <v>87</v>
      </c>
      <c r="K95" s="5" t="s">
        <v>19</v>
      </c>
      <c r="L95" s="11">
        <v>20.5</v>
      </c>
      <c r="M95" s="5" t="s">
        <v>33</v>
      </c>
      <c r="N95" s="11">
        <f>Tabla3[[#This Row],[Price]]*Tabla3[[#This Row],[QTY Adjusted]]</f>
        <v>1783.5</v>
      </c>
      <c r="O95" s="11">
        <v>1783.5</v>
      </c>
      <c r="P95" s="21" t="s">
        <v>4238</v>
      </c>
      <c r="Q95" s="6">
        <v>0</v>
      </c>
    </row>
    <row r="96" spans="1:17" ht="40.200000000000003" customHeight="1" x14ac:dyDescent="0.3">
      <c r="A96" s="6">
        <v>1212</v>
      </c>
      <c r="B96" s="6" t="s">
        <v>1972</v>
      </c>
      <c r="C96" s="6" t="s">
        <v>43</v>
      </c>
      <c r="D96" s="6" t="s">
        <v>44</v>
      </c>
      <c r="E96" s="6" t="s">
        <v>2079</v>
      </c>
      <c r="F96" s="6" t="s">
        <v>4059</v>
      </c>
      <c r="G96" s="6">
        <v>656029</v>
      </c>
      <c r="H96" s="6" t="s">
        <v>2104</v>
      </c>
      <c r="I96" s="6" t="s">
        <v>2105</v>
      </c>
      <c r="J96" s="6">
        <v>24</v>
      </c>
      <c r="K96" s="6" t="s">
        <v>19</v>
      </c>
      <c r="L96" s="10">
        <v>84.63</v>
      </c>
      <c r="M96" s="6" t="s">
        <v>33</v>
      </c>
      <c r="N96" s="10">
        <f>Tabla3[[#This Row],[Price]]*Tabla3[[#This Row],[QTY Adjusted]]</f>
        <v>2031.12</v>
      </c>
      <c r="O96" s="10">
        <v>2031.12</v>
      </c>
      <c r="P96" s="23">
        <v>46101</v>
      </c>
      <c r="Q96" s="6">
        <v>0</v>
      </c>
    </row>
    <row r="97" spans="1:17" ht="40.200000000000003" customHeight="1" x14ac:dyDescent="0.3">
      <c r="A97" s="6">
        <v>1365</v>
      </c>
      <c r="B97" s="6" t="s">
        <v>1972</v>
      </c>
      <c r="C97" s="6" t="s">
        <v>325</v>
      </c>
      <c r="D97" s="6" t="str">
        <f>Tabla3[[#This Row],[Vendor]]</f>
        <v>John Boos</v>
      </c>
      <c r="E97" s="6" t="s">
        <v>2392</v>
      </c>
      <c r="F97" s="6" t="s">
        <v>4059</v>
      </c>
      <c r="G97" s="6" t="s">
        <v>326</v>
      </c>
      <c r="H97" s="6" t="s">
        <v>327</v>
      </c>
      <c r="I97" s="6" t="s">
        <v>328</v>
      </c>
      <c r="J97" s="6">
        <v>8</v>
      </c>
      <c r="K97" s="6" t="s">
        <v>19</v>
      </c>
      <c r="L97" s="10">
        <v>250</v>
      </c>
      <c r="M97" s="6" t="s">
        <v>33</v>
      </c>
      <c r="N97" s="10">
        <f>Tabla3[[#This Row],[Price]]*Tabla3[[#This Row],[QTY Adjusted]]</f>
        <v>2000</v>
      </c>
      <c r="O97" s="10">
        <v>2000</v>
      </c>
      <c r="P97" s="21" t="s">
        <v>4218</v>
      </c>
      <c r="Q97" s="6" t="s">
        <v>4245</v>
      </c>
    </row>
    <row r="98" spans="1:17" ht="40.200000000000003" customHeight="1" x14ac:dyDescent="0.3">
      <c r="A98" s="6">
        <v>1147</v>
      </c>
      <c r="B98" s="6" t="s">
        <v>1972</v>
      </c>
      <c r="C98" s="6" t="s">
        <v>1387</v>
      </c>
      <c r="D98" s="6" t="s">
        <v>44</v>
      </c>
      <c r="E98" s="6" t="s">
        <v>1972</v>
      </c>
      <c r="F98" s="6" t="s">
        <v>4060</v>
      </c>
      <c r="G98" s="6" t="s">
        <v>2015</v>
      </c>
      <c r="H98" s="6" t="s">
        <v>2016</v>
      </c>
      <c r="I98" s="6" t="s">
        <v>2017</v>
      </c>
      <c r="J98" s="6">
        <v>87</v>
      </c>
      <c r="K98" s="6" t="s">
        <v>19</v>
      </c>
      <c r="L98" s="10">
        <v>19.475999999999999</v>
      </c>
      <c r="M98" s="6" t="s">
        <v>33</v>
      </c>
      <c r="N98" s="10">
        <f>Tabla3[[#This Row],[Price]]*Tabla3[[#This Row],[QTY Adjusted]]</f>
        <v>1694.4119999999998</v>
      </c>
      <c r="O98" s="10">
        <v>1694.4119999999998</v>
      </c>
      <c r="P98" s="23">
        <v>46101</v>
      </c>
      <c r="Q98" s="6" t="s">
        <v>4245</v>
      </c>
    </row>
    <row r="99" spans="1:17" ht="40.200000000000003" customHeight="1" x14ac:dyDescent="0.3">
      <c r="A99" s="6">
        <v>1274</v>
      </c>
      <c r="B99" s="6" t="s">
        <v>1972</v>
      </c>
      <c r="C99" s="6" t="s">
        <v>2229</v>
      </c>
      <c r="D99" s="6" t="s">
        <v>718</v>
      </c>
      <c r="E99" s="6" t="s">
        <v>2230</v>
      </c>
      <c r="F99" s="6" t="s">
        <v>4059</v>
      </c>
      <c r="G99" s="6">
        <v>4584</v>
      </c>
      <c r="H99" s="6" t="s">
        <v>2237</v>
      </c>
      <c r="I99" s="6" t="s">
        <v>2238</v>
      </c>
      <c r="J99" s="6">
        <v>24</v>
      </c>
      <c r="K99" s="6" t="s">
        <v>19</v>
      </c>
      <c r="L99" s="10">
        <v>81.2</v>
      </c>
      <c r="M99" s="6" t="s">
        <v>33</v>
      </c>
      <c r="N99" s="10">
        <f>Tabla3[[#This Row],[Price]]*Tabla3[[#This Row],[QTY Adjusted]]</f>
        <v>1948.8000000000002</v>
      </c>
      <c r="O99" s="10">
        <v>1948.8000000000002</v>
      </c>
      <c r="P99" s="21" t="s">
        <v>4238</v>
      </c>
      <c r="Q99" s="6" t="s">
        <v>4245</v>
      </c>
    </row>
    <row r="100" spans="1:17" ht="40.200000000000003" customHeight="1" x14ac:dyDescent="0.3">
      <c r="A100" s="6">
        <v>1175</v>
      </c>
      <c r="B100" s="6" t="s">
        <v>1972</v>
      </c>
      <c r="C100" s="6" t="s">
        <v>232</v>
      </c>
      <c r="D100" s="6" t="s">
        <v>1490</v>
      </c>
      <c r="E100" s="6" t="s">
        <v>1972</v>
      </c>
      <c r="F100" s="6" t="s">
        <v>4062</v>
      </c>
      <c r="G100" s="6" t="s">
        <v>2049</v>
      </c>
      <c r="H100" s="6" t="s">
        <v>2050</v>
      </c>
      <c r="I100" s="6" t="s">
        <v>950</v>
      </c>
      <c r="J100" s="6">
        <v>188</v>
      </c>
      <c r="K100" s="6" t="s">
        <v>19</v>
      </c>
      <c r="L100" s="10">
        <v>8.8699999999999992</v>
      </c>
      <c r="M100" s="6" t="s">
        <v>33</v>
      </c>
      <c r="N100" s="10">
        <f>Tabla3[[#This Row],[Price]]*Tabla3[[#This Row],[QTY Adjusted]]</f>
        <v>1667.56</v>
      </c>
      <c r="O100" s="15">
        <v>1242.68</v>
      </c>
      <c r="P100" s="21" t="s">
        <v>4225</v>
      </c>
      <c r="Q100" s="6" t="s">
        <v>4245</v>
      </c>
    </row>
    <row r="101" spans="1:17" ht="40.200000000000003" customHeight="1" x14ac:dyDescent="0.3">
      <c r="A101" s="6">
        <v>1248</v>
      </c>
      <c r="B101" s="6" t="s">
        <v>1972</v>
      </c>
      <c r="C101" s="6" t="s">
        <v>43</v>
      </c>
      <c r="D101" s="6" t="s">
        <v>44</v>
      </c>
      <c r="E101" s="6" t="s">
        <v>2177</v>
      </c>
      <c r="F101" s="6" t="s">
        <v>4059</v>
      </c>
      <c r="G101" s="6">
        <v>656008</v>
      </c>
      <c r="H101" s="6" t="s">
        <v>2178</v>
      </c>
      <c r="I101" s="6" t="s">
        <v>2179</v>
      </c>
      <c r="J101" s="6">
        <v>8</v>
      </c>
      <c r="K101" s="6" t="s">
        <v>19</v>
      </c>
      <c r="L101" s="10">
        <v>229.83500000000001</v>
      </c>
      <c r="M101" s="6" t="s">
        <v>33</v>
      </c>
      <c r="N101" s="10">
        <f>Tabla3[[#This Row],[Price]]*Tabla3[[#This Row],[QTY Adjusted]]</f>
        <v>1838.68</v>
      </c>
      <c r="O101" s="10">
        <v>1838.68</v>
      </c>
      <c r="P101" s="23">
        <v>46101</v>
      </c>
      <c r="Q101" s="6" t="s">
        <v>4245</v>
      </c>
    </row>
    <row r="102" spans="1:17" ht="40.200000000000003" customHeight="1" x14ac:dyDescent="0.3">
      <c r="A102" s="6">
        <v>1223</v>
      </c>
      <c r="B102" s="6" t="s">
        <v>1972</v>
      </c>
      <c r="C102" s="6" t="s">
        <v>43</v>
      </c>
      <c r="D102" s="6" t="s">
        <v>44</v>
      </c>
      <c r="E102" s="6" t="s">
        <v>2079</v>
      </c>
      <c r="F102" s="6" t="s">
        <v>4059</v>
      </c>
      <c r="G102" s="6">
        <v>652890</v>
      </c>
      <c r="H102" s="6" t="s">
        <v>2132</v>
      </c>
      <c r="I102" s="6" t="s">
        <v>2133</v>
      </c>
      <c r="J102" s="6">
        <v>18</v>
      </c>
      <c r="K102" s="6" t="s">
        <v>19</v>
      </c>
      <c r="L102" s="10">
        <v>99.944999999999993</v>
      </c>
      <c r="M102" s="6" t="s">
        <v>33</v>
      </c>
      <c r="N102" s="10">
        <f>Tabla3[[#This Row],[Price]]*Tabla3[[#This Row],[QTY Adjusted]]</f>
        <v>1799.0099999999998</v>
      </c>
      <c r="O102" s="10">
        <v>1799.0099999999998</v>
      </c>
      <c r="P102" s="23">
        <v>46101</v>
      </c>
      <c r="Q102" s="6" t="s">
        <v>4245</v>
      </c>
    </row>
    <row r="103" spans="1:17" ht="40.200000000000003" customHeight="1" x14ac:dyDescent="0.3">
      <c r="A103" s="6">
        <v>1224</v>
      </c>
      <c r="B103" s="6" t="s">
        <v>1972</v>
      </c>
      <c r="C103" s="6" t="s">
        <v>43</v>
      </c>
      <c r="D103" s="6" t="s">
        <v>44</v>
      </c>
      <c r="E103" s="6" t="s">
        <v>2079</v>
      </c>
      <c r="F103" s="6" t="s">
        <v>4059</v>
      </c>
      <c r="G103" s="6">
        <v>660606</v>
      </c>
      <c r="H103" s="6" t="s">
        <v>2132</v>
      </c>
      <c r="I103" s="6"/>
      <c r="J103" s="6">
        <v>18</v>
      </c>
      <c r="K103" s="6" t="s">
        <v>19</v>
      </c>
      <c r="L103" s="10">
        <v>99.944999999999993</v>
      </c>
      <c r="M103" s="6" t="s">
        <v>33</v>
      </c>
      <c r="N103" s="10">
        <f>Tabla3[[#This Row],[Price]]*Tabla3[[#This Row],[QTY Adjusted]]</f>
        <v>1799.0099999999998</v>
      </c>
      <c r="O103" s="10">
        <v>1799.0099999999998</v>
      </c>
      <c r="P103" s="23">
        <v>46101</v>
      </c>
      <c r="Q103" s="6" t="s">
        <v>4245</v>
      </c>
    </row>
    <row r="104" spans="1:17" ht="40.200000000000003" customHeight="1" x14ac:dyDescent="0.3">
      <c r="A104" s="6">
        <v>1209</v>
      </c>
      <c r="B104" s="6" t="s">
        <v>1972</v>
      </c>
      <c r="C104" s="6" t="s">
        <v>43</v>
      </c>
      <c r="D104" s="6" t="s">
        <v>44</v>
      </c>
      <c r="E104" s="6" t="s">
        <v>2079</v>
      </c>
      <c r="F104" s="6" t="s">
        <v>4059</v>
      </c>
      <c r="G104" s="6">
        <v>650678</v>
      </c>
      <c r="H104" s="6" t="s">
        <v>2096</v>
      </c>
      <c r="I104" s="6" t="s">
        <v>2097</v>
      </c>
      <c r="J104" s="6">
        <v>8</v>
      </c>
      <c r="K104" s="6" t="s">
        <v>2098</v>
      </c>
      <c r="L104" s="10">
        <v>217.37</v>
      </c>
      <c r="M104" s="6" t="s">
        <v>33</v>
      </c>
      <c r="N104" s="10">
        <f>Tabla3[[#This Row],[Price]]*Tabla3[[#This Row],[QTY Adjusted]]</f>
        <v>1738.96</v>
      </c>
      <c r="O104" s="10">
        <v>1738.96</v>
      </c>
      <c r="P104" s="23">
        <v>46101</v>
      </c>
      <c r="Q104" s="6" t="s">
        <v>4245</v>
      </c>
    </row>
    <row r="105" spans="1:17" ht="40.200000000000003" customHeight="1" x14ac:dyDescent="0.3">
      <c r="A105" s="6">
        <v>1148</v>
      </c>
      <c r="B105" s="6" t="s">
        <v>1972</v>
      </c>
      <c r="C105" s="6" t="s">
        <v>1387</v>
      </c>
      <c r="D105" s="6" t="s">
        <v>44</v>
      </c>
      <c r="E105" s="6" t="s">
        <v>1972</v>
      </c>
      <c r="F105" s="6" t="s">
        <v>4059</v>
      </c>
      <c r="G105" s="6" t="s">
        <v>1418</v>
      </c>
      <c r="H105" s="6" t="s">
        <v>1419</v>
      </c>
      <c r="I105" s="6" t="s">
        <v>2018</v>
      </c>
      <c r="J105" s="6">
        <v>87</v>
      </c>
      <c r="K105" s="6" t="s">
        <v>19</v>
      </c>
      <c r="L105" s="10">
        <v>16.788</v>
      </c>
      <c r="M105" s="6" t="s">
        <v>33</v>
      </c>
      <c r="N105" s="10">
        <f>Tabla3[[#This Row],[Price]]*Tabla3[[#This Row],[QTY Adjusted]]</f>
        <v>1460.556</v>
      </c>
      <c r="O105" s="10">
        <v>1460.556</v>
      </c>
      <c r="P105" s="23">
        <v>46101</v>
      </c>
      <c r="Q105" s="6" t="s">
        <v>4245</v>
      </c>
    </row>
    <row r="106" spans="1:17" ht="40.200000000000003" customHeight="1" x14ac:dyDescent="0.3">
      <c r="A106" s="6">
        <v>1386</v>
      </c>
      <c r="B106" s="6" t="s">
        <v>1972</v>
      </c>
      <c r="C106" s="6" t="s">
        <v>717</v>
      </c>
      <c r="D106" s="6" t="s">
        <v>718</v>
      </c>
      <c r="E106" s="6" t="s">
        <v>2398</v>
      </c>
      <c r="F106" s="6" t="s">
        <v>4059</v>
      </c>
      <c r="G106" s="6" t="s">
        <v>2399</v>
      </c>
      <c r="H106" s="6" t="s">
        <v>2400</v>
      </c>
      <c r="I106" s="6" t="s">
        <v>2401</v>
      </c>
      <c r="J106" s="6">
        <v>36</v>
      </c>
      <c r="K106" s="6" t="s">
        <v>19</v>
      </c>
      <c r="L106" s="10">
        <v>46.7</v>
      </c>
      <c r="M106" s="6" t="s">
        <v>33</v>
      </c>
      <c r="N106" s="10">
        <f>Tabla3[[#This Row],[Price]]*Tabla3[[#This Row],[QTY Adjusted]]</f>
        <v>1681.2</v>
      </c>
      <c r="O106" s="10">
        <v>1681.2</v>
      </c>
      <c r="P106" s="21" t="s">
        <v>4225</v>
      </c>
      <c r="Q106" s="6" t="s">
        <v>4245</v>
      </c>
    </row>
    <row r="107" spans="1:17" ht="40.200000000000003" customHeight="1" x14ac:dyDescent="0.3">
      <c r="A107" s="6">
        <v>1251</v>
      </c>
      <c r="B107" s="6" t="s">
        <v>1972</v>
      </c>
      <c r="C107" s="6" t="s">
        <v>43</v>
      </c>
      <c r="D107" s="6" t="s">
        <v>44</v>
      </c>
      <c r="E107" s="6" t="s">
        <v>2177</v>
      </c>
      <c r="F107" s="6" t="s">
        <v>4059</v>
      </c>
      <c r="G107" s="6">
        <v>656910</v>
      </c>
      <c r="H107" s="6" t="s">
        <v>2184</v>
      </c>
      <c r="I107" s="6" t="s">
        <v>2185</v>
      </c>
      <c r="J107" s="6">
        <v>10</v>
      </c>
      <c r="K107" s="6" t="s">
        <v>19</v>
      </c>
      <c r="L107" s="10">
        <v>167.845</v>
      </c>
      <c r="M107" s="6" t="s">
        <v>33</v>
      </c>
      <c r="N107" s="10">
        <f>Tabla3[[#This Row],[Price]]*Tabla3[[#This Row],[QTY Adjusted]]</f>
        <v>1678.45</v>
      </c>
      <c r="O107" s="10">
        <v>1678.45</v>
      </c>
      <c r="P107" s="23">
        <v>46101</v>
      </c>
      <c r="Q107" s="6" t="s">
        <v>4245</v>
      </c>
    </row>
    <row r="108" spans="1:17" ht="40.200000000000003" customHeight="1" x14ac:dyDescent="0.3">
      <c r="A108" s="6">
        <v>1150</v>
      </c>
      <c r="B108" s="6" t="s">
        <v>1972</v>
      </c>
      <c r="C108" s="6" t="s">
        <v>1387</v>
      </c>
      <c r="D108" s="6" t="s">
        <v>44</v>
      </c>
      <c r="E108" s="6" t="s">
        <v>1972</v>
      </c>
      <c r="F108" s="6" t="s">
        <v>4060</v>
      </c>
      <c r="G108" s="6" t="s">
        <v>1424</v>
      </c>
      <c r="H108" s="6" t="s">
        <v>1425</v>
      </c>
      <c r="I108" s="6" t="s">
        <v>1426</v>
      </c>
      <c r="J108" s="6">
        <v>209</v>
      </c>
      <c r="K108" s="6" t="s">
        <v>19</v>
      </c>
      <c r="L108" s="10">
        <v>6.8639999999999999</v>
      </c>
      <c r="M108" s="6" t="s">
        <v>33</v>
      </c>
      <c r="N108" s="10">
        <f>Tabla3[[#This Row],[Price]]*Tabla3[[#This Row],[QTY Adjusted]]</f>
        <v>1434.576</v>
      </c>
      <c r="O108" s="15">
        <v>1327.1499999999999</v>
      </c>
      <c r="P108" s="23">
        <v>46101</v>
      </c>
      <c r="Q108" s="6" t="s">
        <v>4245</v>
      </c>
    </row>
    <row r="109" spans="1:17" ht="40.200000000000003" customHeight="1" x14ac:dyDescent="0.3">
      <c r="A109" s="6">
        <v>1263</v>
      </c>
      <c r="B109" s="6" t="s">
        <v>1972</v>
      </c>
      <c r="C109" s="6" t="s">
        <v>990</v>
      </c>
      <c r="D109" s="6" t="s">
        <v>130</v>
      </c>
      <c r="E109" s="6" t="s">
        <v>2202</v>
      </c>
      <c r="F109" s="6" t="s">
        <v>4059</v>
      </c>
      <c r="G109" s="6" t="s">
        <v>2213</v>
      </c>
      <c r="H109" s="6" t="s">
        <v>2214</v>
      </c>
      <c r="I109" s="6" t="s">
        <v>2215</v>
      </c>
      <c r="J109" s="6">
        <v>9</v>
      </c>
      <c r="K109" s="6" t="s">
        <v>19</v>
      </c>
      <c r="L109" s="10">
        <v>181.13064646817608</v>
      </c>
      <c r="M109" s="6" t="s">
        <v>33</v>
      </c>
      <c r="N109" s="10">
        <f>Tabla3[[#This Row],[Price]]*Tabla3[[#This Row],[QTY Adjusted]]</f>
        <v>1630.1758182135848</v>
      </c>
      <c r="O109" s="10">
        <v>1630.1758182135848</v>
      </c>
      <c r="P109" s="21" t="s">
        <v>4225</v>
      </c>
      <c r="Q109" s="6" t="s">
        <v>4245</v>
      </c>
    </row>
    <row r="110" spans="1:17" ht="40.200000000000003" customHeight="1" x14ac:dyDescent="0.3">
      <c r="A110" s="6">
        <v>1178</v>
      </c>
      <c r="B110" s="6" t="s">
        <v>1972</v>
      </c>
      <c r="C110" s="6" t="s">
        <v>134</v>
      </c>
      <c r="D110" s="6" t="s">
        <v>1490</v>
      </c>
      <c r="E110" s="6" t="s">
        <v>1972</v>
      </c>
      <c r="F110" s="6" t="s">
        <v>4062</v>
      </c>
      <c r="G110" s="6" t="s">
        <v>1462</v>
      </c>
      <c r="H110" s="6" t="s">
        <v>1463</v>
      </c>
      <c r="I110" s="6" t="s">
        <v>1464</v>
      </c>
      <c r="J110" s="6">
        <v>267</v>
      </c>
      <c r="K110" s="6" t="s">
        <v>19</v>
      </c>
      <c r="L110" s="10">
        <v>5.1479999999999997</v>
      </c>
      <c r="M110" s="6" t="s">
        <v>33</v>
      </c>
      <c r="N110" s="10">
        <f>Tabla3[[#This Row],[Price]]*Tabla3[[#This Row],[QTY Adjusted]]</f>
        <v>1374.5159999999998</v>
      </c>
      <c r="O110" s="15">
        <v>1030.6199999999999</v>
      </c>
      <c r="P110" s="21" t="s">
        <v>4225</v>
      </c>
      <c r="Q110" s="6" t="s">
        <v>4245</v>
      </c>
    </row>
    <row r="111" spans="1:17" ht="40.200000000000003" customHeight="1" x14ac:dyDescent="0.3">
      <c r="A111" s="6">
        <v>1243</v>
      </c>
      <c r="B111" s="6" t="s">
        <v>1972</v>
      </c>
      <c r="C111" s="6" t="s">
        <v>561</v>
      </c>
      <c r="D111" s="6" t="s">
        <v>44</v>
      </c>
      <c r="E111" s="6" t="s">
        <v>2079</v>
      </c>
      <c r="F111" s="6" t="s">
        <v>4059</v>
      </c>
      <c r="G111" s="6" t="s">
        <v>2163</v>
      </c>
      <c r="H111" s="6" t="s">
        <v>2164</v>
      </c>
      <c r="I111" s="6" t="s">
        <v>2165</v>
      </c>
      <c r="J111" s="6">
        <v>12</v>
      </c>
      <c r="K111" s="6" t="s">
        <v>19</v>
      </c>
      <c r="L111" s="10">
        <v>128.99250000000001</v>
      </c>
      <c r="M111" s="6" t="s">
        <v>33</v>
      </c>
      <c r="N111" s="10">
        <f>Tabla3[[#This Row],[Price]]*Tabla3[[#This Row],[QTY Adjusted]]</f>
        <v>1547.91</v>
      </c>
      <c r="O111" s="10">
        <v>1547.91</v>
      </c>
      <c r="P111" s="23" t="s">
        <v>4225</v>
      </c>
      <c r="Q111" s="6" t="s">
        <v>4245</v>
      </c>
    </row>
    <row r="112" spans="1:17" ht="40.200000000000003" customHeight="1" x14ac:dyDescent="0.3">
      <c r="A112" s="6">
        <v>1189</v>
      </c>
      <c r="B112" s="6" t="s">
        <v>1972</v>
      </c>
      <c r="C112" s="6" t="s">
        <v>1481</v>
      </c>
      <c r="D112" s="6" t="str">
        <f>Tabla3[[#This Row],[Vendor]]</f>
        <v>GT Linens</v>
      </c>
      <c r="E112" s="6" t="s">
        <v>2060</v>
      </c>
      <c r="F112" s="6" t="s">
        <v>4061</v>
      </c>
      <c r="G112" s="6" t="s">
        <v>178</v>
      </c>
      <c r="H112" s="6" t="s">
        <v>2063</v>
      </c>
      <c r="I112" s="6" t="s">
        <v>2064</v>
      </c>
      <c r="J112" s="6">
        <v>22</v>
      </c>
      <c r="K112" s="6" t="s">
        <v>19</v>
      </c>
      <c r="L112" s="10">
        <v>68.42</v>
      </c>
      <c r="M112" s="6" t="s">
        <v>33</v>
      </c>
      <c r="N112" s="10">
        <f>Tabla3[[#This Row],[Price]]*Tabla3[[#This Row],[QTY Adjusted]]</f>
        <v>1505.24</v>
      </c>
      <c r="O112" s="10">
        <v>1505.24</v>
      </c>
      <c r="P112" s="21" t="s">
        <v>4237</v>
      </c>
      <c r="Q112" s="6" t="s">
        <v>4245</v>
      </c>
    </row>
    <row r="113" spans="1:17" ht="40.200000000000003" customHeight="1" x14ac:dyDescent="0.3">
      <c r="A113" s="6">
        <v>1177</v>
      </c>
      <c r="B113" s="6" t="s">
        <v>1972</v>
      </c>
      <c r="C113" s="6" t="s">
        <v>134</v>
      </c>
      <c r="D113" s="6" t="s">
        <v>1490</v>
      </c>
      <c r="E113" s="6" t="s">
        <v>1972</v>
      </c>
      <c r="F113" s="6" t="s">
        <v>4062</v>
      </c>
      <c r="G113" s="6" t="s">
        <v>1460</v>
      </c>
      <c r="H113" s="6" t="s">
        <v>954</v>
      </c>
      <c r="I113" s="6" t="s">
        <v>1461</v>
      </c>
      <c r="J113" s="6">
        <v>267</v>
      </c>
      <c r="K113" s="6" t="s">
        <v>19</v>
      </c>
      <c r="L113" s="10">
        <v>4.8099999999999996</v>
      </c>
      <c r="M113" s="6" t="s">
        <v>33</v>
      </c>
      <c r="N113" s="10">
        <f>Tabla3[[#This Row],[Price]]*Tabla3[[#This Row],[QTY Adjusted]]</f>
        <v>1284.27</v>
      </c>
      <c r="O113" s="15">
        <v>1030.6199999999999</v>
      </c>
      <c r="P113" s="21" t="s">
        <v>4225</v>
      </c>
      <c r="Q113" s="6" t="s">
        <v>4245</v>
      </c>
    </row>
    <row r="114" spans="1:17" ht="40.200000000000003" customHeight="1" x14ac:dyDescent="0.3">
      <c r="A114" s="6">
        <v>1339</v>
      </c>
      <c r="B114" s="6" t="s">
        <v>1972</v>
      </c>
      <c r="C114" s="6" t="s">
        <v>228</v>
      </c>
      <c r="D114" s="6" t="s">
        <v>44</v>
      </c>
      <c r="E114" s="6" t="s">
        <v>2392</v>
      </c>
      <c r="F114" s="6" t="s">
        <v>4059</v>
      </c>
      <c r="G114" s="6" t="s">
        <v>247</v>
      </c>
      <c r="H114" s="6" t="s">
        <v>248</v>
      </c>
      <c r="I114" s="6" t="s">
        <v>249</v>
      </c>
      <c r="J114" s="6">
        <v>0</v>
      </c>
      <c r="K114" s="6" t="s">
        <v>748</v>
      </c>
      <c r="L114" s="10">
        <v>364.5</v>
      </c>
      <c r="M114" s="6" t="s">
        <v>33</v>
      </c>
      <c r="N114" s="10">
        <f>Tabla3[[#This Row],[Price]]*Tabla3[[#This Row],[QTY Adjusted]]</f>
        <v>0</v>
      </c>
      <c r="O114" s="10">
        <v>0</v>
      </c>
      <c r="P114" s="21" t="s">
        <v>4240</v>
      </c>
      <c r="Q114" s="6" t="s">
        <v>4245</v>
      </c>
    </row>
    <row r="115" spans="1:17" ht="40.200000000000003" customHeight="1" x14ac:dyDescent="0.3">
      <c r="A115" s="6">
        <v>1340</v>
      </c>
      <c r="B115" s="6" t="s">
        <v>1972</v>
      </c>
      <c r="C115" s="6" t="s">
        <v>228</v>
      </c>
      <c r="D115" s="6" t="s">
        <v>44</v>
      </c>
      <c r="E115" s="6" t="s">
        <v>2392</v>
      </c>
      <c r="F115" s="6" t="s">
        <v>4059</v>
      </c>
      <c r="G115" s="6" t="s">
        <v>250</v>
      </c>
      <c r="H115" s="6" t="s">
        <v>248</v>
      </c>
      <c r="I115" s="6" t="s">
        <v>251</v>
      </c>
      <c r="J115" s="6">
        <v>0</v>
      </c>
      <c r="K115" s="6" t="s">
        <v>748</v>
      </c>
      <c r="L115" s="10">
        <v>364.5</v>
      </c>
      <c r="M115" s="6" t="s">
        <v>33</v>
      </c>
      <c r="N115" s="10">
        <f>Tabla3[[#This Row],[Price]]*Tabla3[[#This Row],[QTY Adjusted]]</f>
        <v>0</v>
      </c>
      <c r="O115" s="10">
        <v>0</v>
      </c>
      <c r="P115" s="21" t="s">
        <v>4240</v>
      </c>
      <c r="Q115" s="6" t="s">
        <v>4245</v>
      </c>
    </row>
    <row r="116" spans="1:17" ht="40.200000000000003" customHeight="1" x14ac:dyDescent="0.3">
      <c r="A116" s="6">
        <v>1341</v>
      </c>
      <c r="B116" s="6" t="s">
        <v>1972</v>
      </c>
      <c r="C116" s="6" t="s">
        <v>228</v>
      </c>
      <c r="D116" s="6" t="s">
        <v>44</v>
      </c>
      <c r="E116" s="6" t="s">
        <v>2392</v>
      </c>
      <c r="F116" s="6" t="s">
        <v>4059</v>
      </c>
      <c r="G116" s="6" t="s">
        <v>252</v>
      </c>
      <c r="H116" s="6" t="s">
        <v>248</v>
      </c>
      <c r="I116" s="6" t="s">
        <v>253</v>
      </c>
      <c r="J116" s="6">
        <v>0</v>
      </c>
      <c r="K116" s="6" t="s">
        <v>748</v>
      </c>
      <c r="L116" s="10">
        <v>364.5</v>
      </c>
      <c r="M116" s="6" t="s">
        <v>33</v>
      </c>
      <c r="N116" s="10">
        <f>Tabla3[[#This Row],[Price]]*Tabla3[[#This Row],[QTY Adjusted]]</f>
        <v>0</v>
      </c>
      <c r="O116" s="10">
        <v>0</v>
      </c>
      <c r="P116" s="21" t="s">
        <v>4240</v>
      </c>
      <c r="Q116" s="6" t="s">
        <v>4245</v>
      </c>
    </row>
    <row r="117" spans="1:17" ht="40.200000000000003" customHeight="1" x14ac:dyDescent="0.3">
      <c r="A117" s="6">
        <v>1342</v>
      </c>
      <c r="B117" s="6" t="s">
        <v>1972</v>
      </c>
      <c r="C117" s="6" t="s">
        <v>228</v>
      </c>
      <c r="D117" s="6" t="s">
        <v>44</v>
      </c>
      <c r="E117" s="6" t="s">
        <v>2392</v>
      </c>
      <c r="F117" s="6" t="s">
        <v>4059</v>
      </c>
      <c r="G117" s="6" t="s">
        <v>254</v>
      </c>
      <c r="H117" s="6" t="s">
        <v>248</v>
      </c>
      <c r="I117" s="6" t="s">
        <v>255</v>
      </c>
      <c r="J117" s="6">
        <v>0</v>
      </c>
      <c r="K117" s="6" t="s">
        <v>748</v>
      </c>
      <c r="L117" s="10">
        <v>364.5</v>
      </c>
      <c r="M117" s="6" t="s">
        <v>33</v>
      </c>
      <c r="N117" s="10">
        <f>Tabla3[[#This Row],[Price]]*Tabla3[[#This Row],[QTY Adjusted]]</f>
        <v>0</v>
      </c>
      <c r="O117" s="10">
        <v>0</v>
      </c>
      <c r="P117" s="21" t="s">
        <v>4240</v>
      </c>
      <c r="Q117" s="6" t="s">
        <v>4245</v>
      </c>
    </row>
    <row r="118" spans="1:17" ht="40.200000000000003" customHeight="1" x14ac:dyDescent="0.3">
      <c r="A118" s="6">
        <v>1343</v>
      </c>
      <c r="B118" s="6" t="s">
        <v>1972</v>
      </c>
      <c r="C118" s="6" t="s">
        <v>228</v>
      </c>
      <c r="D118" s="6" t="s">
        <v>44</v>
      </c>
      <c r="E118" s="6" t="s">
        <v>2392</v>
      </c>
      <c r="F118" s="6" t="s">
        <v>4059</v>
      </c>
      <c r="G118" s="6" t="s">
        <v>256</v>
      </c>
      <c r="H118" s="6" t="s">
        <v>248</v>
      </c>
      <c r="I118" s="6" t="s">
        <v>257</v>
      </c>
      <c r="J118" s="6">
        <v>0</v>
      </c>
      <c r="K118" s="6" t="s">
        <v>748</v>
      </c>
      <c r="L118" s="10">
        <v>364.5</v>
      </c>
      <c r="M118" s="6" t="s">
        <v>33</v>
      </c>
      <c r="N118" s="10">
        <f>Tabla3[[#This Row],[Price]]*Tabla3[[#This Row],[QTY Adjusted]]</f>
        <v>0</v>
      </c>
      <c r="O118" s="10">
        <v>0</v>
      </c>
      <c r="P118" s="21" t="s">
        <v>4240</v>
      </c>
      <c r="Q118" s="6" t="s">
        <v>4245</v>
      </c>
    </row>
    <row r="119" spans="1:17" ht="40.200000000000003" customHeight="1" x14ac:dyDescent="0.3">
      <c r="A119" s="6">
        <v>1344</v>
      </c>
      <c r="B119" s="6" t="s">
        <v>1972</v>
      </c>
      <c r="C119" s="6" t="s">
        <v>228</v>
      </c>
      <c r="D119" s="6" t="s">
        <v>44</v>
      </c>
      <c r="E119" s="6" t="s">
        <v>2392</v>
      </c>
      <c r="F119" s="6" t="s">
        <v>4059</v>
      </c>
      <c r="G119" s="6" t="s">
        <v>258</v>
      </c>
      <c r="H119" s="6" t="s">
        <v>248</v>
      </c>
      <c r="I119" s="6" t="s">
        <v>259</v>
      </c>
      <c r="J119" s="6">
        <v>0</v>
      </c>
      <c r="K119" s="6" t="s">
        <v>748</v>
      </c>
      <c r="L119" s="10">
        <v>364.5</v>
      </c>
      <c r="M119" s="6" t="s">
        <v>33</v>
      </c>
      <c r="N119" s="10">
        <f>Tabla3[[#This Row],[Price]]*Tabla3[[#This Row],[QTY Adjusted]]</f>
        <v>0</v>
      </c>
      <c r="O119" s="10">
        <v>0</v>
      </c>
      <c r="P119" s="21" t="s">
        <v>4240</v>
      </c>
      <c r="Q119" s="6" t="s">
        <v>4245</v>
      </c>
    </row>
    <row r="120" spans="1:17" ht="40.200000000000003" customHeight="1" x14ac:dyDescent="0.3">
      <c r="A120" s="6">
        <v>1345</v>
      </c>
      <c r="B120" s="6" t="s">
        <v>1972</v>
      </c>
      <c r="C120" s="6" t="s">
        <v>228</v>
      </c>
      <c r="D120" s="6" t="s">
        <v>44</v>
      </c>
      <c r="E120" s="6" t="s">
        <v>2392</v>
      </c>
      <c r="F120" s="6" t="s">
        <v>4059</v>
      </c>
      <c r="G120" s="6" t="s">
        <v>260</v>
      </c>
      <c r="H120" s="6" t="s">
        <v>248</v>
      </c>
      <c r="I120" s="6" t="s">
        <v>261</v>
      </c>
      <c r="J120" s="6">
        <v>0</v>
      </c>
      <c r="K120" s="6" t="s">
        <v>748</v>
      </c>
      <c r="L120" s="10">
        <v>364.5</v>
      </c>
      <c r="M120" s="6" t="s">
        <v>33</v>
      </c>
      <c r="N120" s="10">
        <f>Tabla3[[#This Row],[Price]]*Tabla3[[#This Row],[QTY Adjusted]]</f>
        <v>0</v>
      </c>
      <c r="O120" s="10">
        <v>0</v>
      </c>
      <c r="P120" s="21" t="s">
        <v>4240</v>
      </c>
      <c r="Q120" s="6" t="s">
        <v>4245</v>
      </c>
    </row>
    <row r="121" spans="1:17" ht="40.200000000000003" customHeight="1" x14ac:dyDescent="0.3">
      <c r="A121" s="6">
        <v>1346</v>
      </c>
      <c r="B121" s="6" t="s">
        <v>1972</v>
      </c>
      <c r="C121" s="6" t="s">
        <v>228</v>
      </c>
      <c r="D121" s="6" t="s">
        <v>44</v>
      </c>
      <c r="E121" s="6" t="s">
        <v>2392</v>
      </c>
      <c r="F121" s="6" t="s">
        <v>4059</v>
      </c>
      <c r="G121" s="6" t="s">
        <v>262</v>
      </c>
      <c r="H121" s="6" t="s">
        <v>248</v>
      </c>
      <c r="I121" s="6" t="s">
        <v>263</v>
      </c>
      <c r="J121" s="6">
        <v>0</v>
      </c>
      <c r="K121" s="6" t="s">
        <v>748</v>
      </c>
      <c r="L121" s="10">
        <v>364.5</v>
      </c>
      <c r="M121" s="6" t="s">
        <v>33</v>
      </c>
      <c r="N121" s="10">
        <f>Tabla3[[#This Row],[Price]]*Tabla3[[#This Row],[QTY Adjusted]]</f>
        <v>0</v>
      </c>
      <c r="O121" s="10">
        <v>0</v>
      </c>
      <c r="P121" s="21" t="s">
        <v>4240</v>
      </c>
      <c r="Q121" s="6" t="s">
        <v>4245</v>
      </c>
    </row>
    <row r="122" spans="1:17" ht="40.200000000000003" customHeight="1" x14ac:dyDescent="0.3">
      <c r="A122" s="6">
        <v>1347</v>
      </c>
      <c r="B122" s="6" t="s">
        <v>1972</v>
      </c>
      <c r="C122" s="6" t="s">
        <v>228</v>
      </c>
      <c r="D122" s="6" t="s">
        <v>44</v>
      </c>
      <c r="E122" s="6" t="s">
        <v>2392</v>
      </c>
      <c r="F122" s="6" t="s">
        <v>4059</v>
      </c>
      <c r="G122" s="6" t="s">
        <v>264</v>
      </c>
      <c r="H122" s="6" t="s">
        <v>248</v>
      </c>
      <c r="I122" s="6" t="s">
        <v>265</v>
      </c>
      <c r="J122" s="6">
        <v>0</v>
      </c>
      <c r="K122" s="6" t="s">
        <v>748</v>
      </c>
      <c r="L122" s="10">
        <v>364.5</v>
      </c>
      <c r="M122" s="6" t="s">
        <v>33</v>
      </c>
      <c r="N122" s="10">
        <f>Tabla3[[#This Row],[Price]]*Tabla3[[#This Row],[QTY Adjusted]]</f>
        <v>0</v>
      </c>
      <c r="O122" s="10">
        <v>0</v>
      </c>
      <c r="P122" s="21" t="s">
        <v>4240</v>
      </c>
      <c r="Q122" s="6" t="s">
        <v>4245</v>
      </c>
    </row>
    <row r="123" spans="1:17" ht="40.200000000000003" customHeight="1" x14ac:dyDescent="0.3">
      <c r="A123" s="6">
        <v>1283</v>
      </c>
      <c r="B123" s="6" t="s">
        <v>1972</v>
      </c>
      <c r="C123" s="6" t="s">
        <v>47</v>
      </c>
      <c r="D123" s="6" t="s">
        <v>44</v>
      </c>
      <c r="E123" s="6" t="s">
        <v>2258</v>
      </c>
      <c r="F123" s="6" t="s">
        <v>4059</v>
      </c>
      <c r="G123" s="6" t="s">
        <v>2259</v>
      </c>
      <c r="H123" s="6" t="s">
        <v>2260</v>
      </c>
      <c r="I123" s="6" t="s">
        <v>2261</v>
      </c>
      <c r="J123" s="6">
        <v>8</v>
      </c>
      <c r="K123" s="6" t="s">
        <v>19</v>
      </c>
      <c r="L123" s="10">
        <v>178.89</v>
      </c>
      <c r="M123" s="6" t="s">
        <v>33</v>
      </c>
      <c r="N123" s="10">
        <f>Tabla3[[#This Row],[Price]]*Tabla3[[#This Row],[QTY Adjusted]]</f>
        <v>1431.12</v>
      </c>
      <c r="O123" s="10">
        <v>1431.12</v>
      </c>
      <c r="P123" s="23">
        <v>46096</v>
      </c>
      <c r="Q123" s="6" t="s">
        <v>4245</v>
      </c>
    </row>
    <row r="124" spans="1:17" ht="40.200000000000003" customHeight="1" x14ac:dyDescent="0.3">
      <c r="A124" s="6">
        <v>1163</v>
      </c>
      <c r="B124" s="6" t="s">
        <v>1972</v>
      </c>
      <c r="C124" s="6" t="s">
        <v>1387</v>
      </c>
      <c r="D124" s="6" t="s">
        <v>44</v>
      </c>
      <c r="E124" s="6" t="s">
        <v>1972</v>
      </c>
      <c r="F124" s="6" t="s">
        <v>4060</v>
      </c>
      <c r="G124" s="6" t="s">
        <v>1437</v>
      </c>
      <c r="H124" s="6" t="s">
        <v>1309</v>
      </c>
      <c r="I124" s="6" t="s">
        <v>1438</v>
      </c>
      <c r="J124" s="6">
        <v>267</v>
      </c>
      <c r="K124" s="6" t="s">
        <v>19</v>
      </c>
      <c r="L124" s="10">
        <v>4.5960000000000001</v>
      </c>
      <c r="M124" s="6" t="s">
        <v>33</v>
      </c>
      <c r="N124" s="10">
        <f>Tabla3[[#This Row],[Price]]*Tabla3[[#This Row],[QTY Adjusted]]</f>
        <v>1227.1320000000001</v>
      </c>
      <c r="O124" s="15">
        <v>833.04000000000008</v>
      </c>
      <c r="P124" s="21" t="s">
        <v>4225</v>
      </c>
      <c r="Q124" s="6" t="s">
        <v>4245</v>
      </c>
    </row>
    <row r="125" spans="1:17" ht="40.200000000000003" customHeight="1" x14ac:dyDescent="0.3">
      <c r="A125" s="6">
        <v>1299</v>
      </c>
      <c r="B125" s="6" t="s">
        <v>1972</v>
      </c>
      <c r="C125" s="6" t="s">
        <v>219</v>
      </c>
      <c r="D125" s="6" t="s">
        <v>44</v>
      </c>
      <c r="E125" s="6" t="s">
        <v>2293</v>
      </c>
      <c r="F125" s="6" t="s">
        <v>4063</v>
      </c>
      <c r="G125" s="6" t="s">
        <v>995</v>
      </c>
      <c r="H125" s="6" t="s">
        <v>994</v>
      </c>
      <c r="I125" s="6" t="s">
        <v>996</v>
      </c>
      <c r="J125" s="6">
        <v>51</v>
      </c>
      <c r="K125" s="6" t="s">
        <v>19</v>
      </c>
      <c r="L125" s="10">
        <v>24.036000000000001</v>
      </c>
      <c r="M125" s="6" t="s">
        <v>33</v>
      </c>
      <c r="N125" s="10">
        <f>Tabla3[[#This Row],[Price]]*Tabla3[[#This Row],[QTY Adjusted]]</f>
        <v>1225.836</v>
      </c>
      <c r="O125" s="10">
        <v>1225.836</v>
      </c>
      <c r="P125" s="23">
        <v>46096</v>
      </c>
      <c r="Q125" s="6" t="s">
        <v>4245</v>
      </c>
    </row>
    <row r="126" spans="1:17" ht="40.200000000000003" customHeight="1" x14ac:dyDescent="0.3">
      <c r="A126" s="6">
        <v>1287</v>
      </c>
      <c r="B126" s="6" t="s">
        <v>1972</v>
      </c>
      <c r="C126" s="6" t="s">
        <v>47</v>
      </c>
      <c r="D126" s="6" t="s">
        <v>44</v>
      </c>
      <c r="E126" s="6" t="s">
        <v>2258</v>
      </c>
      <c r="F126" s="6" t="s">
        <v>4059</v>
      </c>
      <c r="G126" s="6" t="s">
        <v>2268</v>
      </c>
      <c r="H126" s="6" t="s">
        <v>2260</v>
      </c>
      <c r="I126" s="6" t="s">
        <v>2269</v>
      </c>
      <c r="J126" s="6">
        <v>16</v>
      </c>
      <c r="K126" s="6" t="s">
        <v>19</v>
      </c>
      <c r="L126" s="10">
        <v>88.608000000000004</v>
      </c>
      <c r="M126" s="6" t="s">
        <v>33</v>
      </c>
      <c r="N126" s="10">
        <f>Tabla3[[#This Row],[Price]]*Tabla3[[#This Row],[QTY Adjusted]]</f>
        <v>1417.7280000000001</v>
      </c>
      <c r="O126" s="10">
        <v>1417.7280000000001</v>
      </c>
      <c r="P126" s="23">
        <v>46096</v>
      </c>
      <c r="Q126" s="6" t="s">
        <v>4245</v>
      </c>
    </row>
    <row r="127" spans="1:17" ht="40.200000000000003" customHeight="1" x14ac:dyDescent="0.3">
      <c r="A127" s="6">
        <v>1247</v>
      </c>
      <c r="B127" s="6" t="s">
        <v>1972</v>
      </c>
      <c r="C127" s="6" t="s">
        <v>684</v>
      </c>
      <c r="D127" s="6" t="str">
        <f>Tabla3[[#This Row],[Vendor]]</f>
        <v>Pantheon</v>
      </c>
      <c r="E127" s="6" t="s">
        <v>2079</v>
      </c>
      <c r="F127" s="6" t="s">
        <v>4059</v>
      </c>
      <c r="G127" s="6" t="s">
        <v>2174</v>
      </c>
      <c r="H127" s="6" t="s">
        <v>2175</v>
      </c>
      <c r="I127" s="6" t="s">
        <v>2176</v>
      </c>
      <c r="J127" s="6">
        <v>2</v>
      </c>
      <c r="K127" s="6" t="s">
        <v>19</v>
      </c>
      <c r="L127" s="10">
        <v>708</v>
      </c>
      <c r="M127" s="6" t="s">
        <v>33</v>
      </c>
      <c r="N127" s="10">
        <f>Tabla3[[#This Row],[Price]]*Tabla3[[#This Row],[QTY Adjusted]]</f>
        <v>1416</v>
      </c>
      <c r="O127" s="10">
        <v>1416</v>
      </c>
      <c r="P127" s="21" t="s">
        <v>4218</v>
      </c>
      <c r="Q127" s="6" t="s">
        <v>4245</v>
      </c>
    </row>
    <row r="128" spans="1:17" ht="40.200000000000003" customHeight="1" x14ac:dyDescent="0.3">
      <c r="A128" s="6">
        <v>1286</v>
      </c>
      <c r="B128" s="6" t="s">
        <v>1972</v>
      </c>
      <c r="C128" s="6" t="s">
        <v>47</v>
      </c>
      <c r="D128" s="6" t="s">
        <v>44</v>
      </c>
      <c r="E128" s="6" t="s">
        <v>2258</v>
      </c>
      <c r="F128" s="6" t="s">
        <v>4059</v>
      </c>
      <c r="G128" s="6" t="s">
        <v>2266</v>
      </c>
      <c r="H128" s="6" t="s">
        <v>2260</v>
      </c>
      <c r="I128" s="6" t="s">
        <v>2267</v>
      </c>
      <c r="J128" s="6">
        <v>16</v>
      </c>
      <c r="K128" s="6" t="s">
        <v>19</v>
      </c>
      <c r="L128" s="10">
        <v>86.424000000000007</v>
      </c>
      <c r="M128" s="6" t="s">
        <v>33</v>
      </c>
      <c r="N128" s="10">
        <f>Tabla3[[#This Row],[Price]]*Tabla3[[#This Row],[QTY Adjusted]]</f>
        <v>1382.7840000000001</v>
      </c>
      <c r="O128" s="10">
        <v>1382.7840000000001</v>
      </c>
      <c r="P128" s="23">
        <v>46096</v>
      </c>
      <c r="Q128" s="6" t="s">
        <v>4245</v>
      </c>
    </row>
    <row r="129" spans="1:17" ht="40.200000000000003" customHeight="1" x14ac:dyDescent="0.3">
      <c r="A129" s="6">
        <v>1227</v>
      </c>
      <c r="B129" s="6" t="s">
        <v>1972</v>
      </c>
      <c r="C129" s="6" t="s">
        <v>43</v>
      </c>
      <c r="D129" s="6" t="s">
        <v>44</v>
      </c>
      <c r="E129" s="6" t="s">
        <v>2079</v>
      </c>
      <c r="F129" s="6" t="s">
        <v>4059</v>
      </c>
      <c r="G129" s="6">
        <v>652885</v>
      </c>
      <c r="H129" s="6" t="s">
        <v>2137</v>
      </c>
      <c r="I129" s="6"/>
      <c r="J129" s="6">
        <v>18</v>
      </c>
      <c r="K129" s="6" t="s">
        <v>19</v>
      </c>
      <c r="L129" s="10">
        <v>75.745000000000005</v>
      </c>
      <c r="M129" s="6" t="s">
        <v>33</v>
      </c>
      <c r="N129" s="10">
        <f>Tabla3[[#This Row],[Price]]*Tabla3[[#This Row],[QTY Adjusted]]</f>
        <v>1363.41</v>
      </c>
      <c r="O129" s="10">
        <v>1363.41</v>
      </c>
      <c r="P129" s="23">
        <v>46101</v>
      </c>
      <c r="Q129" s="6" t="s">
        <v>4245</v>
      </c>
    </row>
    <row r="130" spans="1:17" ht="40.200000000000003" customHeight="1" x14ac:dyDescent="0.3">
      <c r="A130" s="6">
        <v>1161</v>
      </c>
      <c r="B130" s="6" t="s">
        <v>1972</v>
      </c>
      <c r="C130" s="6" t="s">
        <v>1387</v>
      </c>
      <c r="D130" s="6" t="s">
        <v>44</v>
      </c>
      <c r="E130" s="6" t="s">
        <v>1972</v>
      </c>
      <c r="F130" s="6" t="s">
        <v>4060</v>
      </c>
      <c r="G130" s="6" t="s">
        <v>1415</v>
      </c>
      <c r="H130" s="6" t="s">
        <v>1416</v>
      </c>
      <c r="I130" s="6" t="s">
        <v>1417</v>
      </c>
      <c r="J130" s="6">
        <v>130</v>
      </c>
      <c r="K130" s="6" t="s">
        <v>19</v>
      </c>
      <c r="L130" s="10">
        <v>8.8680000000000003</v>
      </c>
      <c r="M130" s="6" t="s">
        <v>33</v>
      </c>
      <c r="N130" s="10">
        <f>Tabla3[[#This Row],[Price]]*Tabla3[[#This Row],[QTY Adjusted]]</f>
        <v>1152.8400000000001</v>
      </c>
      <c r="O130" s="15">
        <v>447.2</v>
      </c>
      <c r="P130" s="23">
        <v>46101</v>
      </c>
      <c r="Q130" s="6" t="s">
        <v>4245</v>
      </c>
    </row>
    <row r="131" spans="1:17" ht="40.200000000000003" customHeight="1" x14ac:dyDescent="0.3">
      <c r="A131" s="6">
        <v>1303</v>
      </c>
      <c r="B131" s="6" t="s">
        <v>1972</v>
      </c>
      <c r="C131" s="6" t="s">
        <v>43</v>
      </c>
      <c r="D131" s="6" t="s">
        <v>44</v>
      </c>
      <c r="E131" s="6" t="s">
        <v>2293</v>
      </c>
      <c r="F131" s="6" t="s">
        <v>4059</v>
      </c>
      <c r="G131" s="6" t="s">
        <v>2294</v>
      </c>
      <c r="H131" s="6" t="s">
        <v>2295</v>
      </c>
      <c r="I131" s="6" t="s">
        <v>2296</v>
      </c>
      <c r="J131" s="6">
        <v>51</v>
      </c>
      <c r="K131" s="6" t="s">
        <v>19</v>
      </c>
      <c r="L131" s="10">
        <v>22.454999999999998</v>
      </c>
      <c r="M131" s="6" t="s">
        <v>33</v>
      </c>
      <c r="N131" s="10">
        <f>Tabla3[[#This Row],[Price]]*Tabla3[[#This Row],[QTY Adjusted]]</f>
        <v>1145.2049999999999</v>
      </c>
      <c r="O131" s="10">
        <v>1145.2049999999999</v>
      </c>
      <c r="P131" s="23">
        <v>46101</v>
      </c>
      <c r="Q131" s="6" t="s">
        <v>4245</v>
      </c>
    </row>
    <row r="132" spans="1:17" ht="40.200000000000003" customHeight="1" x14ac:dyDescent="0.3">
      <c r="A132" s="6">
        <v>1164</v>
      </c>
      <c r="B132" s="6" t="s">
        <v>1972</v>
      </c>
      <c r="C132" s="6" t="s">
        <v>1387</v>
      </c>
      <c r="D132" s="6" t="s">
        <v>44</v>
      </c>
      <c r="E132" s="6" t="s">
        <v>1972</v>
      </c>
      <c r="F132" s="6" t="s">
        <v>4060</v>
      </c>
      <c r="G132" s="6" t="s">
        <v>1439</v>
      </c>
      <c r="H132" s="6" t="s">
        <v>110</v>
      </c>
      <c r="I132" s="6" t="s">
        <v>1440</v>
      </c>
      <c r="J132" s="6">
        <v>116</v>
      </c>
      <c r="K132" s="6" t="s">
        <v>19</v>
      </c>
      <c r="L132" s="10">
        <v>9.5879999999999992</v>
      </c>
      <c r="M132" s="6" t="s">
        <v>33</v>
      </c>
      <c r="N132" s="10">
        <f>Tabla3[[#This Row],[Price]]*Tabla3[[#This Row],[QTY Adjusted]]</f>
        <v>1112.2079999999999</v>
      </c>
      <c r="O132" s="15">
        <v>1366.48</v>
      </c>
      <c r="P132" s="23">
        <v>46101</v>
      </c>
      <c r="Q132" s="6" t="s">
        <v>4245</v>
      </c>
    </row>
    <row r="133" spans="1:17" ht="40.200000000000003" customHeight="1" x14ac:dyDescent="0.3">
      <c r="A133" s="6">
        <v>1238</v>
      </c>
      <c r="B133" s="6" t="s">
        <v>1972</v>
      </c>
      <c r="C133" s="6" t="s">
        <v>43</v>
      </c>
      <c r="D133" s="6" t="s">
        <v>44</v>
      </c>
      <c r="E133" s="6" t="s">
        <v>2079</v>
      </c>
      <c r="F133" s="6" t="s">
        <v>4059</v>
      </c>
      <c r="G133" s="6">
        <v>652864</v>
      </c>
      <c r="H133" s="6" t="s">
        <v>2151</v>
      </c>
      <c r="I133" s="6" t="s">
        <v>2152</v>
      </c>
      <c r="J133" s="6">
        <v>12</v>
      </c>
      <c r="K133" s="6" t="s">
        <v>19</v>
      </c>
      <c r="L133" s="10">
        <v>104.17</v>
      </c>
      <c r="M133" s="6" t="s">
        <v>33</v>
      </c>
      <c r="N133" s="10">
        <f>Tabla3[[#This Row],[Price]]*Tabla3[[#This Row],[QTY Adjusted]]</f>
        <v>1250.04</v>
      </c>
      <c r="O133" s="10">
        <v>1250.04</v>
      </c>
      <c r="P133" s="23">
        <v>46101</v>
      </c>
      <c r="Q133" s="6" t="s">
        <v>4245</v>
      </c>
    </row>
    <row r="134" spans="1:17" ht="40.200000000000003" customHeight="1" x14ac:dyDescent="0.3">
      <c r="A134" s="6">
        <v>1244</v>
      </c>
      <c r="B134" s="6" t="s">
        <v>1972</v>
      </c>
      <c r="C134" s="6" t="s">
        <v>561</v>
      </c>
      <c r="D134" s="6" t="s">
        <v>44</v>
      </c>
      <c r="E134" s="6" t="s">
        <v>2079</v>
      </c>
      <c r="F134" s="6" t="s">
        <v>4059</v>
      </c>
      <c r="G134" s="6" t="s">
        <v>1113</v>
      </c>
      <c r="H134" s="6" t="s">
        <v>2166</v>
      </c>
      <c r="I134" s="6" t="s">
        <v>2167</v>
      </c>
      <c r="J134" s="6">
        <v>24</v>
      </c>
      <c r="K134" s="6" t="s">
        <v>19</v>
      </c>
      <c r="L134" s="10">
        <v>52.0625</v>
      </c>
      <c r="M134" s="6" t="s">
        <v>33</v>
      </c>
      <c r="N134" s="10">
        <f>Tabla3[[#This Row],[Price]]*Tabla3[[#This Row],[QTY Adjusted]]</f>
        <v>1249.5</v>
      </c>
      <c r="O134" s="10">
        <v>1249.5</v>
      </c>
      <c r="P134" s="23" t="s">
        <v>4225</v>
      </c>
      <c r="Q134" s="6" t="s">
        <v>4245</v>
      </c>
    </row>
    <row r="135" spans="1:17" ht="40.200000000000003" customHeight="1" x14ac:dyDescent="0.3">
      <c r="A135" s="6">
        <v>1134</v>
      </c>
      <c r="B135" s="6" t="s">
        <v>1972</v>
      </c>
      <c r="C135" s="6" t="s">
        <v>219</v>
      </c>
      <c r="D135" s="6" t="s">
        <v>44</v>
      </c>
      <c r="E135" s="6" t="s">
        <v>1972</v>
      </c>
      <c r="F135" s="6" t="s">
        <v>4063</v>
      </c>
      <c r="G135" s="6" t="s">
        <v>801</v>
      </c>
      <c r="H135" s="6" t="s">
        <v>589</v>
      </c>
      <c r="I135" s="6" t="s">
        <v>2002</v>
      </c>
      <c r="J135" s="6">
        <v>89</v>
      </c>
      <c r="K135" s="6" t="s">
        <v>19</v>
      </c>
      <c r="L135" s="10">
        <v>11.856</v>
      </c>
      <c r="M135" s="6" t="s">
        <v>33</v>
      </c>
      <c r="N135" s="10">
        <f>Tabla3[[#This Row],[Price]]*Tabla3[[#This Row],[QTY Adjusted]]</f>
        <v>1055.184</v>
      </c>
      <c r="O135" s="10">
        <v>1055.184</v>
      </c>
      <c r="P135" s="23">
        <v>46096</v>
      </c>
      <c r="Q135" s="6" t="s">
        <v>4245</v>
      </c>
    </row>
    <row r="136" spans="1:17" ht="40.200000000000003" customHeight="1" x14ac:dyDescent="0.3">
      <c r="A136" s="6">
        <v>1179</v>
      </c>
      <c r="B136" s="6" t="s">
        <v>1972</v>
      </c>
      <c r="C136" s="6" t="s">
        <v>228</v>
      </c>
      <c r="D136" s="6" t="s">
        <v>1490</v>
      </c>
      <c r="E136" s="6" t="s">
        <v>1972</v>
      </c>
      <c r="F136" s="6" t="s">
        <v>4062</v>
      </c>
      <c r="G136" s="6" t="s">
        <v>965</v>
      </c>
      <c r="H136" s="6" t="s">
        <v>412</v>
      </c>
      <c r="I136" s="6" t="s">
        <v>966</v>
      </c>
      <c r="J136" s="6">
        <v>130</v>
      </c>
      <c r="K136" s="6" t="s">
        <v>19</v>
      </c>
      <c r="L136" s="10">
        <v>8.06</v>
      </c>
      <c r="M136" s="6" t="s">
        <v>33</v>
      </c>
      <c r="N136" s="10">
        <f>Tabla3[[#This Row],[Price]]*Tabla3[[#This Row],[QTY Adjusted]]</f>
        <v>1047.8</v>
      </c>
      <c r="O136" s="15">
        <v>734.5</v>
      </c>
      <c r="P136" s="21" t="s">
        <v>4225</v>
      </c>
      <c r="Q136" s="6" t="s">
        <v>4245</v>
      </c>
    </row>
    <row r="137" spans="1:17" ht="40.200000000000003" customHeight="1" x14ac:dyDescent="0.3">
      <c r="A137" s="6">
        <v>1222</v>
      </c>
      <c r="B137" s="6" t="s">
        <v>1972</v>
      </c>
      <c r="C137" s="6" t="s">
        <v>43</v>
      </c>
      <c r="D137" s="6" t="s">
        <v>44</v>
      </c>
      <c r="E137" s="6" t="s">
        <v>2079</v>
      </c>
      <c r="F137" s="6" t="s">
        <v>4059</v>
      </c>
      <c r="G137" s="6">
        <v>660494</v>
      </c>
      <c r="H137" s="6" t="s">
        <v>2130</v>
      </c>
      <c r="I137" s="6" t="s">
        <v>2131</v>
      </c>
      <c r="J137" s="6">
        <v>24</v>
      </c>
      <c r="K137" s="6" t="s">
        <v>19</v>
      </c>
      <c r="L137" s="10">
        <v>50.625</v>
      </c>
      <c r="M137" s="6" t="s">
        <v>33</v>
      </c>
      <c r="N137" s="10">
        <f>Tabla3[[#This Row],[Price]]*Tabla3[[#This Row],[QTY Adjusted]]</f>
        <v>1215</v>
      </c>
      <c r="O137" s="10">
        <v>1215</v>
      </c>
      <c r="P137" s="23">
        <v>46101</v>
      </c>
      <c r="Q137" s="6" t="s">
        <v>4245</v>
      </c>
    </row>
    <row r="138" spans="1:17" ht="40.200000000000003" customHeight="1" x14ac:dyDescent="0.3">
      <c r="A138" s="6">
        <v>1302</v>
      </c>
      <c r="B138" s="6" t="s">
        <v>1972</v>
      </c>
      <c r="C138" s="6" t="s">
        <v>219</v>
      </c>
      <c r="D138" s="6" t="s">
        <v>44</v>
      </c>
      <c r="E138" s="6" t="s">
        <v>2293</v>
      </c>
      <c r="F138" s="6" t="s">
        <v>4059</v>
      </c>
      <c r="G138" s="6" t="s">
        <v>982</v>
      </c>
      <c r="H138" s="6" t="s">
        <v>979</v>
      </c>
      <c r="I138" s="6" t="s">
        <v>983</v>
      </c>
      <c r="J138" s="6">
        <v>44</v>
      </c>
      <c r="K138" s="6" t="s">
        <v>19</v>
      </c>
      <c r="L138" s="10">
        <v>23.687999999999999</v>
      </c>
      <c r="M138" s="6" t="s">
        <v>33</v>
      </c>
      <c r="N138" s="10">
        <f>Tabla3[[#This Row],[Price]]*Tabla3[[#This Row],[QTY Adjusted]]</f>
        <v>1042.2719999999999</v>
      </c>
      <c r="O138" s="10">
        <v>1042.2719999999999</v>
      </c>
      <c r="P138" s="23">
        <v>46096</v>
      </c>
      <c r="Q138" s="6" t="s">
        <v>4245</v>
      </c>
    </row>
    <row r="139" spans="1:17" ht="40.200000000000003" customHeight="1" x14ac:dyDescent="0.3">
      <c r="A139" s="6">
        <v>1292</v>
      </c>
      <c r="B139" s="6" t="s">
        <v>1972</v>
      </c>
      <c r="C139" s="6" t="s">
        <v>2280</v>
      </c>
      <c r="D139" s="6" t="s">
        <v>93</v>
      </c>
      <c r="E139" s="6" t="s">
        <v>2258</v>
      </c>
      <c r="F139" s="6" t="s">
        <v>4059</v>
      </c>
      <c r="G139" s="6" t="s">
        <v>2281</v>
      </c>
      <c r="H139" s="6" t="s">
        <v>2282</v>
      </c>
      <c r="I139" s="6" t="s">
        <v>2283</v>
      </c>
      <c r="J139" s="6">
        <v>24</v>
      </c>
      <c r="K139" s="6" t="s">
        <v>19</v>
      </c>
      <c r="L139" s="10">
        <v>49.76</v>
      </c>
      <c r="M139" s="6" t="s">
        <v>33</v>
      </c>
      <c r="N139" s="10">
        <f>Tabla3[[#This Row],[Price]]*Tabla3[[#This Row],[QTY Adjusted]]</f>
        <v>1194.24</v>
      </c>
      <c r="O139" s="10">
        <v>1194.24</v>
      </c>
      <c r="P139" s="21" t="s">
        <v>4225</v>
      </c>
      <c r="Q139" s="6" t="s">
        <v>4245</v>
      </c>
    </row>
    <row r="140" spans="1:17" ht="40.200000000000003" customHeight="1" x14ac:dyDescent="0.3">
      <c r="A140" s="6">
        <v>1122</v>
      </c>
      <c r="B140" s="6" t="s">
        <v>1972</v>
      </c>
      <c r="C140" s="6" t="s">
        <v>130</v>
      </c>
      <c r="D140" s="6" t="s">
        <v>130</v>
      </c>
      <c r="E140" s="6" t="s">
        <v>1972</v>
      </c>
      <c r="F140" s="6" t="s">
        <v>4059</v>
      </c>
      <c r="G140" s="6" t="s">
        <v>1981</v>
      </c>
      <c r="H140" s="6" t="s">
        <v>41</v>
      </c>
      <c r="I140" s="6" t="s">
        <v>1982</v>
      </c>
      <c r="J140" s="6">
        <v>24</v>
      </c>
      <c r="K140" s="6" t="s">
        <v>19</v>
      </c>
      <c r="L140" s="10">
        <v>49.710963853946588</v>
      </c>
      <c r="M140" s="6" t="s">
        <v>33</v>
      </c>
      <c r="N140" s="10">
        <f>Tabla3[[#This Row],[Price]]*Tabla3[[#This Row],[QTY Adjusted]]</f>
        <v>1193.063132494718</v>
      </c>
      <c r="O140" s="10">
        <v>1193.063132494718</v>
      </c>
      <c r="P140" s="21" t="s">
        <v>4225</v>
      </c>
      <c r="Q140" s="6" t="s">
        <v>4245</v>
      </c>
    </row>
    <row r="141" spans="1:17" ht="40.200000000000003" customHeight="1" x14ac:dyDescent="0.3">
      <c r="A141" s="6">
        <v>1217</v>
      </c>
      <c r="B141" s="6" t="s">
        <v>1972</v>
      </c>
      <c r="C141" s="6" t="s">
        <v>43</v>
      </c>
      <c r="D141" s="6" t="s">
        <v>44</v>
      </c>
      <c r="E141" s="6" t="s">
        <v>2079</v>
      </c>
      <c r="F141" s="6" t="s">
        <v>4059</v>
      </c>
      <c r="G141" s="6">
        <v>653040</v>
      </c>
      <c r="H141" s="6" t="s">
        <v>2118</v>
      </c>
      <c r="I141" s="6" t="s">
        <v>2119</v>
      </c>
      <c r="J141" s="6">
        <v>12</v>
      </c>
      <c r="K141" s="6" t="s">
        <v>19</v>
      </c>
      <c r="L141" s="10">
        <v>96.484999999999999</v>
      </c>
      <c r="M141" s="6" t="s">
        <v>33</v>
      </c>
      <c r="N141" s="10">
        <f>Tabla3[[#This Row],[Price]]*Tabla3[[#This Row],[QTY Adjusted]]</f>
        <v>1157.82</v>
      </c>
      <c r="O141" s="10">
        <v>1157.82</v>
      </c>
      <c r="P141" s="23">
        <v>46101</v>
      </c>
      <c r="Q141" s="6" t="s">
        <v>4245</v>
      </c>
    </row>
    <row r="142" spans="1:17" ht="40.200000000000003" customHeight="1" x14ac:dyDescent="0.3">
      <c r="A142" s="6">
        <v>1202</v>
      </c>
      <c r="B142" s="6" t="s">
        <v>1972</v>
      </c>
      <c r="C142" s="6" t="s">
        <v>43</v>
      </c>
      <c r="D142" s="6" t="s">
        <v>44</v>
      </c>
      <c r="E142" s="6" t="s">
        <v>2079</v>
      </c>
      <c r="F142" s="6" t="s">
        <v>4059</v>
      </c>
      <c r="G142" s="6">
        <v>650993</v>
      </c>
      <c r="H142" s="6" t="s">
        <v>2085</v>
      </c>
      <c r="I142" s="6" t="s">
        <v>2086</v>
      </c>
      <c r="J142" s="6">
        <v>108</v>
      </c>
      <c r="K142" s="6" t="s">
        <v>19</v>
      </c>
      <c r="L142" s="10">
        <v>9.1199999999999992</v>
      </c>
      <c r="M142" s="6" t="s">
        <v>33</v>
      </c>
      <c r="N142" s="10">
        <f>Tabla3[[#This Row],[Price]]*Tabla3[[#This Row],[QTY Adjusted]]</f>
        <v>984.95999999999992</v>
      </c>
      <c r="O142" s="10">
        <v>984.95999999999992</v>
      </c>
      <c r="P142" s="23">
        <v>46101</v>
      </c>
      <c r="Q142" s="6" t="s">
        <v>4245</v>
      </c>
    </row>
    <row r="143" spans="1:17" ht="40.200000000000003" customHeight="1" x14ac:dyDescent="0.3">
      <c r="A143" s="6">
        <v>1153</v>
      </c>
      <c r="B143" s="6" t="s">
        <v>1972</v>
      </c>
      <c r="C143" s="6" t="s">
        <v>1387</v>
      </c>
      <c r="D143" s="6" t="s">
        <v>44</v>
      </c>
      <c r="E143" s="6" t="s">
        <v>1972</v>
      </c>
      <c r="F143" s="6" t="s">
        <v>4060</v>
      </c>
      <c r="G143" s="6" t="s">
        <v>1432</v>
      </c>
      <c r="H143" s="6" t="s">
        <v>1433</v>
      </c>
      <c r="I143" s="6" t="s">
        <v>1434</v>
      </c>
      <c r="J143" s="6">
        <v>130</v>
      </c>
      <c r="K143" s="6" t="s">
        <v>19</v>
      </c>
      <c r="L143" s="10">
        <v>7.4880000000000004</v>
      </c>
      <c r="M143" s="6" t="s">
        <v>33</v>
      </c>
      <c r="N143" s="10">
        <f>Tabla3[[#This Row],[Price]]*Tabla3[[#This Row],[QTY Adjusted]]</f>
        <v>973.44</v>
      </c>
      <c r="O143" s="15">
        <v>284.7</v>
      </c>
      <c r="P143" s="21" t="s">
        <v>4225</v>
      </c>
      <c r="Q143" s="6" t="s">
        <v>4245</v>
      </c>
    </row>
    <row r="144" spans="1:17" ht="40.200000000000003" customHeight="1" x14ac:dyDescent="0.3">
      <c r="A144" s="6">
        <v>1121</v>
      </c>
      <c r="B144" s="6" t="s">
        <v>1972</v>
      </c>
      <c r="C144" s="6" t="s">
        <v>130</v>
      </c>
      <c r="D144" s="6" t="s">
        <v>130</v>
      </c>
      <c r="E144" s="6" t="s">
        <v>1972</v>
      </c>
      <c r="F144" s="6" t="s">
        <v>4059</v>
      </c>
      <c r="G144" s="6" t="s">
        <v>1979</v>
      </c>
      <c r="H144" s="6" t="s">
        <v>39</v>
      </c>
      <c r="I144" s="6" t="s">
        <v>1980</v>
      </c>
      <c r="J144" s="6">
        <v>24</v>
      </c>
      <c r="K144" s="6" t="s">
        <v>19</v>
      </c>
      <c r="L144" s="10">
        <v>42.836368360930003</v>
      </c>
      <c r="M144" s="6" t="s">
        <v>33</v>
      </c>
      <c r="N144" s="10">
        <f>Tabla3[[#This Row],[Price]]*Tabla3[[#This Row],[QTY Adjusted]]</f>
        <v>1028.07284066232</v>
      </c>
      <c r="O144" s="10">
        <v>1028.07284066232</v>
      </c>
      <c r="P144" s="21" t="s">
        <v>4225</v>
      </c>
      <c r="Q144" s="6" t="s">
        <v>4245</v>
      </c>
    </row>
    <row r="145" spans="1:17" ht="40.200000000000003" customHeight="1" x14ac:dyDescent="0.3">
      <c r="A145" s="6">
        <v>1228</v>
      </c>
      <c r="B145" s="6" t="s">
        <v>1972</v>
      </c>
      <c r="C145" s="6" t="s">
        <v>43</v>
      </c>
      <c r="D145" s="6" t="s">
        <v>44</v>
      </c>
      <c r="E145" s="6" t="s">
        <v>2079</v>
      </c>
      <c r="F145" s="6" t="s">
        <v>4059</v>
      </c>
      <c r="G145" s="6">
        <v>655563</v>
      </c>
      <c r="H145" s="6" t="s">
        <v>2138</v>
      </c>
      <c r="I145" s="6"/>
      <c r="J145" s="6">
        <v>24</v>
      </c>
      <c r="K145" s="6" t="s">
        <v>19</v>
      </c>
      <c r="L145" s="10">
        <v>42.76</v>
      </c>
      <c r="M145" s="6" t="s">
        <v>33</v>
      </c>
      <c r="N145" s="10">
        <f>Tabla3[[#This Row],[Price]]*Tabla3[[#This Row],[QTY Adjusted]]</f>
        <v>1026.24</v>
      </c>
      <c r="O145" s="10">
        <v>1026.24</v>
      </c>
      <c r="P145" s="23">
        <v>46101</v>
      </c>
      <c r="Q145" s="6" t="s">
        <v>4245</v>
      </c>
    </row>
    <row r="146" spans="1:17" ht="40.200000000000003" customHeight="1" x14ac:dyDescent="0.3">
      <c r="A146" s="6">
        <v>1229</v>
      </c>
      <c r="B146" s="6" t="s">
        <v>1972</v>
      </c>
      <c r="C146" s="6" t="s">
        <v>43</v>
      </c>
      <c r="D146" s="6" t="s">
        <v>44</v>
      </c>
      <c r="E146" s="6" t="s">
        <v>2079</v>
      </c>
      <c r="F146" s="6" t="s">
        <v>4059</v>
      </c>
      <c r="G146" s="6">
        <v>655564</v>
      </c>
      <c r="H146" s="6" t="s">
        <v>2139</v>
      </c>
      <c r="I146" s="6"/>
      <c r="J146" s="6">
        <v>24</v>
      </c>
      <c r="K146" s="6" t="s">
        <v>19</v>
      </c>
      <c r="L146" s="10">
        <v>42.76</v>
      </c>
      <c r="M146" s="6" t="s">
        <v>33</v>
      </c>
      <c r="N146" s="10">
        <f>Tabla3[[#This Row],[Price]]*Tabla3[[#This Row],[QTY Adjusted]]</f>
        <v>1026.24</v>
      </c>
      <c r="O146" s="10">
        <v>1026.24</v>
      </c>
      <c r="P146" s="23">
        <v>46101</v>
      </c>
      <c r="Q146" s="6" t="s">
        <v>4245</v>
      </c>
    </row>
    <row r="147" spans="1:17" ht="40.200000000000003" customHeight="1" x14ac:dyDescent="0.3">
      <c r="A147" s="6">
        <v>1236</v>
      </c>
      <c r="B147" s="6" t="s">
        <v>1972</v>
      </c>
      <c r="C147" s="6" t="s">
        <v>43</v>
      </c>
      <c r="D147" s="6" t="s">
        <v>44</v>
      </c>
      <c r="E147" s="6" t="s">
        <v>2079</v>
      </c>
      <c r="F147" s="6" t="s">
        <v>4059</v>
      </c>
      <c r="G147" s="6">
        <v>654820</v>
      </c>
      <c r="H147" s="6" t="s">
        <v>2148</v>
      </c>
      <c r="I147" s="6" t="s">
        <v>2149</v>
      </c>
      <c r="J147" s="6">
        <v>36</v>
      </c>
      <c r="K147" s="6" t="s">
        <v>19</v>
      </c>
      <c r="L147" s="10">
        <v>27.88</v>
      </c>
      <c r="M147" s="6" t="s">
        <v>33</v>
      </c>
      <c r="N147" s="10">
        <f>Tabla3[[#This Row],[Price]]*Tabla3[[#This Row],[QTY Adjusted]]</f>
        <v>1003.68</v>
      </c>
      <c r="O147" s="10">
        <v>1003.68</v>
      </c>
      <c r="P147" s="23">
        <v>46101</v>
      </c>
      <c r="Q147" s="6" t="s">
        <v>4245</v>
      </c>
    </row>
    <row r="148" spans="1:17" ht="40.200000000000003" customHeight="1" x14ac:dyDescent="0.3">
      <c r="A148" s="6">
        <v>1237</v>
      </c>
      <c r="B148" s="6" t="s">
        <v>1972</v>
      </c>
      <c r="C148" s="6" t="s">
        <v>43</v>
      </c>
      <c r="D148" s="6" t="s">
        <v>44</v>
      </c>
      <c r="E148" s="6" t="s">
        <v>2079</v>
      </c>
      <c r="F148" s="6" t="s">
        <v>4059</v>
      </c>
      <c r="G148" s="6">
        <v>654822</v>
      </c>
      <c r="H148" s="6" t="s">
        <v>2148</v>
      </c>
      <c r="I148" s="6" t="s">
        <v>2150</v>
      </c>
      <c r="J148" s="6">
        <v>36</v>
      </c>
      <c r="K148" s="6" t="s">
        <v>19</v>
      </c>
      <c r="L148" s="10">
        <v>27.88</v>
      </c>
      <c r="M148" s="6" t="s">
        <v>33</v>
      </c>
      <c r="N148" s="10">
        <f>Tabla3[[#This Row],[Price]]*Tabla3[[#This Row],[QTY Adjusted]]</f>
        <v>1003.68</v>
      </c>
      <c r="O148" s="10">
        <v>1003.68</v>
      </c>
      <c r="P148" s="23">
        <v>46101</v>
      </c>
      <c r="Q148" s="6" t="s">
        <v>4245</v>
      </c>
    </row>
    <row r="149" spans="1:17" ht="40.200000000000003" customHeight="1" x14ac:dyDescent="0.3">
      <c r="A149" s="6">
        <v>1250</v>
      </c>
      <c r="B149" s="6" t="s">
        <v>1972</v>
      </c>
      <c r="C149" s="6" t="s">
        <v>43</v>
      </c>
      <c r="D149" s="6" t="s">
        <v>44</v>
      </c>
      <c r="E149" s="6" t="s">
        <v>2177</v>
      </c>
      <c r="F149" s="6" t="s">
        <v>4059</v>
      </c>
      <c r="G149" s="6">
        <v>656049</v>
      </c>
      <c r="H149" s="6" t="s">
        <v>2182</v>
      </c>
      <c r="I149" s="6" t="s">
        <v>2183</v>
      </c>
      <c r="J149" s="6">
        <v>16</v>
      </c>
      <c r="K149" s="6" t="s">
        <v>19</v>
      </c>
      <c r="L149" s="10">
        <v>62.7</v>
      </c>
      <c r="M149" s="6" t="s">
        <v>33</v>
      </c>
      <c r="N149" s="10">
        <f>Tabla3[[#This Row],[Price]]*Tabla3[[#This Row],[QTY Adjusted]]</f>
        <v>1003.2</v>
      </c>
      <c r="O149" s="10">
        <v>1003.2</v>
      </c>
      <c r="P149" s="23">
        <v>46101</v>
      </c>
      <c r="Q149" s="6" t="s">
        <v>4245</v>
      </c>
    </row>
    <row r="150" spans="1:17" ht="40.200000000000003" customHeight="1" x14ac:dyDescent="0.3">
      <c r="A150" s="6">
        <v>1162</v>
      </c>
      <c r="B150" s="6" t="s">
        <v>1972</v>
      </c>
      <c r="C150" s="6" t="s">
        <v>1387</v>
      </c>
      <c r="D150" s="6" t="s">
        <v>44</v>
      </c>
      <c r="E150" s="6" t="s">
        <v>1972</v>
      </c>
      <c r="F150" s="6" t="s">
        <v>4060</v>
      </c>
      <c r="G150" s="6" t="s">
        <v>2034</v>
      </c>
      <c r="H150" s="6" t="s">
        <v>2035</v>
      </c>
      <c r="I150" s="6" t="s">
        <v>2036</v>
      </c>
      <c r="J150" s="6">
        <v>130</v>
      </c>
      <c r="K150" s="6" t="s">
        <v>19</v>
      </c>
      <c r="L150" s="10">
        <v>6.4320000000000004</v>
      </c>
      <c r="M150" s="6" t="s">
        <v>33</v>
      </c>
      <c r="N150" s="10">
        <f>Tabla3[[#This Row],[Price]]*Tabla3[[#This Row],[QTY Adjusted]]</f>
        <v>836.16000000000008</v>
      </c>
      <c r="O150" s="15">
        <v>413.40000000000003</v>
      </c>
      <c r="P150" s="23">
        <v>46101</v>
      </c>
      <c r="Q150" s="6" t="s">
        <v>4245</v>
      </c>
    </row>
    <row r="151" spans="1:17" ht="40.200000000000003" customHeight="1" x14ac:dyDescent="0.3">
      <c r="A151" s="6">
        <v>1225</v>
      </c>
      <c r="B151" s="6" t="s">
        <v>1972</v>
      </c>
      <c r="C151" s="6" t="s">
        <v>43</v>
      </c>
      <c r="D151" s="6" t="s">
        <v>44</v>
      </c>
      <c r="E151" s="6" t="s">
        <v>2079</v>
      </c>
      <c r="F151" s="6" t="s">
        <v>4059</v>
      </c>
      <c r="G151" s="6">
        <v>655561</v>
      </c>
      <c r="H151" s="6" t="s">
        <v>2132</v>
      </c>
      <c r="I151" s="6" t="s">
        <v>2134</v>
      </c>
      <c r="J151" s="6">
        <v>18</v>
      </c>
      <c r="K151" s="6" t="s">
        <v>19</v>
      </c>
      <c r="L151" s="10">
        <v>52.615000000000002</v>
      </c>
      <c r="M151" s="6" t="s">
        <v>33</v>
      </c>
      <c r="N151" s="10">
        <f>Tabla3[[#This Row],[Price]]*Tabla3[[#This Row],[QTY Adjusted]]</f>
        <v>947.07</v>
      </c>
      <c r="O151" s="10">
        <v>947.07</v>
      </c>
      <c r="P151" s="23">
        <v>46101</v>
      </c>
      <c r="Q151" s="6" t="s">
        <v>4245</v>
      </c>
    </row>
    <row r="152" spans="1:17" ht="40.200000000000003" customHeight="1" x14ac:dyDescent="0.3">
      <c r="A152" s="6">
        <v>1226</v>
      </c>
      <c r="B152" s="6" t="s">
        <v>1972</v>
      </c>
      <c r="C152" s="6" t="s">
        <v>43</v>
      </c>
      <c r="D152" s="6" t="s">
        <v>44</v>
      </c>
      <c r="E152" s="6" t="s">
        <v>2079</v>
      </c>
      <c r="F152" s="6" t="s">
        <v>4059</v>
      </c>
      <c r="G152" s="6" t="s">
        <v>2135</v>
      </c>
      <c r="H152" s="6" t="s">
        <v>2132</v>
      </c>
      <c r="I152" s="6" t="s">
        <v>2136</v>
      </c>
      <c r="J152" s="6">
        <v>18</v>
      </c>
      <c r="K152" s="6" t="s">
        <v>19</v>
      </c>
      <c r="L152" s="10">
        <v>52.615000000000002</v>
      </c>
      <c r="M152" s="6" t="s">
        <v>33</v>
      </c>
      <c r="N152" s="10">
        <f>Tabla3[[#This Row],[Price]]*Tabla3[[#This Row],[QTY Adjusted]]</f>
        <v>947.07</v>
      </c>
      <c r="O152" s="10">
        <v>947.07</v>
      </c>
      <c r="P152" s="23">
        <v>46101</v>
      </c>
      <c r="Q152" s="6" t="s">
        <v>4245</v>
      </c>
    </row>
    <row r="153" spans="1:17" ht="40.200000000000003" customHeight="1" x14ac:dyDescent="0.3">
      <c r="A153" s="6">
        <v>1218</v>
      </c>
      <c r="B153" s="6" t="s">
        <v>1972</v>
      </c>
      <c r="C153" s="6" t="s">
        <v>43</v>
      </c>
      <c r="D153" s="6" t="s">
        <v>44</v>
      </c>
      <c r="E153" s="6" t="s">
        <v>2079</v>
      </c>
      <c r="F153" s="6" t="s">
        <v>4059</v>
      </c>
      <c r="G153" s="6">
        <v>654173</v>
      </c>
      <c r="H153" s="6" t="s">
        <v>2120</v>
      </c>
      <c r="I153" s="6" t="s">
        <v>2121</v>
      </c>
      <c r="J153" s="6">
        <v>12</v>
      </c>
      <c r="K153" s="6" t="s">
        <v>19</v>
      </c>
      <c r="L153" s="10">
        <v>76.644999999999996</v>
      </c>
      <c r="M153" s="6" t="s">
        <v>33</v>
      </c>
      <c r="N153" s="10">
        <f>Tabla3[[#This Row],[Price]]*Tabla3[[#This Row],[QTY Adjusted]]</f>
        <v>919.74</v>
      </c>
      <c r="O153" s="10">
        <v>919.74</v>
      </c>
      <c r="P153" s="23">
        <v>46101</v>
      </c>
      <c r="Q153" s="6" t="s">
        <v>4245</v>
      </c>
    </row>
    <row r="154" spans="1:17" ht="40.200000000000003" customHeight="1" x14ac:dyDescent="0.3">
      <c r="A154" s="6">
        <v>1315</v>
      </c>
      <c r="B154" s="6" t="s">
        <v>1972</v>
      </c>
      <c r="C154" s="6" t="s">
        <v>2075</v>
      </c>
      <c r="D154" s="6" t="s">
        <v>362</v>
      </c>
      <c r="E154" s="6" t="s">
        <v>2306</v>
      </c>
      <c r="F154" s="6" t="s">
        <v>4065</v>
      </c>
      <c r="G154" s="6" t="s">
        <v>2327</v>
      </c>
      <c r="H154" s="6" t="s">
        <v>2328</v>
      </c>
      <c r="I154" s="6" t="s">
        <v>2329</v>
      </c>
      <c r="J154" s="6">
        <v>6</v>
      </c>
      <c r="K154" s="6" t="s">
        <v>19</v>
      </c>
      <c r="L154" s="10">
        <v>142.88999999999999</v>
      </c>
      <c r="M154" s="6" t="s">
        <v>33</v>
      </c>
      <c r="N154" s="10">
        <f>Tabla3[[#This Row],[Price]]*Tabla3[[#This Row],[QTY Adjusted]]</f>
        <v>857.33999999999992</v>
      </c>
      <c r="O154" s="10">
        <v>857.33999999999992</v>
      </c>
      <c r="P154" s="21" t="s">
        <v>4225</v>
      </c>
      <c r="Q154" s="6" t="s">
        <v>4245</v>
      </c>
    </row>
    <row r="155" spans="1:17" ht="40.200000000000003" customHeight="1" x14ac:dyDescent="0.3">
      <c r="A155" s="6">
        <v>1205</v>
      </c>
      <c r="B155" s="6" t="s">
        <v>1972</v>
      </c>
      <c r="C155" s="6" t="s">
        <v>43</v>
      </c>
      <c r="D155" s="6" t="s">
        <v>44</v>
      </c>
      <c r="E155" s="6" t="s">
        <v>2079</v>
      </c>
      <c r="F155" s="6" t="s">
        <v>4059</v>
      </c>
      <c r="G155" s="6">
        <v>653076</v>
      </c>
      <c r="H155" s="6" t="s">
        <v>2089</v>
      </c>
      <c r="I155" s="6" t="s">
        <v>2090</v>
      </c>
      <c r="J155" s="6">
        <v>12</v>
      </c>
      <c r="K155" s="6" t="s">
        <v>19</v>
      </c>
      <c r="L155" s="10">
        <v>70.97</v>
      </c>
      <c r="M155" s="6" t="s">
        <v>33</v>
      </c>
      <c r="N155" s="10">
        <f>Tabla3[[#This Row],[Price]]*Tabla3[[#This Row],[QTY Adjusted]]</f>
        <v>851.64</v>
      </c>
      <c r="O155" s="10">
        <v>851.64</v>
      </c>
      <c r="P155" s="23">
        <v>46101</v>
      </c>
      <c r="Q155" s="6" t="s">
        <v>4245</v>
      </c>
    </row>
    <row r="156" spans="1:17" ht="40.200000000000003" customHeight="1" x14ac:dyDescent="0.3">
      <c r="A156" s="6">
        <v>1141</v>
      </c>
      <c r="B156" s="6" t="s">
        <v>1972</v>
      </c>
      <c r="C156" s="6" t="s">
        <v>1387</v>
      </c>
      <c r="D156" s="6" t="s">
        <v>44</v>
      </c>
      <c r="E156" s="6" t="s">
        <v>1972</v>
      </c>
      <c r="F156" s="6" t="s">
        <v>4060</v>
      </c>
      <c r="G156" s="6" t="s">
        <v>1403</v>
      </c>
      <c r="H156" s="6" t="s">
        <v>1404</v>
      </c>
      <c r="I156" s="6" t="s">
        <v>1405</v>
      </c>
      <c r="J156" s="6">
        <v>72</v>
      </c>
      <c r="K156" s="6" t="s">
        <v>19</v>
      </c>
      <c r="L156" s="10">
        <v>9.9600000000000009</v>
      </c>
      <c r="M156" s="6" t="s">
        <v>33</v>
      </c>
      <c r="N156" s="10">
        <f>Tabla3[[#This Row],[Price]]*Tabla3[[#This Row],[QTY Adjusted]]</f>
        <v>717.12000000000012</v>
      </c>
      <c r="O156" s="10">
        <v>717.12000000000012</v>
      </c>
      <c r="P156" s="23">
        <v>46101</v>
      </c>
      <c r="Q156" s="6" t="s">
        <v>4245</v>
      </c>
    </row>
    <row r="157" spans="1:17" ht="40.200000000000003" customHeight="1" x14ac:dyDescent="0.3">
      <c r="A157" s="6">
        <v>1215</v>
      </c>
      <c r="B157" s="6" t="s">
        <v>1972</v>
      </c>
      <c r="C157" s="6" t="s">
        <v>43</v>
      </c>
      <c r="D157" s="6" t="s">
        <v>44</v>
      </c>
      <c r="E157" s="6" t="s">
        <v>2079</v>
      </c>
      <c r="F157" s="6" t="s">
        <v>4059</v>
      </c>
      <c r="G157" s="6" t="s">
        <v>2112</v>
      </c>
      <c r="H157" s="6" t="s">
        <v>2113</v>
      </c>
      <c r="I157" s="6" t="s">
        <v>2114</v>
      </c>
      <c r="J157" s="6">
        <v>8</v>
      </c>
      <c r="K157" s="6" t="s">
        <v>19</v>
      </c>
      <c r="L157" s="10">
        <v>104.105</v>
      </c>
      <c r="M157" s="6" t="s">
        <v>33</v>
      </c>
      <c r="N157" s="10">
        <f>Tabla3[[#This Row],[Price]]*Tabla3[[#This Row],[QTY Adjusted]]</f>
        <v>832.84</v>
      </c>
      <c r="O157" s="10">
        <v>832.84</v>
      </c>
      <c r="P157" s="23">
        <v>46101</v>
      </c>
      <c r="Q157" s="6" t="s">
        <v>4245</v>
      </c>
    </row>
    <row r="158" spans="1:17" ht="40.200000000000003" customHeight="1" x14ac:dyDescent="0.3">
      <c r="A158" s="6">
        <v>1165</v>
      </c>
      <c r="B158" s="6" t="s">
        <v>1972</v>
      </c>
      <c r="C158" s="6" t="s">
        <v>1387</v>
      </c>
      <c r="D158" s="6" t="s">
        <v>44</v>
      </c>
      <c r="E158" s="6" t="s">
        <v>1972</v>
      </c>
      <c r="F158" s="6" t="s">
        <v>4060</v>
      </c>
      <c r="G158" s="6" t="s">
        <v>1441</v>
      </c>
      <c r="H158" s="6" t="s">
        <v>1442</v>
      </c>
      <c r="I158" s="6" t="s">
        <v>1443</v>
      </c>
      <c r="J158" s="6">
        <v>87</v>
      </c>
      <c r="K158" s="6" t="s">
        <v>19</v>
      </c>
      <c r="L158" s="10">
        <v>8.0280000000000005</v>
      </c>
      <c r="M158" s="6" t="s">
        <v>33</v>
      </c>
      <c r="N158" s="10">
        <f>Tabla3[[#This Row],[Price]]*Tabla3[[#This Row],[QTY Adjusted]]</f>
        <v>698.43600000000004</v>
      </c>
      <c r="O158" s="15">
        <v>500.25</v>
      </c>
      <c r="P158" s="21" t="s">
        <v>4225</v>
      </c>
      <c r="Q158" s="6" t="s">
        <v>4245</v>
      </c>
    </row>
    <row r="159" spans="1:17" ht="40.200000000000003" customHeight="1" x14ac:dyDescent="0.3">
      <c r="A159" s="6">
        <v>1130</v>
      </c>
      <c r="B159" s="6" t="s">
        <v>1972</v>
      </c>
      <c r="C159" s="6" t="s">
        <v>219</v>
      </c>
      <c r="D159" s="6" t="s">
        <v>44</v>
      </c>
      <c r="E159" s="6" t="s">
        <v>1972</v>
      </c>
      <c r="F159" s="6" t="s">
        <v>4063</v>
      </c>
      <c r="G159" s="6" t="s">
        <v>1997</v>
      </c>
      <c r="H159" s="6" t="s">
        <v>61</v>
      </c>
      <c r="I159" s="6" t="s">
        <v>1998</v>
      </c>
      <c r="J159" s="6">
        <v>130</v>
      </c>
      <c r="K159" s="6" t="s">
        <v>19</v>
      </c>
      <c r="L159" s="10">
        <v>5.3280000000000003</v>
      </c>
      <c r="M159" s="6" t="s">
        <v>33</v>
      </c>
      <c r="N159" s="10">
        <f>Tabla3[[#This Row],[Price]]*Tabla3[[#This Row],[QTY Adjusted]]</f>
        <v>692.64</v>
      </c>
      <c r="O159" s="10">
        <v>692.64</v>
      </c>
      <c r="P159" s="23">
        <v>46096</v>
      </c>
      <c r="Q159" s="6" t="s">
        <v>4245</v>
      </c>
    </row>
    <row r="160" spans="1:17" ht="40.200000000000003" customHeight="1" x14ac:dyDescent="0.3">
      <c r="A160" s="6">
        <v>1293</v>
      </c>
      <c r="B160" s="6" t="s">
        <v>1972</v>
      </c>
      <c r="C160" s="6" t="s">
        <v>525</v>
      </c>
      <c r="D160" s="6" t="s">
        <v>130</v>
      </c>
      <c r="E160" s="6" t="s">
        <v>2258</v>
      </c>
      <c r="F160" s="6" t="s">
        <v>4059</v>
      </c>
      <c r="G160" s="6" t="s">
        <v>1451</v>
      </c>
      <c r="H160" s="6" t="s">
        <v>2284</v>
      </c>
      <c r="I160" s="6" t="s">
        <v>2285</v>
      </c>
      <c r="J160" s="6">
        <v>18</v>
      </c>
      <c r="K160" s="6" t="s">
        <v>19</v>
      </c>
      <c r="L160" s="10">
        <v>44.593209431367569</v>
      </c>
      <c r="M160" s="6" t="s">
        <v>33</v>
      </c>
      <c r="N160" s="10">
        <f>Tabla3[[#This Row],[Price]]*Tabla3[[#This Row],[QTY Adjusted]]</f>
        <v>802.67776976461619</v>
      </c>
      <c r="O160" s="10">
        <v>802.67776976461619</v>
      </c>
      <c r="P160" s="21" t="s">
        <v>4225</v>
      </c>
      <c r="Q160" s="6" t="s">
        <v>4245</v>
      </c>
    </row>
    <row r="161" spans="1:17" ht="40.200000000000003" customHeight="1" x14ac:dyDescent="0.3">
      <c r="A161" s="6">
        <v>1295</v>
      </c>
      <c r="B161" s="6" t="s">
        <v>1972</v>
      </c>
      <c r="C161" s="6" t="s">
        <v>525</v>
      </c>
      <c r="D161" s="6" t="s">
        <v>130</v>
      </c>
      <c r="E161" s="6" t="s">
        <v>2258</v>
      </c>
      <c r="F161" s="6" t="s">
        <v>4059</v>
      </c>
      <c r="G161" s="6" t="s">
        <v>1454</v>
      </c>
      <c r="H161" s="6" t="s">
        <v>2288</v>
      </c>
      <c r="I161" s="6" t="s">
        <v>2289</v>
      </c>
      <c r="J161" s="6">
        <v>18</v>
      </c>
      <c r="K161" s="6" t="s">
        <v>19</v>
      </c>
      <c r="L161" s="10">
        <v>44.593209431367569</v>
      </c>
      <c r="M161" s="6" t="s">
        <v>33</v>
      </c>
      <c r="N161" s="10">
        <f>Tabla3[[#This Row],[Price]]*Tabla3[[#This Row],[QTY Adjusted]]</f>
        <v>802.67776976461619</v>
      </c>
      <c r="O161" s="10">
        <v>802.67776976461619</v>
      </c>
      <c r="P161" s="21" t="s">
        <v>4225</v>
      </c>
      <c r="Q161" s="6" t="s">
        <v>4245</v>
      </c>
    </row>
    <row r="162" spans="1:17" ht="40.200000000000003" customHeight="1" x14ac:dyDescent="0.3">
      <c r="A162" s="6">
        <v>1214</v>
      </c>
      <c r="B162" s="6" t="s">
        <v>1972</v>
      </c>
      <c r="C162" s="6" t="s">
        <v>43</v>
      </c>
      <c r="D162" s="6" t="s">
        <v>44</v>
      </c>
      <c r="E162" s="6" t="s">
        <v>2079</v>
      </c>
      <c r="F162" s="6" t="s">
        <v>4059</v>
      </c>
      <c r="G162" s="6" t="s">
        <v>2109</v>
      </c>
      <c r="H162" s="6" t="s">
        <v>2110</v>
      </c>
      <c r="I162" s="6" t="s">
        <v>2111</v>
      </c>
      <c r="J162" s="6">
        <v>8</v>
      </c>
      <c r="K162" s="6" t="s">
        <v>19</v>
      </c>
      <c r="L162" s="10">
        <v>98.614999999999995</v>
      </c>
      <c r="M162" s="6" t="s">
        <v>33</v>
      </c>
      <c r="N162" s="10">
        <f>Tabla3[[#This Row],[Price]]*Tabla3[[#This Row],[QTY Adjusted]]</f>
        <v>788.92</v>
      </c>
      <c r="O162" s="10">
        <v>788.92</v>
      </c>
      <c r="P162" s="23">
        <v>46101</v>
      </c>
      <c r="Q162" s="6" t="s">
        <v>4245</v>
      </c>
    </row>
    <row r="163" spans="1:17" ht="40.200000000000003" customHeight="1" x14ac:dyDescent="0.3">
      <c r="A163" s="6">
        <v>1297</v>
      </c>
      <c r="B163" s="6" t="s">
        <v>1972</v>
      </c>
      <c r="C163" s="6" t="s">
        <v>219</v>
      </c>
      <c r="D163" s="6" t="s">
        <v>44</v>
      </c>
      <c r="E163" s="6" t="s">
        <v>2293</v>
      </c>
      <c r="F163" s="6" t="s">
        <v>4059</v>
      </c>
      <c r="G163" s="6" t="s">
        <v>985</v>
      </c>
      <c r="H163" s="6" t="s">
        <v>984</v>
      </c>
      <c r="I163" s="6" t="s">
        <v>986</v>
      </c>
      <c r="J163" s="6">
        <v>36</v>
      </c>
      <c r="K163" s="6" t="s">
        <v>19</v>
      </c>
      <c r="L163" s="10">
        <v>18.696000000000002</v>
      </c>
      <c r="M163" s="6" t="s">
        <v>33</v>
      </c>
      <c r="N163" s="10">
        <f>Tabla3[[#This Row],[Price]]*Tabla3[[#This Row],[QTY Adjusted]]</f>
        <v>673.05600000000004</v>
      </c>
      <c r="O163" s="10">
        <v>673.05600000000004</v>
      </c>
      <c r="P163" s="23">
        <v>46096</v>
      </c>
      <c r="Q163" s="6" t="s">
        <v>4245</v>
      </c>
    </row>
    <row r="164" spans="1:17" ht="40.200000000000003" customHeight="1" x14ac:dyDescent="0.3">
      <c r="A164" s="6">
        <v>1325</v>
      </c>
      <c r="B164" s="6" t="s">
        <v>1972</v>
      </c>
      <c r="C164" s="6" t="s">
        <v>329</v>
      </c>
      <c r="D164" s="6" t="s">
        <v>199</v>
      </c>
      <c r="E164" s="6" t="s">
        <v>2339</v>
      </c>
      <c r="F164" s="6" t="s">
        <v>4059</v>
      </c>
      <c r="G164" s="6" t="s">
        <v>2358</v>
      </c>
      <c r="H164" s="6" t="s">
        <v>2359</v>
      </c>
      <c r="I164" s="6" t="s">
        <v>2360</v>
      </c>
      <c r="J164" s="6">
        <v>16</v>
      </c>
      <c r="K164" s="6" t="s">
        <v>19</v>
      </c>
      <c r="L164" s="10">
        <v>48.013559999999991</v>
      </c>
      <c r="M164" s="6" t="s">
        <v>33</v>
      </c>
      <c r="N164" s="10">
        <f>Tabla3[[#This Row],[Price]]*Tabla3[[#This Row],[QTY Adjusted]]</f>
        <v>768.21695999999986</v>
      </c>
      <c r="O164" s="10">
        <v>768.21695999999986</v>
      </c>
      <c r="P164" s="21" t="s">
        <v>4225</v>
      </c>
      <c r="Q164" s="6" t="s">
        <v>4245</v>
      </c>
    </row>
    <row r="165" spans="1:17" ht="40.200000000000003" customHeight="1" x14ac:dyDescent="0.3">
      <c r="A165" s="6">
        <v>1264</v>
      </c>
      <c r="B165" s="6" t="s">
        <v>1972</v>
      </c>
      <c r="C165" s="6" t="s">
        <v>990</v>
      </c>
      <c r="D165" s="6" t="s">
        <v>130</v>
      </c>
      <c r="E165" s="6" t="s">
        <v>2202</v>
      </c>
      <c r="F165" s="6" t="s">
        <v>4059</v>
      </c>
      <c r="G165" s="6" t="s">
        <v>2216</v>
      </c>
      <c r="H165" s="6" t="s">
        <v>2214</v>
      </c>
      <c r="I165" s="6" t="s">
        <v>2215</v>
      </c>
      <c r="J165" s="6">
        <v>9</v>
      </c>
      <c r="K165" s="6" t="s">
        <v>19</v>
      </c>
      <c r="L165" s="10">
        <v>84.449922199865469</v>
      </c>
      <c r="M165" s="6" t="s">
        <v>33</v>
      </c>
      <c r="N165" s="10">
        <f>Tabla3[[#This Row],[Price]]*Tabla3[[#This Row],[QTY Adjusted]]</f>
        <v>760.04929979878921</v>
      </c>
      <c r="O165" s="10">
        <v>760.04929979878921</v>
      </c>
      <c r="P165" s="21" t="s">
        <v>4225</v>
      </c>
      <c r="Q165" s="6" t="s">
        <v>4245</v>
      </c>
    </row>
    <row r="166" spans="1:17" ht="40.200000000000003" customHeight="1" x14ac:dyDescent="0.3">
      <c r="A166" s="6">
        <v>1337</v>
      </c>
      <c r="B166" s="6" t="s">
        <v>1972</v>
      </c>
      <c r="C166" s="6" t="s">
        <v>237</v>
      </c>
      <c r="D166" s="6" t="s">
        <v>93</v>
      </c>
      <c r="E166" s="6" t="s">
        <v>2392</v>
      </c>
      <c r="F166" s="6" t="s">
        <v>4059</v>
      </c>
      <c r="G166" s="6" t="s">
        <v>2393</v>
      </c>
      <c r="H166" s="6" t="s">
        <v>239</v>
      </c>
      <c r="I166" s="6" t="s">
        <v>2394</v>
      </c>
      <c r="J166" s="6">
        <v>8</v>
      </c>
      <c r="K166" s="6" t="s">
        <v>19</v>
      </c>
      <c r="L166" s="10">
        <v>93.27</v>
      </c>
      <c r="M166" s="6" t="s">
        <v>33</v>
      </c>
      <c r="N166" s="10">
        <f>Tabla3[[#This Row],[Price]]*Tabla3[[#This Row],[QTY Adjusted]]</f>
        <v>746.16</v>
      </c>
      <c r="O166" s="10">
        <v>746.16</v>
      </c>
      <c r="P166" s="21" t="s">
        <v>4225</v>
      </c>
      <c r="Q166" s="6" t="s">
        <v>4245</v>
      </c>
    </row>
    <row r="167" spans="1:17" ht="40.200000000000003" customHeight="1" x14ac:dyDescent="0.3">
      <c r="A167" s="6">
        <v>1294</v>
      </c>
      <c r="B167" s="6" t="s">
        <v>1972</v>
      </c>
      <c r="C167" s="6" t="s">
        <v>525</v>
      </c>
      <c r="D167" s="6" t="s">
        <v>130</v>
      </c>
      <c r="E167" s="6" t="s">
        <v>2258</v>
      </c>
      <c r="F167" s="6" t="s">
        <v>4059</v>
      </c>
      <c r="G167" s="6" t="s">
        <v>1448</v>
      </c>
      <c r="H167" s="6" t="s">
        <v>2286</v>
      </c>
      <c r="I167" s="6" t="s">
        <v>2287</v>
      </c>
      <c r="J167" s="6">
        <v>18</v>
      </c>
      <c r="K167" s="6" t="s">
        <v>19</v>
      </c>
      <c r="L167" s="10">
        <v>40.667051560911432</v>
      </c>
      <c r="M167" s="6" t="s">
        <v>33</v>
      </c>
      <c r="N167" s="10">
        <f>Tabla3[[#This Row],[Price]]*Tabla3[[#This Row],[QTY Adjusted]]</f>
        <v>732.00692809640577</v>
      </c>
      <c r="O167" s="10">
        <v>732.00692809640577</v>
      </c>
      <c r="P167" s="21" t="s">
        <v>4225</v>
      </c>
      <c r="Q167" s="6" t="s">
        <v>4245</v>
      </c>
    </row>
    <row r="168" spans="1:17" ht="40.200000000000003" customHeight="1" x14ac:dyDescent="0.3">
      <c r="A168" s="6">
        <v>1296</v>
      </c>
      <c r="B168" s="6" t="s">
        <v>1972</v>
      </c>
      <c r="C168" s="6" t="s">
        <v>525</v>
      </c>
      <c r="D168" s="6" t="s">
        <v>130</v>
      </c>
      <c r="E168" s="6" t="s">
        <v>2258</v>
      </c>
      <c r="F168" s="6" t="s">
        <v>4059</v>
      </c>
      <c r="G168" s="6" t="s">
        <v>2290</v>
      </c>
      <c r="H168" s="6" t="s">
        <v>2291</v>
      </c>
      <c r="I168" s="6" t="s">
        <v>2292</v>
      </c>
      <c r="J168" s="6">
        <v>18</v>
      </c>
      <c r="K168" s="6" t="s">
        <v>19</v>
      </c>
      <c r="L168" s="10">
        <v>40.667051560911432</v>
      </c>
      <c r="M168" s="6" t="s">
        <v>33</v>
      </c>
      <c r="N168" s="10">
        <f>Tabla3[[#This Row],[Price]]*Tabla3[[#This Row],[QTY Adjusted]]</f>
        <v>732.00692809640577</v>
      </c>
      <c r="O168" s="10">
        <v>732.00692809640577</v>
      </c>
      <c r="P168" s="21" t="s">
        <v>4241</v>
      </c>
      <c r="Q168" s="6" t="s">
        <v>4245</v>
      </c>
    </row>
    <row r="169" spans="1:17" ht="40.200000000000003" customHeight="1" x14ac:dyDescent="0.3">
      <c r="A169" s="6">
        <v>1199</v>
      </c>
      <c r="B169" s="6" t="s">
        <v>1972</v>
      </c>
      <c r="C169" s="6" t="s">
        <v>2075</v>
      </c>
      <c r="D169" s="6" t="s">
        <v>362</v>
      </c>
      <c r="E169" s="6" t="s">
        <v>2060</v>
      </c>
      <c r="F169" s="6" t="s">
        <v>4059</v>
      </c>
      <c r="G169" s="6" t="s">
        <v>2076</v>
      </c>
      <c r="H169" s="6" t="s">
        <v>2077</v>
      </c>
      <c r="I169" s="6" t="s">
        <v>2078</v>
      </c>
      <c r="J169" s="6">
        <v>4</v>
      </c>
      <c r="K169" s="6" t="s">
        <v>19</v>
      </c>
      <c r="L169" s="10">
        <v>181.8</v>
      </c>
      <c r="M169" s="6" t="s">
        <v>33</v>
      </c>
      <c r="N169" s="10">
        <f>Tabla3[[#This Row],[Price]]*Tabla3[[#This Row],[QTY Adjusted]]</f>
        <v>727.2</v>
      </c>
      <c r="O169" s="10">
        <v>727.2</v>
      </c>
      <c r="P169" s="21" t="s">
        <v>4225</v>
      </c>
      <c r="Q169" s="6" t="s">
        <v>4245</v>
      </c>
    </row>
    <row r="170" spans="1:17" ht="40.200000000000003" customHeight="1" x14ac:dyDescent="0.3">
      <c r="A170" s="6">
        <v>1154</v>
      </c>
      <c r="B170" s="6" t="s">
        <v>1972</v>
      </c>
      <c r="C170" s="6" t="s">
        <v>1387</v>
      </c>
      <c r="D170" s="6" t="s">
        <v>44</v>
      </c>
      <c r="E170" s="6" t="s">
        <v>1972</v>
      </c>
      <c r="F170" s="6" t="s">
        <v>4060</v>
      </c>
      <c r="G170" s="6" t="s">
        <v>1435</v>
      </c>
      <c r="H170" s="6" t="s">
        <v>511</v>
      </c>
      <c r="I170" s="6" t="s">
        <v>1436</v>
      </c>
      <c r="J170" s="6">
        <v>130</v>
      </c>
      <c r="K170" s="6" t="s">
        <v>19</v>
      </c>
      <c r="L170" s="10">
        <v>4.7160000000000002</v>
      </c>
      <c r="M170" s="6" t="s">
        <v>33</v>
      </c>
      <c r="N170" s="10">
        <f>Tabla3[[#This Row],[Price]]*Tabla3[[#This Row],[QTY Adjusted]]</f>
        <v>613.08000000000004</v>
      </c>
      <c r="O170" s="15">
        <v>234</v>
      </c>
      <c r="P170" s="21" t="s">
        <v>4225</v>
      </c>
      <c r="Q170" s="6" t="s">
        <v>4245</v>
      </c>
    </row>
    <row r="171" spans="1:17" ht="40.200000000000003" customHeight="1" x14ac:dyDescent="0.3">
      <c r="A171" s="6">
        <v>1216</v>
      </c>
      <c r="B171" s="6" t="s">
        <v>1972</v>
      </c>
      <c r="C171" s="6" t="s">
        <v>43</v>
      </c>
      <c r="D171" s="6" t="s">
        <v>44</v>
      </c>
      <c r="E171" s="6" t="s">
        <v>2079</v>
      </c>
      <c r="F171" s="6" t="s">
        <v>4059</v>
      </c>
      <c r="G171" s="6" t="s">
        <v>2115</v>
      </c>
      <c r="H171" s="6" t="s">
        <v>2116</v>
      </c>
      <c r="I171" s="6" t="s">
        <v>2117</v>
      </c>
      <c r="J171" s="6">
        <v>8</v>
      </c>
      <c r="K171" s="6" t="s">
        <v>19</v>
      </c>
      <c r="L171" s="10">
        <v>89.52</v>
      </c>
      <c r="M171" s="6" t="s">
        <v>33</v>
      </c>
      <c r="N171" s="10">
        <f>Tabla3[[#This Row],[Price]]*Tabla3[[#This Row],[QTY Adjusted]]</f>
        <v>716.16</v>
      </c>
      <c r="O171" s="10">
        <v>716.16</v>
      </c>
      <c r="P171" s="23">
        <v>46101</v>
      </c>
      <c r="Q171" s="6" t="s">
        <v>4245</v>
      </c>
    </row>
    <row r="172" spans="1:17" ht="40.200000000000003" customHeight="1" x14ac:dyDescent="0.3">
      <c r="A172" s="6">
        <v>1119</v>
      </c>
      <c r="B172" s="6" t="s">
        <v>1972</v>
      </c>
      <c r="C172" s="6" t="s">
        <v>1444</v>
      </c>
      <c r="D172" s="6" t="s">
        <v>44</v>
      </c>
      <c r="E172" s="6" t="s">
        <v>1972</v>
      </c>
      <c r="F172" s="6" t="s">
        <v>4060</v>
      </c>
      <c r="G172" s="6" t="s">
        <v>1973</v>
      </c>
      <c r="H172" s="6" t="s">
        <v>1974</v>
      </c>
      <c r="I172" s="6" t="s">
        <v>1975</v>
      </c>
      <c r="J172" s="6">
        <v>87</v>
      </c>
      <c r="K172" s="6" t="s">
        <v>19</v>
      </c>
      <c r="L172" s="10">
        <v>7.02</v>
      </c>
      <c r="M172" s="6" t="s">
        <v>33</v>
      </c>
      <c r="N172" s="10">
        <f>Tabla3[[#This Row],[Price]]*Tabla3[[#This Row],[QTY Adjusted]]</f>
        <v>610.74</v>
      </c>
      <c r="O172" s="10">
        <v>610.74</v>
      </c>
      <c r="P172" s="23">
        <v>46101</v>
      </c>
      <c r="Q172" s="6" t="s">
        <v>4245</v>
      </c>
    </row>
    <row r="173" spans="1:17" ht="40.200000000000003" customHeight="1" x14ac:dyDescent="0.3">
      <c r="A173" s="6">
        <v>1120</v>
      </c>
      <c r="B173" s="6" t="s">
        <v>1972</v>
      </c>
      <c r="C173" s="6" t="s">
        <v>1444</v>
      </c>
      <c r="D173" s="6" t="s">
        <v>44</v>
      </c>
      <c r="E173" s="6" t="s">
        <v>1972</v>
      </c>
      <c r="F173" s="6" t="s">
        <v>4060</v>
      </c>
      <c r="G173" s="6" t="s">
        <v>1976</v>
      </c>
      <c r="H173" s="6" t="s">
        <v>1977</v>
      </c>
      <c r="I173" s="6" t="s">
        <v>1978</v>
      </c>
      <c r="J173" s="6">
        <v>87</v>
      </c>
      <c r="K173" s="6" t="s">
        <v>19</v>
      </c>
      <c r="L173" s="10">
        <v>7.02</v>
      </c>
      <c r="M173" s="6" t="s">
        <v>33</v>
      </c>
      <c r="N173" s="10">
        <f>Tabla3[[#This Row],[Price]]*Tabla3[[#This Row],[QTY Adjusted]]</f>
        <v>610.74</v>
      </c>
      <c r="O173" s="10">
        <v>610.74</v>
      </c>
      <c r="P173" s="23">
        <v>46101</v>
      </c>
      <c r="Q173" s="6" t="s">
        <v>4245</v>
      </c>
    </row>
    <row r="174" spans="1:17" ht="40.200000000000003" customHeight="1" x14ac:dyDescent="0.3">
      <c r="A174" s="6">
        <v>1270</v>
      </c>
      <c r="B174" s="6" t="s">
        <v>1972</v>
      </c>
      <c r="C174" s="6" t="s">
        <v>43</v>
      </c>
      <c r="D174" s="6" t="s">
        <v>44</v>
      </c>
      <c r="E174" s="6" t="s">
        <v>2202</v>
      </c>
      <c r="F174" s="6" t="s">
        <v>4059</v>
      </c>
      <c r="G174" s="6">
        <v>656412</v>
      </c>
      <c r="H174" s="6" t="s">
        <v>2227</v>
      </c>
      <c r="I174" s="6" t="s">
        <v>2228</v>
      </c>
      <c r="J174" s="6">
        <v>18</v>
      </c>
      <c r="K174" s="6" t="s">
        <v>19</v>
      </c>
      <c r="L174" s="10">
        <v>39.369999999999997</v>
      </c>
      <c r="M174" s="6" t="s">
        <v>33</v>
      </c>
      <c r="N174" s="10">
        <f>Tabla3[[#This Row],[Price]]*Tabla3[[#This Row],[QTY Adjusted]]</f>
        <v>708.66</v>
      </c>
      <c r="O174" s="10">
        <v>708.66</v>
      </c>
      <c r="P174" s="23">
        <v>46101</v>
      </c>
      <c r="Q174" s="6" t="s">
        <v>4245</v>
      </c>
    </row>
    <row r="175" spans="1:17" ht="40.200000000000003" customHeight="1" x14ac:dyDescent="0.3">
      <c r="A175" s="6">
        <v>1362</v>
      </c>
      <c r="B175" s="6" t="s">
        <v>1972</v>
      </c>
      <c r="C175" s="6" t="s">
        <v>314</v>
      </c>
      <c r="D175" s="6" t="s">
        <v>93</v>
      </c>
      <c r="E175" s="6" t="s">
        <v>2392</v>
      </c>
      <c r="F175" s="6" t="s">
        <v>4059</v>
      </c>
      <c r="G175" s="6" t="s">
        <v>315</v>
      </c>
      <c r="H175" s="6" t="s">
        <v>316</v>
      </c>
      <c r="I175" s="6" t="s">
        <v>317</v>
      </c>
      <c r="J175" s="6">
        <v>4</v>
      </c>
      <c r="K175" s="6" t="s">
        <v>19</v>
      </c>
      <c r="L175" s="10">
        <v>175.87</v>
      </c>
      <c r="M175" s="6" t="s">
        <v>33</v>
      </c>
      <c r="N175" s="10">
        <f>Tabla3[[#This Row],[Price]]*Tabla3[[#This Row],[QTY Adjusted]]</f>
        <v>703.48</v>
      </c>
      <c r="O175" s="10">
        <v>703.48</v>
      </c>
      <c r="P175" s="21" t="s">
        <v>4225</v>
      </c>
      <c r="Q175" s="6" t="s">
        <v>4245</v>
      </c>
    </row>
    <row r="176" spans="1:17" ht="40.200000000000003" customHeight="1" x14ac:dyDescent="0.3">
      <c r="A176" s="6">
        <v>1322</v>
      </c>
      <c r="B176" s="6" t="s">
        <v>1972</v>
      </c>
      <c r="C176" s="6" t="s">
        <v>329</v>
      </c>
      <c r="D176" s="6" t="s">
        <v>199</v>
      </c>
      <c r="E176" s="6" t="s">
        <v>2339</v>
      </c>
      <c r="F176" s="6" t="s">
        <v>4059</v>
      </c>
      <c r="G176" s="6" t="s">
        <v>2349</v>
      </c>
      <c r="H176" s="6" t="s">
        <v>2350</v>
      </c>
      <c r="I176" s="6" t="s">
        <v>2351</v>
      </c>
      <c r="J176" s="6">
        <v>8</v>
      </c>
      <c r="K176" s="6" t="s">
        <v>19</v>
      </c>
      <c r="L176" s="10">
        <v>87.257519999999985</v>
      </c>
      <c r="M176" s="6" t="s">
        <v>33</v>
      </c>
      <c r="N176" s="10">
        <f>Tabla3[[#This Row],[Price]]*Tabla3[[#This Row],[QTY Adjusted]]</f>
        <v>698.06015999999988</v>
      </c>
      <c r="O176" s="10">
        <v>698.06015999999988</v>
      </c>
      <c r="P176" s="21" t="s">
        <v>4225</v>
      </c>
      <c r="Q176" s="6" t="s">
        <v>4245</v>
      </c>
    </row>
    <row r="177" spans="1:17" ht="40.200000000000003" customHeight="1" x14ac:dyDescent="0.3">
      <c r="A177" s="6">
        <v>1206</v>
      </c>
      <c r="B177" s="6" t="s">
        <v>1972</v>
      </c>
      <c r="C177" s="6" t="s">
        <v>43</v>
      </c>
      <c r="D177" s="6" t="s">
        <v>44</v>
      </c>
      <c r="E177" s="6" t="s">
        <v>2079</v>
      </c>
      <c r="F177" s="6" t="s">
        <v>4059</v>
      </c>
      <c r="G177" s="6">
        <v>653073</v>
      </c>
      <c r="H177" s="6" t="s">
        <v>2089</v>
      </c>
      <c r="I177" s="6" t="s">
        <v>2091</v>
      </c>
      <c r="J177" s="6">
        <v>12</v>
      </c>
      <c r="K177" s="6" t="s">
        <v>19</v>
      </c>
      <c r="L177" s="10">
        <v>58.05</v>
      </c>
      <c r="M177" s="6" t="s">
        <v>33</v>
      </c>
      <c r="N177" s="10">
        <f>Tabla3[[#This Row],[Price]]*Tabla3[[#This Row],[QTY Adjusted]]</f>
        <v>696.59999999999991</v>
      </c>
      <c r="O177" s="10">
        <v>696.59999999999991</v>
      </c>
      <c r="P177" s="23">
        <v>46101</v>
      </c>
      <c r="Q177" s="6" t="s">
        <v>4245</v>
      </c>
    </row>
    <row r="178" spans="1:17" ht="40.200000000000003" customHeight="1" x14ac:dyDescent="0.3">
      <c r="A178" s="6">
        <v>1252</v>
      </c>
      <c r="B178" s="6" t="s">
        <v>1972</v>
      </c>
      <c r="C178" s="6" t="s">
        <v>232</v>
      </c>
      <c r="D178" s="6" t="s">
        <v>1490</v>
      </c>
      <c r="E178" s="6" t="s">
        <v>2186</v>
      </c>
      <c r="F178" s="6" t="s">
        <v>4062</v>
      </c>
      <c r="G178" s="6" t="s">
        <v>1057</v>
      </c>
      <c r="H178" s="6" t="s">
        <v>2187</v>
      </c>
      <c r="I178" s="6" t="s">
        <v>1058</v>
      </c>
      <c r="J178" s="6">
        <v>144</v>
      </c>
      <c r="K178" s="6" t="s">
        <v>19</v>
      </c>
      <c r="L178" s="10">
        <v>3.81</v>
      </c>
      <c r="M178" s="6" t="s">
        <v>33</v>
      </c>
      <c r="N178" s="10">
        <f>Tabla3[[#This Row],[Price]]*Tabla3[[#This Row],[QTY Adjusted]]</f>
        <v>548.64</v>
      </c>
      <c r="O178" s="15">
        <v>403.2</v>
      </c>
      <c r="P178" s="21" t="s">
        <v>4225</v>
      </c>
      <c r="Q178" s="6" t="s">
        <v>4245</v>
      </c>
    </row>
    <row r="179" spans="1:17" ht="40.200000000000003" customHeight="1" x14ac:dyDescent="0.3">
      <c r="A179" s="6">
        <v>1301</v>
      </c>
      <c r="B179" s="6" t="s">
        <v>1972</v>
      </c>
      <c r="C179" s="6" t="s">
        <v>219</v>
      </c>
      <c r="D179" s="6" t="s">
        <v>44</v>
      </c>
      <c r="E179" s="6" t="s">
        <v>2293</v>
      </c>
      <c r="F179" s="6" t="s">
        <v>4059</v>
      </c>
      <c r="G179" s="6" t="s">
        <v>980</v>
      </c>
      <c r="H179" s="6" t="s">
        <v>979</v>
      </c>
      <c r="I179" s="6" t="s">
        <v>981</v>
      </c>
      <c r="J179" s="6">
        <v>44</v>
      </c>
      <c r="K179" s="6" t="s">
        <v>19</v>
      </c>
      <c r="L179" s="10">
        <v>12.24</v>
      </c>
      <c r="M179" s="6" t="s">
        <v>33</v>
      </c>
      <c r="N179" s="10">
        <f>Tabla3[[#This Row],[Price]]*Tabla3[[#This Row],[QTY Adjusted]]</f>
        <v>538.56000000000006</v>
      </c>
      <c r="O179" s="10">
        <v>538.56000000000006</v>
      </c>
      <c r="P179" s="23">
        <v>46096</v>
      </c>
      <c r="Q179" s="6" t="s">
        <v>4245</v>
      </c>
    </row>
    <row r="180" spans="1:17" ht="40.200000000000003" customHeight="1" x14ac:dyDescent="0.3">
      <c r="A180" s="6">
        <v>1232</v>
      </c>
      <c r="B180" s="6" t="s">
        <v>1972</v>
      </c>
      <c r="C180" s="6" t="s">
        <v>43</v>
      </c>
      <c r="D180" s="6" t="s">
        <v>44</v>
      </c>
      <c r="E180" s="6" t="s">
        <v>2079</v>
      </c>
      <c r="F180" s="6" t="s">
        <v>4059</v>
      </c>
      <c r="G180" s="6">
        <v>654543</v>
      </c>
      <c r="H180" s="6" t="s">
        <v>2143</v>
      </c>
      <c r="I180" s="6" t="s">
        <v>2144</v>
      </c>
      <c r="J180" s="6">
        <v>8</v>
      </c>
      <c r="K180" s="6" t="s">
        <v>19</v>
      </c>
      <c r="L180" s="10">
        <v>77.12</v>
      </c>
      <c r="M180" s="6" t="s">
        <v>33</v>
      </c>
      <c r="N180" s="10">
        <f>Tabla3[[#This Row],[Price]]*Tabla3[[#This Row],[QTY Adjusted]]</f>
        <v>616.96</v>
      </c>
      <c r="O180" s="10">
        <v>616.96</v>
      </c>
      <c r="P180" s="23">
        <v>46101</v>
      </c>
      <c r="Q180" s="6" t="s">
        <v>4245</v>
      </c>
    </row>
    <row r="181" spans="1:17" ht="40.200000000000003" customHeight="1" x14ac:dyDescent="0.3">
      <c r="A181" s="6">
        <v>1234</v>
      </c>
      <c r="B181" s="6" t="s">
        <v>1972</v>
      </c>
      <c r="C181" s="6" t="s">
        <v>43</v>
      </c>
      <c r="D181" s="6" t="s">
        <v>44</v>
      </c>
      <c r="E181" s="6" t="s">
        <v>2079</v>
      </c>
      <c r="F181" s="6" t="s">
        <v>4059</v>
      </c>
      <c r="G181" s="6">
        <v>654544</v>
      </c>
      <c r="H181" s="6" t="s">
        <v>2143</v>
      </c>
      <c r="I181" s="6" t="s">
        <v>2146</v>
      </c>
      <c r="J181" s="6">
        <v>8</v>
      </c>
      <c r="K181" s="6" t="s">
        <v>19</v>
      </c>
      <c r="L181" s="10">
        <v>77.12</v>
      </c>
      <c r="M181" s="6" t="s">
        <v>33</v>
      </c>
      <c r="N181" s="10">
        <f>Tabla3[[#This Row],[Price]]*Tabla3[[#This Row],[QTY Adjusted]]</f>
        <v>616.96</v>
      </c>
      <c r="O181" s="10">
        <v>616.96</v>
      </c>
      <c r="P181" s="23">
        <v>46101</v>
      </c>
      <c r="Q181" s="6" t="s">
        <v>4245</v>
      </c>
    </row>
    <row r="182" spans="1:17" ht="40.200000000000003" customHeight="1" x14ac:dyDescent="0.3">
      <c r="A182" s="6">
        <v>1253</v>
      </c>
      <c r="B182" s="6" t="s">
        <v>1972</v>
      </c>
      <c r="C182" s="6" t="s">
        <v>232</v>
      </c>
      <c r="D182" s="6" t="s">
        <v>1490</v>
      </c>
      <c r="E182" s="6" t="s">
        <v>2186</v>
      </c>
      <c r="F182" s="6" t="s">
        <v>4062</v>
      </c>
      <c r="G182" s="6" t="s">
        <v>1060</v>
      </c>
      <c r="H182" s="6" t="s">
        <v>2188</v>
      </c>
      <c r="I182" s="6" t="s">
        <v>1061</v>
      </c>
      <c r="J182" s="6">
        <v>144</v>
      </c>
      <c r="K182" s="6" t="s">
        <v>19</v>
      </c>
      <c r="L182" s="10">
        <v>3.56</v>
      </c>
      <c r="M182" s="6" t="s">
        <v>33</v>
      </c>
      <c r="N182" s="10">
        <f>Tabla3[[#This Row],[Price]]*Tabla3[[#This Row],[QTY Adjusted]]</f>
        <v>512.64</v>
      </c>
      <c r="O182" s="15">
        <v>308.16000000000003</v>
      </c>
      <c r="P182" s="21" t="s">
        <v>4225</v>
      </c>
      <c r="Q182" s="6" t="s">
        <v>4245</v>
      </c>
    </row>
    <row r="183" spans="1:17" ht="40.200000000000003" customHeight="1" x14ac:dyDescent="0.3">
      <c r="A183" s="6">
        <v>1273</v>
      </c>
      <c r="B183" s="6" t="s">
        <v>1972</v>
      </c>
      <c r="C183" s="6" t="s">
        <v>2229</v>
      </c>
      <c r="D183" s="6" t="s">
        <v>718</v>
      </c>
      <c r="E183" s="6" t="s">
        <v>2230</v>
      </c>
      <c r="F183" s="6" t="s">
        <v>4059</v>
      </c>
      <c r="G183" s="6">
        <v>4585</v>
      </c>
      <c r="H183" s="6" t="s">
        <v>2235</v>
      </c>
      <c r="I183" s="6" t="s">
        <v>2236</v>
      </c>
      <c r="J183" s="6">
        <v>24</v>
      </c>
      <c r="K183" s="6" t="s">
        <v>19</v>
      </c>
      <c r="L183" s="10">
        <v>24.9</v>
      </c>
      <c r="M183" s="6" t="s">
        <v>33</v>
      </c>
      <c r="N183" s="10">
        <f>Tabla3[[#This Row],[Price]]*Tabla3[[#This Row],[QTY Adjusted]]</f>
        <v>597.59999999999991</v>
      </c>
      <c r="O183" s="10">
        <v>597.59999999999991</v>
      </c>
      <c r="P183" s="21" t="s">
        <v>4238</v>
      </c>
      <c r="Q183" s="6" t="s">
        <v>4245</v>
      </c>
    </row>
    <row r="184" spans="1:17" ht="40.200000000000003" customHeight="1" x14ac:dyDescent="0.3">
      <c r="A184" s="6">
        <v>1180</v>
      </c>
      <c r="B184" s="6" t="s">
        <v>1972</v>
      </c>
      <c r="C184" s="6" t="s">
        <v>232</v>
      </c>
      <c r="D184" s="6" t="s">
        <v>1490</v>
      </c>
      <c r="E184" s="6" t="s">
        <v>1972</v>
      </c>
      <c r="F184" s="6" t="s">
        <v>4062</v>
      </c>
      <c r="G184" s="6">
        <v>26.112843000000002</v>
      </c>
      <c r="H184" s="6" t="s">
        <v>2054</v>
      </c>
      <c r="I184" s="6" t="s">
        <v>2055</v>
      </c>
      <c r="J184" s="6">
        <v>72</v>
      </c>
      <c r="K184" s="6" t="s">
        <v>19</v>
      </c>
      <c r="L184" s="10">
        <v>7.07</v>
      </c>
      <c r="M184" s="6" t="s">
        <v>33</v>
      </c>
      <c r="N184" s="10">
        <f>Tabla3[[#This Row],[Price]]*Tabla3[[#This Row],[QTY Adjusted]]</f>
        <v>509.04</v>
      </c>
      <c r="O184" s="15">
        <v>174.24</v>
      </c>
      <c r="P184" s="21" t="s">
        <v>4225</v>
      </c>
      <c r="Q184" s="6" t="s">
        <v>4245</v>
      </c>
    </row>
    <row r="185" spans="1:17" ht="40.200000000000003" customHeight="1" x14ac:dyDescent="0.3">
      <c r="A185" s="6">
        <v>1181</v>
      </c>
      <c r="B185" s="6" t="s">
        <v>1972</v>
      </c>
      <c r="C185" s="6" t="s">
        <v>232</v>
      </c>
      <c r="D185" s="6" t="s">
        <v>1490</v>
      </c>
      <c r="E185" s="6" t="s">
        <v>1972</v>
      </c>
      <c r="F185" s="6" t="s">
        <v>4062</v>
      </c>
      <c r="G185" s="6">
        <v>26.112841</v>
      </c>
      <c r="H185" s="6" t="s">
        <v>2056</v>
      </c>
      <c r="I185" s="6" t="s">
        <v>2057</v>
      </c>
      <c r="J185" s="6">
        <v>72</v>
      </c>
      <c r="K185" s="6" t="s">
        <v>19</v>
      </c>
      <c r="L185" s="10">
        <v>7</v>
      </c>
      <c r="M185" s="6" t="s">
        <v>33</v>
      </c>
      <c r="N185" s="10">
        <f>Tabla3[[#This Row],[Price]]*Tabla3[[#This Row],[QTY Adjusted]]</f>
        <v>504</v>
      </c>
      <c r="O185" s="15">
        <v>223.20000000000002</v>
      </c>
      <c r="P185" s="21" t="s">
        <v>4225</v>
      </c>
      <c r="Q185" s="6" t="s">
        <v>4245</v>
      </c>
    </row>
    <row r="186" spans="1:17" ht="40.200000000000003" customHeight="1" x14ac:dyDescent="0.3">
      <c r="A186" s="6">
        <v>1305</v>
      </c>
      <c r="B186" s="6" t="s">
        <v>1972</v>
      </c>
      <c r="C186" s="6" t="s">
        <v>717</v>
      </c>
      <c r="D186" s="6" t="s">
        <v>718</v>
      </c>
      <c r="E186" s="6" t="s">
        <v>2293</v>
      </c>
      <c r="F186" s="6" t="s">
        <v>4059</v>
      </c>
      <c r="G186" s="6" t="s">
        <v>2298</v>
      </c>
      <c r="H186" s="6" t="s">
        <v>2299</v>
      </c>
      <c r="I186" s="6" t="s">
        <v>2300</v>
      </c>
      <c r="J186" s="6">
        <v>24</v>
      </c>
      <c r="K186" s="6" t="s">
        <v>19</v>
      </c>
      <c r="L186" s="10">
        <v>24.5</v>
      </c>
      <c r="M186" s="6" t="s">
        <v>33</v>
      </c>
      <c r="N186" s="10">
        <f>Tabla3[[#This Row],[Price]]*Tabla3[[#This Row],[QTY Adjusted]]</f>
        <v>588</v>
      </c>
      <c r="O186" s="10">
        <v>588</v>
      </c>
      <c r="P186" s="21" t="s">
        <v>4225</v>
      </c>
      <c r="Q186" s="6" t="s">
        <v>4245</v>
      </c>
    </row>
    <row r="187" spans="1:17" ht="40.200000000000003" customHeight="1" x14ac:dyDescent="0.3">
      <c r="A187" s="6">
        <v>1207</v>
      </c>
      <c r="B187" s="6" t="s">
        <v>1972</v>
      </c>
      <c r="C187" s="6" t="s">
        <v>43</v>
      </c>
      <c r="D187" s="6" t="s">
        <v>44</v>
      </c>
      <c r="E187" s="6" t="s">
        <v>2079</v>
      </c>
      <c r="F187" s="6" t="s">
        <v>4059</v>
      </c>
      <c r="G187" s="6">
        <v>650494</v>
      </c>
      <c r="H187" s="6" t="s">
        <v>2092</v>
      </c>
      <c r="I187" s="6" t="s">
        <v>2093</v>
      </c>
      <c r="J187" s="6">
        <v>8</v>
      </c>
      <c r="K187" s="6" t="s">
        <v>19</v>
      </c>
      <c r="L187" s="10">
        <v>71.715000000000003</v>
      </c>
      <c r="M187" s="6" t="s">
        <v>33</v>
      </c>
      <c r="N187" s="10">
        <f>Tabla3[[#This Row],[Price]]*Tabla3[[#This Row],[QTY Adjusted]]</f>
        <v>573.72</v>
      </c>
      <c r="O187" s="10">
        <v>573.72</v>
      </c>
      <c r="P187" s="23">
        <v>46101</v>
      </c>
      <c r="Q187" s="6" t="s">
        <v>4245</v>
      </c>
    </row>
    <row r="188" spans="1:17" ht="40.200000000000003" customHeight="1" x14ac:dyDescent="0.3">
      <c r="A188" s="6">
        <v>1285</v>
      </c>
      <c r="B188" s="6" t="s">
        <v>1972</v>
      </c>
      <c r="C188" s="6" t="s">
        <v>47</v>
      </c>
      <c r="D188" s="6" t="s">
        <v>44</v>
      </c>
      <c r="E188" s="6" t="s">
        <v>2258</v>
      </c>
      <c r="F188" s="6" t="s">
        <v>4059</v>
      </c>
      <c r="G188" s="6" t="s">
        <v>2264</v>
      </c>
      <c r="H188" s="6" t="s">
        <v>2260</v>
      </c>
      <c r="I188" s="6" t="s">
        <v>2265</v>
      </c>
      <c r="J188" s="6">
        <v>16</v>
      </c>
      <c r="K188" s="6" t="s">
        <v>19</v>
      </c>
      <c r="L188" s="10">
        <v>35.795999999999999</v>
      </c>
      <c r="M188" s="6" t="s">
        <v>33</v>
      </c>
      <c r="N188" s="10">
        <f>Tabla3[[#This Row],[Price]]*Tabla3[[#This Row],[QTY Adjusted]]</f>
        <v>572.73599999999999</v>
      </c>
      <c r="O188" s="10">
        <v>572.73599999999999</v>
      </c>
      <c r="P188" s="23">
        <v>46096</v>
      </c>
      <c r="Q188" s="6" t="s">
        <v>4245</v>
      </c>
    </row>
    <row r="189" spans="1:17" ht="40.200000000000003" customHeight="1" x14ac:dyDescent="0.3">
      <c r="A189" s="6">
        <v>1221</v>
      </c>
      <c r="B189" s="6" t="s">
        <v>1972</v>
      </c>
      <c r="C189" s="6" t="s">
        <v>43</v>
      </c>
      <c r="D189" s="6" t="s">
        <v>44</v>
      </c>
      <c r="E189" s="6" t="s">
        <v>2079</v>
      </c>
      <c r="F189" s="6" t="s">
        <v>4059</v>
      </c>
      <c r="G189" s="6" t="s">
        <v>2127</v>
      </c>
      <c r="H189" s="6" t="s">
        <v>2128</v>
      </c>
      <c r="I189" s="6" t="s">
        <v>2129</v>
      </c>
      <c r="J189" s="6">
        <v>6</v>
      </c>
      <c r="K189" s="6" t="s">
        <v>19</v>
      </c>
      <c r="L189" s="10">
        <v>91.334999999999994</v>
      </c>
      <c r="M189" s="6" t="s">
        <v>33</v>
      </c>
      <c r="N189" s="10">
        <f>Tabla3[[#This Row],[Price]]*Tabla3[[#This Row],[QTY Adjusted]]</f>
        <v>548.01</v>
      </c>
      <c r="O189" s="10">
        <v>548.01</v>
      </c>
      <c r="P189" s="23">
        <v>46101</v>
      </c>
      <c r="Q189" s="6" t="s">
        <v>4245</v>
      </c>
    </row>
    <row r="190" spans="1:17" ht="40.200000000000003" customHeight="1" x14ac:dyDescent="0.3">
      <c r="A190" s="6">
        <v>1257</v>
      </c>
      <c r="B190" s="6" t="s">
        <v>1972</v>
      </c>
      <c r="C190" s="6" t="s">
        <v>232</v>
      </c>
      <c r="D190" s="6" t="s">
        <v>233</v>
      </c>
      <c r="E190" s="6" t="s">
        <v>2186</v>
      </c>
      <c r="F190" s="6" t="s">
        <v>4060</v>
      </c>
      <c r="G190" s="6" t="s">
        <v>2198</v>
      </c>
      <c r="H190" s="6" t="s">
        <v>2199</v>
      </c>
      <c r="I190" s="6" t="s">
        <v>2200</v>
      </c>
      <c r="J190" s="6">
        <v>144</v>
      </c>
      <c r="K190" s="6" t="s">
        <v>19</v>
      </c>
      <c r="L190" s="10">
        <v>3.22</v>
      </c>
      <c r="M190" s="6" t="s">
        <v>33</v>
      </c>
      <c r="N190" s="10">
        <f>Tabla3[[#This Row],[Price]]*Tabla3[[#This Row],[QTY Adjusted]]</f>
        <v>463.68</v>
      </c>
      <c r="O190" s="10">
        <v>463.68</v>
      </c>
      <c r="P190" s="21" t="s">
        <v>4239</v>
      </c>
      <c r="Q190" s="6" t="s">
        <v>4245</v>
      </c>
    </row>
    <row r="191" spans="1:17" ht="40.200000000000003" customHeight="1" x14ac:dyDescent="0.3">
      <c r="A191" s="6">
        <v>1377</v>
      </c>
      <c r="B191" s="6" t="s">
        <v>1972</v>
      </c>
      <c r="C191" s="6" t="s">
        <v>361</v>
      </c>
      <c r="D191" s="6" t="s">
        <v>362</v>
      </c>
      <c r="E191" s="6" t="s">
        <v>2392</v>
      </c>
      <c r="F191" s="6" t="s">
        <v>4059</v>
      </c>
      <c r="G191" s="6" t="s">
        <v>363</v>
      </c>
      <c r="H191" s="6" t="s">
        <v>364</v>
      </c>
      <c r="I191" s="6" t="s">
        <v>365</v>
      </c>
      <c r="J191" s="6">
        <v>12</v>
      </c>
      <c r="K191" s="6" t="s">
        <v>19</v>
      </c>
      <c r="L191" s="10">
        <v>44.937176470588234</v>
      </c>
      <c r="M191" s="6" t="s">
        <v>33</v>
      </c>
      <c r="N191" s="10">
        <f>Tabla3[[#This Row],[Price]]*Tabla3[[#This Row],[QTY Adjusted]]</f>
        <v>539.24611764705878</v>
      </c>
      <c r="O191" s="10">
        <v>539.24611764705878</v>
      </c>
      <c r="P191" s="21" t="s">
        <v>4225</v>
      </c>
      <c r="Q191" s="6" t="s">
        <v>4245</v>
      </c>
    </row>
    <row r="192" spans="1:17" ht="40.200000000000003" customHeight="1" x14ac:dyDescent="0.3">
      <c r="A192" s="6">
        <v>1275</v>
      </c>
      <c r="B192" s="6" t="s">
        <v>1972</v>
      </c>
      <c r="C192" s="6" t="s">
        <v>2229</v>
      </c>
      <c r="D192" s="6" t="s">
        <v>718</v>
      </c>
      <c r="E192" s="6" t="s">
        <v>2230</v>
      </c>
      <c r="F192" s="6" t="s">
        <v>4059</v>
      </c>
      <c r="G192" s="6">
        <v>4591</v>
      </c>
      <c r="H192" s="6" t="s">
        <v>2239</v>
      </c>
      <c r="I192" s="6" t="s">
        <v>2240</v>
      </c>
      <c r="J192" s="6">
        <v>24</v>
      </c>
      <c r="K192" s="6" t="s">
        <v>19</v>
      </c>
      <c r="L192" s="10">
        <v>21.7</v>
      </c>
      <c r="M192" s="6" t="s">
        <v>33</v>
      </c>
      <c r="N192" s="10">
        <f>Tabla3[[#This Row],[Price]]*Tabla3[[#This Row],[QTY Adjusted]]</f>
        <v>520.79999999999995</v>
      </c>
      <c r="O192" s="10">
        <v>520.79999999999995</v>
      </c>
      <c r="P192" s="21" t="s">
        <v>4225</v>
      </c>
      <c r="Q192" s="6" t="s">
        <v>4245</v>
      </c>
    </row>
    <row r="193" spans="1:17" ht="40.200000000000003" customHeight="1" x14ac:dyDescent="0.3">
      <c r="A193" s="6">
        <v>1220</v>
      </c>
      <c r="B193" s="6" t="s">
        <v>1972</v>
      </c>
      <c r="C193" s="6" t="s">
        <v>43</v>
      </c>
      <c r="D193" s="6" t="s">
        <v>44</v>
      </c>
      <c r="E193" s="6" t="s">
        <v>2079</v>
      </c>
      <c r="F193" s="6" t="s">
        <v>4059</v>
      </c>
      <c r="G193" s="6" t="s">
        <v>2124</v>
      </c>
      <c r="H193" s="6" t="s">
        <v>2125</v>
      </c>
      <c r="I193" s="6" t="s">
        <v>2126</v>
      </c>
      <c r="J193" s="6">
        <v>6</v>
      </c>
      <c r="K193" s="6" t="s">
        <v>19</v>
      </c>
      <c r="L193" s="10">
        <v>83.95</v>
      </c>
      <c r="M193" s="6" t="s">
        <v>33</v>
      </c>
      <c r="N193" s="10">
        <f>Tabla3[[#This Row],[Price]]*Tabla3[[#This Row],[QTY Adjusted]]</f>
        <v>503.70000000000005</v>
      </c>
      <c r="O193" s="10">
        <v>503.70000000000005</v>
      </c>
      <c r="P193" s="23">
        <v>46101</v>
      </c>
      <c r="Q193" s="6" t="s">
        <v>4245</v>
      </c>
    </row>
    <row r="194" spans="1:17" ht="40.200000000000003" customHeight="1" x14ac:dyDescent="0.3">
      <c r="A194" s="6">
        <v>1369</v>
      </c>
      <c r="B194" s="6" t="s">
        <v>1972</v>
      </c>
      <c r="C194" s="6" t="s">
        <v>237</v>
      </c>
      <c r="D194" s="6" t="s">
        <v>93</v>
      </c>
      <c r="E194" s="6" t="s">
        <v>2392</v>
      </c>
      <c r="F194" s="6" t="s">
        <v>4059</v>
      </c>
      <c r="G194" s="6" t="s">
        <v>339</v>
      </c>
      <c r="H194" s="6" t="s">
        <v>334</v>
      </c>
      <c r="I194" s="6" t="s">
        <v>340</v>
      </c>
      <c r="J194" s="6">
        <v>12</v>
      </c>
      <c r="K194" s="6" t="s">
        <v>19</v>
      </c>
      <c r="L194" s="10">
        <v>41.19</v>
      </c>
      <c r="M194" s="6" t="s">
        <v>33</v>
      </c>
      <c r="N194" s="10">
        <f>Tabla3[[#This Row],[Price]]*Tabla3[[#This Row],[QTY Adjusted]]</f>
        <v>494.28</v>
      </c>
      <c r="O194" s="10">
        <v>494.28</v>
      </c>
      <c r="P194" s="21" t="s">
        <v>4225</v>
      </c>
      <c r="Q194" s="6" t="s">
        <v>4245</v>
      </c>
    </row>
    <row r="195" spans="1:17" ht="40.200000000000003" customHeight="1" x14ac:dyDescent="0.3">
      <c r="A195" s="6">
        <v>1284</v>
      </c>
      <c r="B195" s="6" t="s">
        <v>1972</v>
      </c>
      <c r="C195" s="6" t="s">
        <v>47</v>
      </c>
      <c r="D195" s="6" t="s">
        <v>44</v>
      </c>
      <c r="E195" s="6" t="s">
        <v>2258</v>
      </c>
      <c r="F195" s="6" t="s">
        <v>4059</v>
      </c>
      <c r="G195" s="6" t="s">
        <v>2262</v>
      </c>
      <c r="H195" s="6" t="s">
        <v>2260</v>
      </c>
      <c r="I195" s="6" t="s">
        <v>2263</v>
      </c>
      <c r="J195" s="6">
        <v>16</v>
      </c>
      <c r="K195" s="6" t="s">
        <v>19</v>
      </c>
      <c r="L195" s="10">
        <v>30.24</v>
      </c>
      <c r="M195" s="6" t="s">
        <v>33</v>
      </c>
      <c r="N195" s="10">
        <f>Tabla3[[#This Row],[Price]]*Tabla3[[#This Row],[QTY Adjusted]]</f>
        <v>483.84</v>
      </c>
      <c r="O195" s="10">
        <v>483.84</v>
      </c>
      <c r="P195" s="23">
        <v>46096</v>
      </c>
      <c r="Q195" s="6" t="s">
        <v>4245</v>
      </c>
    </row>
    <row r="196" spans="1:17" ht="40.200000000000003" customHeight="1" x14ac:dyDescent="0.3">
      <c r="A196" s="6">
        <v>1242</v>
      </c>
      <c r="B196" s="6" t="s">
        <v>1972</v>
      </c>
      <c r="C196" s="6" t="s">
        <v>561</v>
      </c>
      <c r="D196" s="6" t="s">
        <v>44</v>
      </c>
      <c r="E196" s="6" t="s">
        <v>2079</v>
      </c>
      <c r="F196" s="6" t="s">
        <v>4059</v>
      </c>
      <c r="G196" s="6" t="s">
        <v>2160</v>
      </c>
      <c r="H196" s="6" t="s">
        <v>2161</v>
      </c>
      <c r="I196" s="6" t="s">
        <v>2162</v>
      </c>
      <c r="J196" s="6">
        <v>12</v>
      </c>
      <c r="K196" s="6" t="s">
        <v>19</v>
      </c>
      <c r="L196" s="10">
        <v>39.935000000000002</v>
      </c>
      <c r="M196" s="6" t="s">
        <v>33</v>
      </c>
      <c r="N196" s="10">
        <f>Tabla3[[#This Row],[Price]]*Tabla3[[#This Row],[QTY Adjusted]]</f>
        <v>479.22</v>
      </c>
      <c r="O196" s="10">
        <v>479.22</v>
      </c>
      <c r="P196" s="23">
        <v>46096</v>
      </c>
      <c r="Q196" s="6" t="s">
        <v>4245</v>
      </c>
    </row>
    <row r="197" spans="1:17" ht="40.200000000000003" customHeight="1" x14ac:dyDescent="0.3">
      <c r="A197" s="6">
        <v>1219</v>
      </c>
      <c r="B197" s="6" t="s">
        <v>1972</v>
      </c>
      <c r="C197" s="6" t="s">
        <v>43</v>
      </c>
      <c r="D197" s="6" t="s">
        <v>44</v>
      </c>
      <c r="E197" s="6" t="s">
        <v>2079</v>
      </c>
      <c r="F197" s="6" t="s">
        <v>4059</v>
      </c>
      <c r="G197" s="6">
        <v>660293</v>
      </c>
      <c r="H197" s="6" t="s">
        <v>2122</v>
      </c>
      <c r="I197" s="6" t="s">
        <v>2123</v>
      </c>
      <c r="J197" s="6">
        <v>6</v>
      </c>
      <c r="K197" s="6" t="s">
        <v>19</v>
      </c>
      <c r="L197" s="10">
        <v>78.56</v>
      </c>
      <c r="M197" s="6" t="s">
        <v>33</v>
      </c>
      <c r="N197" s="10">
        <f>Tabla3[[#This Row],[Price]]*Tabla3[[#This Row],[QTY Adjusted]]</f>
        <v>471.36</v>
      </c>
      <c r="O197" s="10">
        <v>471.36</v>
      </c>
      <c r="P197" s="23">
        <v>46101</v>
      </c>
      <c r="Q197" s="6" t="s">
        <v>4245</v>
      </c>
    </row>
    <row r="198" spans="1:17" ht="40.200000000000003" customHeight="1" x14ac:dyDescent="0.3">
      <c r="A198" s="6">
        <v>1321</v>
      </c>
      <c r="B198" s="6" t="s">
        <v>1972</v>
      </c>
      <c r="C198" s="6" t="s">
        <v>329</v>
      </c>
      <c r="D198" s="6" t="s">
        <v>199</v>
      </c>
      <c r="E198" s="6" t="s">
        <v>2339</v>
      </c>
      <c r="F198" s="6" t="s">
        <v>4059</v>
      </c>
      <c r="G198" s="6" t="s">
        <v>2346</v>
      </c>
      <c r="H198" s="6" t="s">
        <v>2347</v>
      </c>
      <c r="I198" s="6" t="s">
        <v>2348</v>
      </c>
      <c r="J198" s="6">
        <v>16</v>
      </c>
      <c r="K198" s="6" t="s">
        <v>19</v>
      </c>
      <c r="L198" s="10">
        <v>28.884869999999999</v>
      </c>
      <c r="M198" s="6" t="s">
        <v>33</v>
      </c>
      <c r="N198" s="10">
        <f>Tabla3[[#This Row],[Price]]*Tabla3[[#This Row],[QTY Adjusted]]</f>
        <v>462.15791999999999</v>
      </c>
      <c r="O198" s="10">
        <v>462.15791999999999</v>
      </c>
      <c r="P198" s="21" t="s">
        <v>4225</v>
      </c>
      <c r="Q198" s="6" t="s">
        <v>4245</v>
      </c>
    </row>
    <row r="199" spans="1:17" ht="40.200000000000003" customHeight="1" x14ac:dyDescent="0.3">
      <c r="A199" s="6">
        <v>1249</v>
      </c>
      <c r="B199" s="6" t="s">
        <v>1972</v>
      </c>
      <c r="C199" s="6" t="s">
        <v>43</v>
      </c>
      <c r="D199" s="6" t="s">
        <v>44</v>
      </c>
      <c r="E199" s="6" t="s">
        <v>2177</v>
      </c>
      <c r="F199" s="6" t="s">
        <v>4059</v>
      </c>
      <c r="G199" s="6">
        <v>656021</v>
      </c>
      <c r="H199" s="6" t="s">
        <v>2180</v>
      </c>
      <c r="I199" s="6" t="s">
        <v>2181</v>
      </c>
      <c r="J199" s="6">
        <v>8</v>
      </c>
      <c r="K199" s="6" t="s">
        <v>19</v>
      </c>
      <c r="L199" s="10">
        <v>55.195</v>
      </c>
      <c r="M199" s="6" t="s">
        <v>33</v>
      </c>
      <c r="N199" s="10">
        <f>Tabla3[[#This Row],[Price]]*Tabla3[[#This Row],[QTY Adjusted]]</f>
        <v>441.56</v>
      </c>
      <c r="O199" s="10">
        <v>441.56</v>
      </c>
      <c r="P199" s="23">
        <v>46101</v>
      </c>
      <c r="Q199" s="6" t="s">
        <v>4245</v>
      </c>
    </row>
    <row r="200" spans="1:17" ht="40.200000000000003" customHeight="1" x14ac:dyDescent="0.3">
      <c r="A200" s="6">
        <v>1317</v>
      </c>
      <c r="B200" s="6" t="s">
        <v>1972</v>
      </c>
      <c r="C200" s="6" t="s">
        <v>2330</v>
      </c>
      <c r="D200" s="6" t="s">
        <v>44</v>
      </c>
      <c r="E200" s="6" t="s">
        <v>2306</v>
      </c>
      <c r="F200" s="6" t="s">
        <v>4065</v>
      </c>
      <c r="G200" s="6">
        <v>663235</v>
      </c>
      <c r="H200" s="6" t="s">
        <v>2333</v>
      </c>
      <c r="I200" s="6" t="s">
        <v>2334</v>
      </c>
      <c r="J200" s="6">
        <v>4</v>
      </c>
      <c r="K200" s="6" t="s">
        <v>19</v>
      </c>
      <c r="L200" s="10">
        <v>107.12</v>
      </c>
      <c r="M200" s="6" t="s">
        <v>33</v>
      </c>
      <c r="N200" s="10">
        <f>Tabla3[[#This Row],[Price]]*Tabla3[[#This Row],[QTY Adjusted]]</f>
        <v>428.48</v>
      </c>
      <c r="O200" s="10">
        <v>428.48</v>
      </c>
      <c r="P200" s="21" t="s">
        <v>4225</v>
      </c>
      <c r="Q200" s="6" t="s">
        <v>4245</v>
      </c>
    </row>
    <row r="201" spans="1:17" ht="40.200000000000003" customHeight="1" x14ac:dyDescent="0.3">
      <c r="A201" s="6">
        <v>1361</v>
      </c>
      <c r="B201" s="6" t="s">
        <v>1972</v>
      </c>
      <c r="C201" s="6" t="s">
        <v>309</v>
      </c>
      <c r="D201" s="6" t="s">
        <v>44</v>
      </c>
      <c r="E201" s="6" t="s">
        <v>2392</v>
      </c>
      <c r="F201" s="6" t="s">
        <v>4059</v>
      </c>
      <c r="G201" s="6">
        <v>186700</v>
      </c>
      <c r="H201" s="6" t="s">
        <v>312</v>
      </c>
      <c r="I201" s="6" t="s">
        <v>313</v>
      </c>
      <c r="J201" s="6">
        <v>4</v>
      </c>
      <c r="K201" s="6" t="s">
        <v>19</v>
      </c>
      <c r="L201" s="10">
        <v>105.01</v>
      </c>
      <c r="M201" s="6" t="s">
        <v>33</v>
      </c>
      <c r="N201" s="10">
        <f>Tabla3[[#This Row],[Price]]*Tabla3[[#This Row],[QTY Adjusted]]</f>
        <v>420.04</v>
      </c>
      <c r="O201" s="10">
        <v>420.04</v>
      </c>
      <c r="P201" s="21" t="s">
        <v>4225</v>
      </c>
      <c r="Q201" s="6" t="s">
        <v>4245</v>
      </c>
    </row>
    <row r="202" spans="1:17" ht="40.200000000000003" customHeight="1" x14ac:dyDescent="0.3">
      <c r="A202" s="6">
        <v>1304</v>
      </c>
      <c r="B202" s="6" t="s">
        <v>1972</v>
      </c>
      <c r="C202" s="6" t="s">
        <v>990</v>
      </c>
      <c r="D202" s="6" t="s">
        <v>130</v>
      </c>
      <c r="E202" s="6" t="s">
        <v>2293</v>
      </c>
      <c r="F202" s="6" t="s">
        <v>4059</v>
      </c>
      <c r="G202" s="6" t="s">
        <v>992</v>
      </c>
      <c r="H202" s="6" t="s">
        <v>2297</v>
      </c>
      <c r="I202" s="6" t="s">
        <v>991</v>
      </c>
      <c r="J202" s="6">
        <v>6</v>
      </c>
      <c r="K202" s="6" t="s">
        <v>19</v>
      </c>
      <c r="L202" s="10">
        <v>68.901380567399301</v>
      </c>
      <c r="M202" s="6" t="s">
        <v>33</v>
      </c>
      <c r="N202" s="10">
        <f>Tabla3[[#This Row],[Price]]*Tabla3[[#This Row],[QTY Adjusted]]</f>
        <v>413.40828340439577</v>
      </c>
      <c r="O202" s="10">
        <v>413.40828340439577</v>
      </c>
      <c r="P202" s="21" t="s">
        <v>4225</v>
      </c>
      <c r="Q202" s="6" t="s">
        <v>4245</v>
      </c>
    </row>
    <row r="203" spans="1:17" ht="40.200000000000003" customHeight="1" x14ac:dyDescent="0.3">
      <c r="A203" s="6">
        <v>1233</v>
      </c>
      <c r="B203" s="6" t="s">
        <v>1972</v>
      </c>
      <c r="C203" s="6" t="s">
        <v>43</v>
      </c>
      <c r="D203" s="6" t="s">
        <v>44</v>
      </c>
      <c r="E203" s="6" t="s">
        <v>2079</v>
      </c>
      <c r="F203" s="6" t="s">
        <v>4059</v>
      </c>
      <c r="G203" s="6">
        <v>654546</v>
      </c>
      <c r="H203" s="6" t="s">
        <v>2143</v>
      </c>
      <c r="I203" s="6" t="s">
        <v>2145</v>
      </c>
      <c r="J203" s="6">
        <v>8</v>
      </c>
      <c r="K203" s="6" t="s">
        <v>19</v>
      </c>
      <c r="L203" s="10">
        <v>51.505000000000003</v>
      </c>
      <c r="M203" s="6" t="s">
        <v>33</v>
      </c>
      <c r="N203" s="10">
        <f>Tabla3[[#This Row],[Price]]*Tabla3[[#This Row],[QTY Adjusted]]</f>
        <v>412.04</v>
      </c>
      <c r="O203" s="10">
        <v>412.04</v>
      </c>
      <c r="P203" s="23">
        <v>46101</v>
      </c>
      <c r="Q203" s="6" t="s">
        <v>4245</v>
      </c>
    </row>
    <row r="204" spans="1:17" ht="40.200000000000003" customHeight="1" x14ac:dyDescent="0.3">
      <c r="A204" s="6">
        <v>1235</v>
      </c>
      <c r="B204" s="6" t="s">
        <v>1972</v>
      </c>
      <c r="C204" s="6" t="s">
        <v>43</v>
      </c>
      <c r="D204" s="6" t="s">
        <v>44</v>
      </c>
      <c r="E204" s="6" t="s">
        <v>2079</v>
      </c>
      <c r="F204" s="6" t="s">
        <v>4059</v>
      </c>
      <c r="G204" s="6">
        <v>654549</v>
      </c>
      <c r="H204" s="6" t="s">
        <v>2143</v>
      </c>
      <c r="I204" s="6" t="s">
        <v>2147</v>
      </c>
      <c r="J204" s="6">
        <v>8</v>
      </c>
      <c r="K204" s="6" t="s">
        <v>19</v>
      </c>
      <c r="L204" s="10">
        <v>51.505000000000003</v>
      </c>
      <c r="M204" s="6" t="s">
        <v>33</v>
      </c>
      <c r="N204" s="10">
        <f>Tabla3[[#This Row],[Price]]*Tabla3[[#This Row],[QTY Adjusted]]</f>
        <v>412.04</v>
      </c>
      <c r="O204" s="10">
        <v>412.04</v>
      </c>
      <c r="P204" s="23">
        <v>46101</v>
      </c>
      <c r="Q204" s="6" t="s">
        <v>4245</v>
      </c>
    </row>
    <row r="205" spans="1:17" ht="40.200000000000003" customHeight="1" x14ac:dyDescent="0.3">
      <c r="A205" s="6">
        <v>1256</v>
      </c>
      <c r="B205" s="6" t="s">
        <v>1972</v>
      </c>
      <c r="C205" s="6" t="s">
        <v>232</v>
      </c>
      <c r="D205" s="6" t="s">
        <v>233</v>
      </c>
      <c r="E205" s="6" t="s">
        <v>2186</v>
      </c>
      <c r="F205" s="6" t="s">
        <v>4059</v>
      </c>
      <c r="G205" s="6" t="s">
        <v>2195</v>
      </c>
      <c r="H205" s="6" t="s">
        <v>2196</v>
      </c>
      <c r="I205" s="6" t="s">
        <v>2197</v>
      </c>
      <c r="J205" s="6">
        <v>144</v>
      </c>
      <c r="K205" s="6" t="s">
        <v>19</v>
      </c>
      <c r="L205" s="10">
        <v>2.25</v>
      </c>
      <c r="M205" s="6" t="s">
        <v>33</v>
      </c>
      <c r="N205" s="10">
        <f>Tabla3[[#This Row],[Price]]*Tabla3[[#This Row],[QTY Adjusted]]</f>
        <v>324</v>
      </c>
      <c r="O205" s="10">
        <v>324</v>
      </c>
      <c r="P205" s="21" t="s">
        <v>4239</v>
      </c>
      <c r="Q205" s="6" t="s">
        <v>4245</v>
      </c>
    </row>
    <row r="206" spans="1:17" ht="40.200000000000003" customHeight="1" x14ac:dyDescent="0.3">
      <c r="A206" s="6">
        <v>1203</v>
      </c>
      <c r="B206" s="6" t="s">
        <v>1972</v>
      </c>
      <c r="C206" s="6" t="s">
        <v>38</v>
      </c>
      <c r="D206" s="6" t="str">
        <f>Tabla3[[#This Row],[Vendor]]</f>
        <v>Peugeot</v>
      </c>
      <c r="E206" s="6" t="s">
        <v>2079</v>
      </c>
      <c r="F206" s="6" t="s">
        <v>4059</v>
      </c>
      <c r="G206" s="6">
        <v>23416</v>
      </c>
      <c r="H206" s="6" t="s">
        <v>39</v>
      </c>
      <c r="I206" s="6" t="s">
        <v>2087</v>
      </c>
      <c r="J206" s="6">
        <v>6</v>
      </c>
      <c r="K206" s="6" t="s">
        <v>19</v>
      </c>
      <c r="L206" s="10">
        <v>62.3</v>
      </c>
      <c r="M206" s="6" t="s">
        <v>33</v>
      </c>
      <c r="N206" s="10">
        <f>Tabla3[[#This Row],[Price]]*Tabla3[[#This Row],[QTY Adjusted]]</f>
        <v>373.79999999999995</v>
      </c>
      <c r="O206" s="10">
        <v>373.79999999999995</v>
      </c>
      <c r="P206" s="21" t="s">
        <v>4232</v>
      </c>
      <c r="Q206" s="6" t="s">
        <v>4245</v>
      </c>
    </row>
    <row r="207" spans="1:17" ht="40.200000000000003" customHeight="1" x14ac:dyDescent="0.3">
      <c r="A207" s="6">
        <v>1204</v>
      </c>
      <c r="B207" s="6" t="s">
        <v>1972</v>
      </c>
      <c r="C207" s="6" t="s">
        <v>38</v>
      </c>
      <c r="D207" s="6" t="str">
        <f>Tabla3[[#This Row],[Vendor]]</f>
        <v>Peugeot</v>
      </c>
      <c r="E207" s="6" t="s">
        <v>2079</v>
      </c>
      <c r="F207" s="6" t="s">
        <v>4059</v>
      </c>
      <c r="G207" s="6">
        <v>23539</v>
      </c>
      <c r="H207" s="6" t="s">
        <v>41</v>
      </c>
      <c r="I207" s="6" t="s">
        <v>2088</v>
      </c>
      <c r="J207" s="6">
        <v>6</v>
      </c>
      <c r="K207" s="6" t="s">
        <v>19</v>
      </c>
      <c r="L207" s="10">
        <v>62.3</v>
      </c>
      <c r="M207" s="6" t="s">
        <v>33</v>
      </c>
      <c r="N207" s="10">
        <f>Tabla3[[#This Row],[Price]]*Tabla3[[#This Row],[QTY Adjusted]]</f>
        <v>373.79999999999995</v>
      </c>
      <c r="O207" s="10">
        <v>373.79999999999995</v>
      </c>
      <c r="P207" s="21" t="s">
        <v>4232</v>
      </c>
      <c r="Q207" s="6" t="s">
        <v>4245</v>
      </c>
    </row>
    <row r="208" spans="1:17" ht="40.200000000000003" customHeight="1" x14ac:dyDescent="0.3">
      <c r="A208" s="6">
        <v>1289</v>
      </c>
      <c r="B208" s="6" t="s">
        <v>1972</v>
      </c>
      <c r="C208" s="6" t="s">
        <v>47</v>
      </c>
      <c r="D208" s="6" t="s">
        <v>44</v>
      </c>
      <c r="E208" s="6" t="s">
        <v>2258</v>
      </c>
      <c r="F208" s="6" t="s">
        <v>4059</v>
      </c>
      <c r="G208" s="6" t="s">
        <v>2272</v>
      </c>
      <c r="H208" s="6" t="s">
        <v>2260</v>
      </c>
      <c r="I208" s="6" t="s">
        <v>2273</v>
      </c>
      <c r="J208" s="6">
        <v>16</v>
      </c>
      <c r="K208" s="6" t="s">
        <v>19</v>
      </c>
      <c r="L208" s="10">
        <v>22.71</v>
      </c>
      <c r="M208" s="6" t="s">
        <v>33</v>
      </c>
      <c r="N208" s="10">
        <f>Tabla3[[#This Row],[Price]]*Tabla3[[#This Row],[QTY Adjusted]]</f>
        <v>363.36</v>
      </c>
      <c r="O208" s="10">
        <v>363.36</v>
      </c>
      <c r="P208" s="23">
        <v>46096</v>
      </c>
      <c r="Q208" s="6" t="s">
        <v>4245</v>
      </c>
    </row>
    <row r="209" spans="1:17" ht="40.200000000000003" customHeight="1" x14ac:dyDescent="0.3">
      <c r="A209" s="6">
        <v>1208</v>
      </c>
      <c r="B209" s="6" t="s">
        <v>1972</v>
      </c>
      <c r="C209" s="6" t="s">
        <v>43</v>
      </c>
      <c r="D209" s="6" t="s">
        <v>44</v>
      </c>
      <c r="E209" s="6" t="s">
        <v>2079</v>
      </c>
      <c r="F209" s="6" t="s">
        <v>4059</v>
      </c>
      <c r="G209" s="6">
        <v>651884</v>
      </c>
      <c r="H209" s="6" t="s">
        <v>2094</v>
      </c>
      <c r="I209" s="6" t="s">
        <v>2095</v>
      </c>
      <c r="J209" s="6">
        <v>8</v>
      </c>
      <c r="K209" s="6" t="s">
        <v>19</v>
      </c>
      <c r="L209" s="10">
        <v>44.99</v>
      </c>
      <c r="M209" s="6" t="s">
        <v>33</v>
      </c>
      <c r="N209" s="10">
        <f>Tabla3[[#This Row],[Price]]*Tabla3[[#This Row],[QTY Adjusted]]</f>
        <v>359.92</v>
      </c>
      <c r="O209" s="10">
        <v>359.92</v>
      </c>
      <c r="P209" s="23">
        <v>46101</v>
      </c>
      <c r="Q209" s="6" t="s">
        <v>4245</v>
      </c>
    </row>
    <row r="210" spans="1:17" ht="40.200000000000003" customHeight="1" x14ac:dyDescent="0.3">
      <c r="A210" s="6">
        <v>1184</v>
      </c>
      <c r="B210" s="6" t="s">
        <v>1972</v>
      </c>
      <c r="C210" s="6" t="s">
        <v>181</v>
      </c>
      <c r="D210" s="6" t="s">
        <v>130</v>
      </c>
      <c r="E210" s="6" t="s">
        <v>1972</v>
      </c>
      <c r="F210" s="6" t="s">
        <v>4059</v>
      </c>
      <c r="G210" s="6" t="s">
        <v>44</v>
      </c>
      <c r="H210" s="6" t="s">
        <v>2058</v>
      </c>
      <c r="I210" s="6" t="s">
        <v>2059</v>
      </c>
      <c r="J210" s="6">
        <v>8</v>
      </c>
      <c r="K210" s="6" t="s">
        <v>19</v>
      </c>
      <c r="L210" s="10">
        <v>44.708782341105248</v>
      </c>
      <c r="M210" s="6" t="s">
        <v>33</v>
      </c>
      <c r="N210" s="10">
        <f>Tabla3[[#This Row],[Price]]*Tabla3[[#This Row],[QTY Adjusted]]</f>
        <v>357.67025872884199</v>
      </c>
      <c r="O210" s="10">
        <v>357.67025872884199</v>
      </c>
      <c r="P210" s="21" t="s">
        <v>4241</v>
      </c>
      <c r="Q210" s="6" t="s">
        <v>4245</v>
      </c>
    </row>
    <row r="211" spans="1:17" ht="40.200000000000003" customHeight="1" x14ac:dyDescent="0.3">
      <c r="A211" s="6">
        <v>1240</v>
      </c>
      <c r="B211" s="6" t="s">
        <v>1972</v>
      </c>
      <c r="C211" s="6" t="s">
        <v>43</v>
      </c>
      <c r="D211" s="6" t="s">
        <v>44</v>
      </c>
      <c r="E211" s="6" t="s">
        <v>2079</v>
      </c>
      <c r="F211" s="6" t="s">
        <v>4059</v>
      </c>
      <c r="G211" s="6">
        <v>661278</v>
      </c>
      <c r="H211" s="6" t="s">
        <v>2156</v>
      </c>
      <c r="I211" s="6" t="s">
        <v>2157</v>
      </c>
      <c r="J211" s="6">
        <v>8</v>
      </c>
      <c r="K211" s="6" t="s">
        <v>19</v>
      </c>
      <c r="L211" s="10">
        <v>43.905000000000001</v>
      </c>
      <c r="M211" s="6" t="s">
        <v>33</v>
      </c>
      <c r="N211" s="10">
        <f>Tabla3[[#This Row],[Price]]*Tabla3[[#This Row],[QTY Adjusted]]</f>
        <v>351.24</v>
      </c>
      <c r="O211" s="10">
        <v>351.24</v>
      </c>
      <c r="P211" s="23">
        <v>46101</v>
      </c>
      <c r="Q211" s="6" t="s">
        <v>4245</v>
      </c>
    </row>
    <row r="212" spans="1:17" ht="40.200000000000003" customHeight="1" x14ac:dyDescent="0.3">
      <c r="A212" s="6">
        <v>1300</v>
      </c>
      <c r="B212" s="6" t="s">
        <v>1972</v>
      </c>
      <c r="C212" s="6" t="s">
        <v>219</v>
      </c>
      <c r="D212" s="6" t="s">
        <v>44</v>
      </c>
      <c r="E212" s="6" t="s">
        <v>2293</v>
      </c>
      <c r="F212" s="6" t="s">
        <v>4059</v>
      </c>
      <c r="G212" s="6" t="s">
        <v>1001</v>
      </c>
      <c r="H212" s="6" t="s">
        <v>1000</v>
      </c>
      <c r="I212" s="6" t="s">
        <v>1002</v>
      </c>
      <c r="J212" s="6">
        <v>36</v>
      </c>
      <c r="K212" s="6" t="s">
        <v>19</v>
      </c>
      <c r="L212" s="10">
        <v>9.6120000000000001</v>
      </c>
      <c r="M212" s="6" t="s">
        <v>33</v>
      </c>
      <c r="N212" s="10">
        <f>Tabla3[[#This Row],[Price]]*Tabla3[[#This Row],[QTY Adjusted]]</f>
        <v>346.03199999999998</v>
      </c>
      <c r="O212" s="10">
        <v>346.03199999999998</v>
      </c>
      <c r="P212" s="23">
        <v>46096</v>
      </c>
      <c r="Q212" s="6" t="s">
        <v>4245</v>
      </c>
    </row>
    <row r="213" spans="1:17" ht="40.200000000000003" customHeight="1" x14ac:dyDescent="0.3">
      <c r="A213" s="6">
        <v>1367</v>
      </c>
      <c r="B213" s="6" t="s">
        <v>1972</v>
      </c>
      <c r="C213" s="6" t="s">
        <v>237</v>
      </c>
      <c r="D213" s="6" t="s">
        <v>93</v>
      </c>
      <c r="E213" s="6" t="s">
        <v>2392</v>
      </c>
      <c r="F213" s="6" t="s">
        <v>4059</v>
      </c>
      <c r="G213" s="6" t="s">
        <v>333</v>
      </c>
      <c r="H213" s="6" t="s">
        <v>334</v>
      </c>
      <c r="I213" s="6" t="s">
        <v>335</v>
      </c>
      <c r="J213" s="6">
        <v>12</v>
      </c>
      <c r="K213" s="6" t="s">
        <v>19</v>
      </c>
      <c r="L213" s="10">
        <v>28.36</v>
      </c>
      <c r="M213" s="6" t="s">
        <v>33</v>
      </c>
      <c r="N213" s="10">
        <f>Tabla3[[#This Row],[Price]]*Tabla3[[#This Row],[QTY Adjusted]]</f>
        <v>340.32</v>
      </c>
      <c r="O213" s="10">
        <v>340.32</v>
      </c>
      <c r="P213" s="21" t="s">
        <v>4225</v>
      </c>
      <c r="Q213" s="6" t="s">
        <v>4245</v>
      </c>
    </row>
    <row r="214" spans="1:17" ht="40.200000000000003" customHeight="1" x14ac:dyDescent="0.3">
      <c r="A214" s="6">
        <v>1255</v>
      </c>
      <c r="B214" s="6" t="s">
        <v>1972</v>
      </c>
      <c r="C214" s="6" t="s">
        <v>232</v>
      </c>
      <c r="D214" s="6" t="s">
        <v>1490</v>
      </c>
      <c r="E214" s="6" t="s">
        <v>2186</v>
      </c>
      <c r="F214" s="6" t="s">
        <v>4062</v>
      </c>
      <c r="G214" s="6" t="s">
        <v>2192</v>
      </c>
      <c r="H214" s="6" t="s">
        <v>2193</v>
      </c>
      <c r="I214" s="6" t="s">
        <v>2194</v>
      </c>
      <c r="J214" s="6">
        <v>144</v>
      </c>
      <c r="K214" s="6" t="s">
        <v>19</v>
      </c>
      <c r="L214" s="10">
        <v>2.0099999999999998</v>
      </c>
      <c r="M214" s="6" t="s">
        <v>33</v>
      </c>
      <c r="N214" s="10">
        <f>Tabla3[[#This Row],[Price]]*Tabla3[[#This Row],[QTY Adjusted]]</f>
        <v>289.43999999999994</v>
      </c>
      <c r="O214" s="15">
        <v>272.15999999999997</v>
      </c>
      <c r="P214" s="21" t="s">
        <v>4225</v>
      </c>
      <c r="Q214" s="6" t="s">
        <v>4245</v>
      </c>
    </row>
    <row r="215" spans="1:17" ht="40.200000000000003" customHeight="1" x14ac:dyDescent="0.3">
      <c r="A215" s="6">
        <v>1372</v>
      </c>
      <c r="B215" s="6" t="s">
        <v>1972</v>
      </c>
      <c r="C215" s="6" t="s">
        <v>329</v>
      </c>
      <c r="D215" s="6" t="s">
        <v>199</v>
      </c>
      <c r="E215" s="6" t="s">
        <v>2392</v>
      </c>
      <c r="F215" s="6" t="s">
        <v>4059</v>
      </c>
      <c r="G215" s="6" t="s">
        <v>346</v>
      </c>
      <c r="H215" s="6" t="s">
        <v>347</v>
      </c>
      <c r="I215" s="6" t="s">
        <v>348</v>
      </c>
      <c r="J215" s="6">
        <v>12</v>
      </c>
      <c r="K215" s="6" t="s">
        <v>19</v>
      </c>
      <c r="L215" s="10">
        <v>27.350190000000001</v>
      </c>
      <c r="M215" s="6" t="s">
        <v>33</v>
      </c>
      <c r="N215" s="10">
        <f>Tabla3[[#This Row],[Price]]*Tabla3[[#This Row],[QTY Adjusted]]</f>
        <v>328.20228000000003</v>
      </c>
      <c r="O215" s="10">
        <v>328.20228000000003</v>
      </c>
      <c r="P215" s="21" t="s">
        <v>4225</v>
      </c>
      <c r="Q215" s="6" t="s">
        <v>4245</v>
      </c>
    </row>
    <row r="216" spans="1:17" ht="40.200000000000003" customHeight="1" x14ac:dyDescent="0.3">
      <c r="A216" s="6">
        <v>1333</v>
      </c>
      <c r="B216" s="6" t="s">
        <v>1972</v>
      </c>
      <c r="C216" s="6" t="s">
        <v>2075</v>
      </c>
      <c r="D216" s="6" t="s">
        <v>362</v>
      </c>
      <c r="E216" s="6" t="s">
        <v>2362</v>
      </c>
      <c r="F216" s="6" t="s">
        <v>4059</v>
      </c>
      <c r="G216" s="6" t="s">
        <v>2386</v>
      </c>
      <c r="H216" s="6" t="s">
        <v>2387</v>
      </c>
      <c r="I216" s="6" t="s">
        <v>2388</v>
      </c>
      <c r="J216" s="6">
        <v>29</v>
      </c>
      <c r="K216" s="6" t="s">
        <v>19</v>
      </c>
      <c r="L216" s="10">
        <v>9.3333333333333339</v>
      </c>
      <c r="M216" s="6" t="s">
        <v>33</v>
      </c>
      <c r="N216" s="10">
        <f>Tabla3[[#This Row],[Price]]*Tabla3[[#This Row],[QTY Adjusted]]</f>
        <v>270.66666666666669</v>
      </c>
      <c r="O216" s="10">
        <v>270.66666666666669</v>
      </c>
      <c r="P216" s="21" t="s">
        <v>4218</v>
      </c>
      <c r="Q216" s="6" t="s">
        <v>4245</v>
      </c>
    </row>
    <row r="217" spans="1:17" ht="40.200000000000003" customHeight="1" x14ac:dyDescent="0.3">
      <c r="A217" s="6">
        <v>1360</v>
      </c>
      <c r="B217" s="6" t="s">
        <v>1972</v>
      </c>
      <c r="C217" s="6" t="s">
        <v>272</v>
      </c>
      <c r="D217" s="6" t="str">
        <f>Tabla3[[#This Row],[Vendor]]</f>
        <v>Spill-Stop</v>
      </c>
      <c r="E217" s="6" t="s">
        <v>2392</v>
      </c>
      <c r="F217" s="6" t="s">
        <v>4059</v>
      </c>
      <c r="G217" s="6" t="s">
        <v>306</v>
      </c>
      <c r="H217" s="6" t="s">
        <v>307</v>
      </c>
      <c r="I217" s="6" t="s">
        <v>308</v>
      </c>
      <c r="J217" s="6">
        <v>116</v>
      </c>
      <c r="K217" s="6" t="s">
        <v>19</v>
      </c>
      <c r="L217" s="10">
        <v>2.2799999999999998</v>
      </c>
      <c r="M217" s="6" t="s">
        <v>33</v>
      </c>
      <c r="N217" s="10">
        <f>Tabla3[[#This Row],[Price]]*Tabla3[[#This Row],[QTY Adjusted]]</f>
        <v>264.47999999999996</v>
      </c>
      <c r="O217" s="10">
        <v>264.47999999999996</v>
      </c>
      <c r="P217" s="21" t="s">
        <v>4230</v>
      </c>
      <c r="Q217" s="6">
        <v>0</v>
      </c>
    </row>
    <row r="218" spans="1:17" ht="40.200000000000003" customHeight="1" x14ac:dyDescent="0.3">
      <c r="A218" s="6">
        <v>1288</v>
      </c>
      <c r="B218" s="6" t="s">
        <v>1972</v>
      </c>
      <c r="C218" s="6" t="s">
        <v>47</v>
      </c>
      <c r="D218" s="6" t="s">
        <v>44</v>
      </c>
      <c r="E218" s="6" t="s">
        <v>2258</v>
      </c>
      <c r="F218" s="6" t="s">
        <v>4059</v>
      </c>
      <c r="G218" s="6" t="s">
        <v>2270</v>
      </c>
      <c r="H218" s="6" t="s">
        <v>2260</v>
      </c>
      <c r="I218" s="6" t="s">
        <v>2271</v>
      </c>
      <c r="J218" s="6">
        <v>16</v>
      </c>
      <c r="K218" s="6" t="s">
        <v>19</v>
      </c>
      <c r="L218" s="10">
        <v>17.693999999999999</v>
      </c>
      <c r="M218" s="6" t="s">
        <v>33</v>
      </c>
      <c r="N218" s="10">
        <f>Tabla3[[#This Row],[Price]]*Tabla3[[#This Row],[QTY Adjusted]]</f>
        <v>283.10399999999998</v>
      </c>
      <c r="O218" s="10">
        <v>283.10399999999998</v>
      </c>
      <c r="P218" s="23">
        <v>46096</v>
      </c>
      <c r="Q218" s="6">
        <v>0</v>
      </c>
    </row>
    <row r="219" spans="1:17" ht="40.200000000000003" customHeight="1" x14ac:dyDescent="0.3">
      <c r="A219" s="6">
        <v>1231</v>
      </c>
      <c r="B219" s="6" t="s">
        <v>1972</v>
      </c>
      <c r="C219" s="6" t="s">
        <v>561</v>
      </c>
      <c r="D219" s="6" t="s">
        <v>44</v>
      </c>
      <c r="E219" s="6" t="s">
        <v>2079</v>
      </c>
      <c r="F219" s="6" t="s">
        <v>4059</v>
      </c>
      <c r="G219" s="6" t="s">
        <v>562</v>
      </c>
      <c r="H219" s="6" t="s">
        <v>2142</v>
      </c>
      <c r="I219" s="6"/>
      <c r="J219" s="6">
        <v>8</v>
      </c>
      <c r="K219" s="6" t="s">
        <v>19</v>
      </c>
      <c r="L219" s="10">
        <v>26.565000000000001</v>
      </c>
      <c r="M219" s="6" t="s">
        <v>33</v>
      </c>
      <c r="N219" s="10">
        <f>Tabla3[[#This Row],[Price]]*Tabla3[[#This Row],[QTY Adjusted]]</f>
        <v>212.52</v>
      </c>
      <c r="O219" s="10">
        <v>212.52</v>
      </c>
      <c r="P219" s="23">
        <v>46096</v>
      </c>
      <c r="Q219" s="6">
        <v>0</v>
      </c>
    </row>
    <row r="220" spans="1:17" ht="40.200000000000003" customHeight="1" x14ac:dyDescent="0.3">
      <c r="A220" s="6">
        <v>1370</v>
      </c>
      <c r="B220" s="6" t="s">
        <v>1972</v>
      </c>
      <c r="C220" s="6" t="s">
        <v>237</v>
      </c>
      <c r="D220" s="6" t="s">
        <v>93</v>
      </c>
      <c r="E220" s="6" t="s">
        <v>2392</v>
      </c>
      <c r="F220" s="6" t="s">
        <v>4059</v>
      </c>
      <c r="G220" s="6" t="s">
        <v>341</v>
      </c>
      <c r="H220" s="6" t="s">
        <v>337</v>
      </c>
      <c r="I220" s="6" t="s">
        <v>342</v>
      </c>
      <c r="J220" s="6">
        <v>12</v>
      </c>
      <c r="K220" s="6" t="s">
        <v>19</v>
      </c>
      <c r="L220" s="10">
        <v>16.690000000000001</v>
      </c>
      <c r="M220" s="6" t="s">
        <v>33</v>
      </c>
      <c r="N220" s="10">
        <f>Tabla3[[#This Row],[Price]]*Tabla3[[#This Row],[QTY Adjusted]]</f>
        <v>200.28000000000003</v>
      </c>
      <c r="O220" s="10">
        <v>200.28000000000003</v>
      </c>
      <c r="P220" s="21" t="s">
        <v>4225</v>
      </c>
      <c r="Q220" s="6">
        <v>0</v>
      </c>
    </row>
    <row r="221" spans="1:17" ht="40.200000000000003" customHeight="1" x14ac:dyDescent="0.3">
      <c r="A221" s="6">
        <v>1254</v>
      </c>
      <c r="B221" s="6" t="s">
        <v>1972</v>
      </c>
      <c r="C221" s="6" t="s">
        <v>232</v>
      </c>
      <c r="D221" s="6" t="s">
        <v>1490</v>
      </c>
      <c r="E221" s="6" t="s">
        <v>2186</v>
      </c>
      <c r="F221" s="6" t="s">
        <v>4062</v>
      </c>
      <c r="G221" s="6" t="s">
        <v>2189</v>
      </c>
      <c r="H221" s="6" t="s">
        <v>2190</v>
      </c>
      <c r="I221" s="6" t="s">
        <v>2191</v>
      </c>
      <c r="J221" s="6">
        <v>144</v>
      </c>
      <c r="K221" s="6" t="s">
        <v>19</v>
      </c>
      <c r="L221" s="10">
        <v>1.05</v>
      </c>
      <c r="M221" s="6" t="s">
        <v>33</v>
      </c>
      <c r="N221" s="10">
        <f>Tabla3[[#This Row],[Price]]*Tabla3[[#This Row],[QTY Adjusted]]</f>
        <v>151.20000000000002</v>
      </c>
      <c r="O221" s="15">
        <v>148.32</v>
      </c>
      <c r="P221" s="21" t="s">
        <v>4225</v>
      </c>
      <c r="Q221" s="6">
        <v>0</v>
      </c>
    </row>
    <row r="222" spans="1:17" ht="40.200000000000003" customHeight="1" x14ac:dyDescent="0.3">
      <c r="A222" s="6">
        <v>1364</v>
      </c>
      <c r="B222" s="6" t="s">
        <v>1972</v>
      </c>
      <c r="C222" s="6" t="s">
        <v>321</v>
      </c>
      <c r="D222" s="6" t="s">
        <v>199</v>
      </c>
      <c r="E222" s="6" t="s">
        <v>2392</v>
      </c>
      <c r="F222" s="6" t="s">
        <v>4059</v>
      </c>
      <c r="G222" s="6" t="s">
        <v>322</v>
      </c>
      <c r="H222" s="6" t="s">
        <v>323</v>
      </c>
      <c r="I222" s="6" t="s">
        <v>324</v>
      </c>
      <c r="J222" s="6">
        <v>8</v>
      </c>
      <c r="K222" s="6" t="s">
        <v>19</v>
      </c>
      <c r="L222" s="10">
        <v>20.500824093750008</v>
      </c>
      <c r="M222" s="6" t="s">
        <v>33</v>
      </c>
      <c r="N222" s="10">
        <f>Tabla3[[#This Row],[Price]]*Tabla3[[#This Row],[QTY Adjusted]]</f>
        <v>164.00659275000007</v>
      </c>
      <c r="O222" s="10">
        <v>164.00659275000007</v>
      </c>
      <c r="P222" s="21" t="s">
        <v>4225</v>
      </c>
      <c r="Q222" s="6">
        <v>0</v>
      </c>
    </row>
    <row r="223" spans="1:17" ht="40.200000000000003" customHeight="1" x14ac:dyDescent="0.3">
      <c r="A223" s="6">
        <v>1298</v>
      </c>
      <c r="B223" s="6" t="s">
        <v>1972</v>
      </c>
      <c r="C223" s="6" t="s">
        <v>219</v>
      </c>
      <c r="D223" s="6" t="s">
        <v>44</v>
      </c>
      <c r="E223" s="6" t="s">
        <v>2293</v>
      </c>
      <c r="F223" s="6" t="s">
        <v>4059</v>
      </c>
      <c r="G223" s="6" t="s">
        <v>988</v>
      </c>
      <c r="H223" s="6" t="s">
        <v>987</v>
      </c>
      <c r="I223" s="6" t="s">
        <v>989</v>
      </c>
      <c r="J223" s="6">
        <v>8</v>
      </c>
      <c r="K223" s="6" t="s">
        <v>19</v>
      </c>
      <c r="L223" s="10">
        <v>19.026</v>
      </c>
      <c r="M223" s="6" t="s">
        <v>33</v>
      </c>
      <c r="N223" s="10">
        <f>Tabla3[[#This Row],[Price]]*Tabla3[[#This Row],[QTY Adjusted]]</f>
        <v>152.208</v>
      </c>
      <c r="O223" s="10">
        <v>152.208</v>
      </c>
      <c r="P223" s="23">
        <v>46096</v>
      </c>
      <c r="Q223" s="6">
        <v>0</v>
      </c>
    </row>
    <row r="224" spans="1:17" ht="40.200000000000003" customHeight="1" x14ac:dyDescent="0.3">
      <c r="A224" s="6">
        <v>1375</v>
      </c>
      <c r="B224" s="6" t="s">
        <v>1972</v>
      </c>
      <c r="C224" s="6" t="s">
        <v>272</v>
      </c>
      <c r="D224" s="6" t="str">
        <f>Tabla3[[#This Row],[Vendor]]</f>
        <v>Spill-Stop</v>
      </c>
      <c r="E224" s="6" t="s">
        <v>2392</v>
      </c>
      <c r="F224" s="6" t="s">
        <v>4059</v>
      </c>
      <c r="G224" s="6" t="s">
        <v>355</v>
      </c>
      <c r="H224" s="6" t="s">
        <v>347</v>
      </c>
      <c r="I224" s="6" t="s">
        <v>356</v>
      </c>
      <c r="J224" s="6">
        <v>16</v>
      </c>
      <c r="K224" s="6" t="s">
        <v>19</v>
      </c>
      <c r="L224" s="10">
        <v>9.08</v>
      </c>
      <c r="M224" s="6" t="s">
        <v>33</v>
      </c>
      <c r="N224" s="10">
        <f>Tabla3[[#This Row],[Price]]*Tabla3[[#This Row],[QTY Adjusted]]</f>
        <v>145.28</v>
      </c>
      <c r="O224" s="10">
        <v>145.28</v>
      </c>
      <c r="P224" s="21" t="s">
        <v>4230</v>
      </c>
      <c r="Q224" s="6">
        <v>0</v>
      </c>
    </row>
    <row r="225" spans="1:17" ht="40.200000000000003" customHeight="1" x14ac:dyDescent="0.3">
      <c r="A225" s="6">
        <v>1368</v>
      </c>
      <c r="B225" s="6" t="s">
        <v>1972</v>
      </c>
      <c r="C225" s="6" t="s">
        <v>237</v>
      </c>
      <c r="D225" s="6" t="s">
        <v>93</v>
      </c>
      <c r="E225" s="6" t="s">
        <v>2392</v>
      </c>
      <c r="F225" s="6" t="s">
        <v>4059</v>
      </c>
      <c r="G225" s="6" t="s">
        <v>336</v>
      </c>
      <c r="H225" s="6" t="s">
        <v>337</v>
      </c>
      <c r="I225" s="6" t="s">
        <v>338</v>
      </c>
      <c r="J225" s="6">
        <v>12</v>
      </c>
      <c r="K225" s="6" t="s">
        <v>19</v>
      </c>
      <c r="L225" s="10">
        <v>11.86</v>
      </c>
      <c r="M225" s="6" t="s">
        <v>33</v>
      </c>
      <c r="N225" s="10">
        <f>Tabla3[[#This Row],[Price]]*Tabla3[[#This Row],[QTY Adjusted]]</f>
        <v>142.32</v>
      </c>
      <c r="O225" s="10">
        <v>142.32</v>
      </c>
      <c r="P225" s="21" t="s">
        <v>4225</v>
      </c>
      <c r="Q225" s="6">
        <v>0</v>
      </c>
    </row>
    <row r="226" spans="1:17" ht="40.200000000000003" customHeight="1" x14ac:dyDescent="0.3">
      <c r="A226" s="6">
        <v>1350</v>
      </c>
      <c r="B226" s="6" t="s">
        <v>1972</v>
      </c>
      <c r="C226" s="6" t="s">
        <v>228</v>
      </c>
      <c r="D226" s="6" t="s">
        <v>44</v>
      </c>
      <c r="E226" s="6" t="s">
        <v>2392</v>
      </c>
      <c r="F226" s="6" t="s">
        <v>4059</v>
      </c>
      <c r="G226" s="6" t="s">
        <v>751</v>
      </c>
      <c r="H226" s="6" t="s">
        <v>277</v>
      </c>
      <c r="I226" s="6" t="s">
        <v>752</v>
      </c>
      <c r="J226" s="6">
        <v>12</v>
      </c>
      <c r="K226" s="6" t="s">
        <v>19</v>
      </c>
      <c r="L226" s="10">
        <v>10.59</v>
      </c>
      <c r="M226" s="6" t="s">
        <v>33</v>
      </c>
      <c r="N226" s="10">
        <f>Tabla3[[#This Row],[Price]]*Tabla3[[#This Row],[QTY Adjusted]]</f>
        <v>127.08</v>
      </c>
      <c r="O226" s="10">
        <v>127.08</v>
      </c>
      <c r="P226" s="21" t="s">
        <v>4228</v>
      </c>
      <c r="Q226" s="6" t="s">
        <v>4246</v>
      </c>
    </row>
    <row r="227" spans="1:17" ht="40.200000000000003" customHeight="1" x14ac:dyDescent="0.3">
      <c r="A227" s="6">
        <v>1356</v>
      </c>
      <c r="B227" s="6" t="s">
        <v>1972</v>
      </c>
      <c r="C227" s="6" t="s">
        <v>228</v>
      </c>
      <c r="D227" s="6" t="s">
        <v>44</v>
      </c>
      <c r="E227" s="6" t="s">
        <v>2392</v>
      </c>
      <c r="F227" s="6" t="s">
        <v>4059</v>
      </c>
      <c r="G227" s="6" t="s">
        <v>764</v>
      </c>
      <c r="H227" s="6" t="s">
        <v>295</v>
      </c>
      <c r="I227" s="6" t="s">
        <v>765</v>
      </c>
      <c r="J227" s="6">
        <v>16</v>
      </c>
      <c r="K227" s="6" t="s">
        <v>19</v>
      </c>
      <c r="L227" s="10">
        <v>7.9</v>
      </c>
      <c r="M227" s="6" t="s">
        <v>33</v>
      </c>
      <c r="N227" s="10">
        <f>Tabla3[[#This Row],[Price]]*Tabla3[[#This Row],[QTY Adjusted]]</f>
        <v>126.4</v>
      </c>
      <c r="O227" s="10">
        <v>126.4</v>
      </c>
      <c r="P227" s="23" t="s">
        <v>4225</v>
      </c>
      <c r="Q227" s="6">
        <v>0</v>
      </c>
    </row>
    <row r="228" spans="1:17" ht="40.200000000000003" customHeight="1" x14ac:dyDescent="0.3">
      <c r="A228" s="6">
        <v>1349</v>
      </c>
      <c r="B228" s="6" t="s">
        <v>1972</v>
      </c>
      <c r="C228" s="6" t="s">
        <v>272</v>
      </c>
      <c r="D228" s="6" t="str">
        <f>Tabla3[[#This Row],[Vendor]]</f>
        <v>Spill-Stop</v>
      </c>
      <c r="E228" s="6" t="s">
        <v>2392</v>
      </c>
      <c r="F228" s="6" t="s">
        <v>4059</v>
      </c>
      <c r="G228" s="6" t="s">
        <v>273</v>
      </c>
      <c r="H228" s="6" t="s">
        <v>274</v>
      </c>
      <c r="I228" s="6" t="s">
        <v>275</v>
      </c>
      <c r="J228" s="6">
        <v>4</v>
      </c>
      <c r="K228" s="6" t="s">
        <v>748</v>
      </c>
      <c r="L228" s="10">
        <v>28.8</v>
      </c>
      <c r="M228" s="6" t="s">
        <v>33</v>
      </c>
      <c r="N228" s="10">
        <f>Tabla3[[#This Row],[Price]]*Tabla3[[#This Row],[QTY Adjusted]]</f>
        <v>115.2</v>
      </c>
      <c r="O228" s="10">
        <v>115.2</v>
      </c>
      <c r="P228" s="21" t="s">
        <v>4230</v>
      </c>
      <c r="Q228" s="6">
        <v>0</v>
      </c>
    </row>
    <row r="229" spans="1:17" ht="40.200000000000003" customHeight="1" x14ac:dyDescent="0.3">
      <c r="A229" s="6">
        <v>1348</v>
      </c>
      <c r="B229" s="6" t="s">
        <v>1972</v>
      </c>
      <c r="C229" s="6" t="s">
        <v>228</v>
      </c>
      <c r="D229" s="6" t="s">
        <v>44</v>
      </c>
      <c r="E229" s="6" t="s">
        <v>2392</v>
      </c>
      <c r="F229" s="6" t="s">
        <v>4059</v>
      </c>
      <c r="G229" s="6" t="s">
        <v>749</v>
      </c>
      <c r="H229" s="6" t="s">
        <v>268</v>
      </c>
      <c r="I229" s="6" t="s">
        <v>750</v>
      </c>
      <c r="J229" s="6">
        <v>36</v>
      </c>
      <c r="K229" s="6" t="s">
        <v>19</v>
      </c>
      <c r="L229" s="10">
        <v>2.93</v>
      </c>
      <c r="M229" s="6" t="s">
        <v>33</v>
      </c>
      <c r="N229" s="10">
        <f>Tabla3[[#This Row],[Price]]*Tabla3[[#This Row],[QTY Adjusted]]</f>
        <v>105.48</v>
      </c>
      <c r="O229" s="10">
        <v>105.48</v>
      </c>
      <c r="P229" s="23" t="s">
        <v>4225</v>
      </c>
      <c r="Q229" s="6">
        <v>0</v>
      </c>
    </row>
    <row r="230" spans="1:17" ht="40.200000000000003" customHeight="1" x14ac:dyDescent="0.3">
      <c r="A230" s="6">
        <v>1351</v>
      </c>
      <c r="B230" s="6" t="s">
        <v>1972</v>
      </c>
      <c r="C230" s="6" t="s">
        <v>228</v>
      </c>
      <c r="D230" s="6" t="s">
        <v>44</v>
      </c>
      <c r="E230" s="6" t="s">
        <v>2392</v>
      </c>
      <c r="F230" s="6" t="s">
        <v>4059</v>
      </c>
      <c r="G230" s="6" t="s">
        <v>753</v>
      </c>
      <c r="H230" s="6" t="s">
        <v>280</v>
      </c>
      <c r="I230" s="6" t="s">
        <v>754</v>
      </c>
      <c r="J230" s="6">
        <v>8</v>
      </c>
      <c r="K230" s="6" t="s">
        <v>19</v>
      </c>
      <c r="L230" s="10">
        <v>12.98</v>
      </c>
      <c r="M230" s="6" t="s">
        <v>33</v>
      </c>
      <c r="N230" s="10">
        <f>Tabla3[[#This Row],[Price]]*Tabla3[[#This Row],[QTY Adjusted]]</f>
        <v>103.84</v>
      </c>
      <c r="O230" s="10">
        <v>103.84</v>
      </c>
      <c r="P230" s="23" t="s">
        <v>4225</v>
      </c>
      <c r="Q230" s="6">
        <v>0</v>
      </c>
    </row>
    <row r="231" spans="1:17" ht="40.200000000000003" customHeight="1" x14ac:dyDescent="0.3">
      <c r="A231" s="6">
        <v>1371</v>
      </c>
      <c r="B231" s="6" t="s">
        <v>1972</v>
      </c>
      <c r="C231" s="6" t="s">
        <v>321</v>
      </c>
      <c r="D231" s="6" t="s">
        <v>199</v>
      </c>
      <c r="E231" s="6" t="s">
        <v>2392</v>
      </c>
      <c r="F231" s="6" t="s">
        <v>4059</v>
      </c>
      <c r="G231" s="6" t="s">
        <v>343</v>
      </c>
      <c r="H231" s="6" t="s">
        <v>344</v>
      </c>
      <c r="I231" s="6" t="s">
        <v>345</v>
      </c>
      <c r="J231" s="6">
        <v>4</v>
      </c>
      <c r="K231" s="6" t="s">
        <v>19</v>
      </c>
      <c r="L231" s="10">
        <v>24.180459187500002</v>
      </c>
      <c r="M231" s="6" t="s">
        <v>33</v>
      </c>
      <c r="N231" s="10">
        <f>Tabla3[[#This Row],[Price]]*Tabla3[[#This Row],[QTY Adjusted]]</f>
        <v>96.721836750000008</v>
      </c>
      <c r="O231" s="10">
        <v>96.721836750000008</v>
      </c>
      <c r="P231" s="21" t="s">
        <v>4225</v>
      </c>
      <c r="Q231" s="6">
        <v>0</v>
      </c>
    </row>
    <row r="232" spans="1:17" ht="40.200000000000003" customHeight="1" x14ac:dyDescent="0.3">
      <c r="A232" s="6">
        <v>1316</v>
      </c>
      <c r="B232" s="6" t="s">
        <v>1972</v>
      </c>
      <c r="C232" s="6" t="s">
        <v>2330</v>
      </c>
      <c r="D232" s="6" t="s">
        <v>44</v>
      </c>
      <c r="E232" s="6" t="s">
        <v>2306</v>
      </c>
      <c r="F232" s="6" t="s">
        <v>4065</v>
      </c>
      <c r="G232" s="6">
        <v>1867505</v>
      </c>
      <c r="H232" s="6" t="s">
        <v>2331</v>
      </c>
      <c r="I232" s="6" t="s">
        <v>2332</v>
      </c>
      <c r="J232" s="6">
        <v>8</v>
      </c>
      <c r="K232" s="6" t="s">
        <v>19</v>
      </c>
      <c r="L232" s="10">
        <v>11.67</v>
      </c>
      <c r="M232" s="6" t="s">
        <v>33</v>
      </c>
      <c r="N232" s="10">
        <f>Tabla3[[#This Row],[Price]]*Tabla3[[#This Row],[QTY Adjusted]]</f>
        <v>93.36</v>
      </c>
      <c r="O232" s="10">
        <v>93.36</v>
      </c>
      <c r="P232" s="21" t="s">
        <v>4225</v>
      </c>
      <c r="Q232" s="6">
        <v>0</v>
      </c>
    </row>
    <row r="233" spans="1:17" ht="40.200000000000003" customHeight="1" x14ac:dyDescent="0.3">
      <c r="A233" s="6">
        <v>1384</v>
      </c>
      <c r="B233" s="6" t="s">
        <v>1972</v>
      </c>
      <c r="C233" s="6" t="s">
        <v>329</v>
      </c>
      <c r="D233" s="6" t="s">
        <v>199</v>
      </c>
      <c r="E233" s="6" t="s">
        <v>2392</v>
      </c>
      <c r="F233" s="6" t="s">
        <v>4059</v>
      </c>
      <c r="G233" s="6" t="s">
        <v>382</v>
      </c>
      <c r="H233" s="6" t="s">
        <v>383</v>
      </c>
      <c r="I233" s="6" t="s">
        <v>384</v>
      </c>
      <c r="J233" s="6">
        <v>4</v>
      </c>
      <c r="K233" s="6" t="s">
        <v>19</v>
      </c>
      <c r="L233" s="10">
        <v>22.307670000000002</v>
      </c>
      <c r="M233" s="6" t="s">
        <v>33</v>
      </c>
      <c r="N233" s="10">
        <f>Tabla3[[#This Row],[Price]]*Tabla3[[#This Row],[QTY Adjusted]]</f>
        <v>89.230680000000007</v>
      </c>
      <c r="O233" s="10">
        <v>89.230680000000007</v>
      </c>
      <c r="P233" s="21" t="s">
        <v>4225</v>
      </c>
      <c r="Q233" s="6">
        <v>0</v>
      </c>
    </row>
    <row r="234" spans="1:17" ht="40.200000000000003" customHeight="1" x14ac:dyDescent="0.3">
      <c r="A234" s="6">
        <v>1378</v>
      </c>
      <c r="B234" s="6" t="s">
        <v>1972</v>
      </c>
      <c r="C234" s="6" t="s">
        <v>329</v>
      </c>
      <c r="D234" s="6" t="s">
        <v>199</v>
      </c>
      <c r="E234" s="6" t="s">
        <v>2392</v>
      </c>
      <c r="F234" s="6" t="s">
        <v>4059</v>
      </c>
      <c r="G234" s="6" t="s">
        <v>366</v>
      </c>
      <c r="H234" s="6" t="s">
        <v>367</v>
      </c>
      <c r="I234" s="6" t="s">
        <v>368</v>
      </c>
      <c r="J234" s="6">
        <v>12</v>
      </c>
      <c r="K234" s="6" t="s">
        <v>19</v>
      </c>
      <c r="L234" s="10">
        <v>7.3993499999999992</v>
      </c>
      <c r="M234" s="6" t="s">
        <v>33</v>
      </c>
      <c r="N234" s="10">
        <f>Tabla3[[#This Row],[Price]]*Tabla3[[#This Row],[QTY Adjusted]]</f>
        <v>88.792199999999994</v>
      </c>
      <c r="O234" s="10">
        <v>88.792199999999994</v>
      </c>
      <c r="P234" s="21" t="s">
        <v>4225</v>
      </c>
      <c r="Q234" s="6">
        <v>0</v>
      </c>
    </row>
    <row r="235" spans="1:17" ht="40.200000000000003" customHeight="1" x14ac:dyDescent="0.3">
      <c r="A235" s="6">
        <v>1373</v>
      </c>
      <c r="B235" s="6" t="s">
        <v>1972</v>
      </c>
      <c r="C235" s="6" t="s">
        <v>228</v>
      </c>
      <c r="D235" s="6" t="s">
        <v>44</v>
      </c>
      <c r="E235" s="6" t="s">
        <v>2392</v>
      </c>
      <c r="F235" s="6" t="s">
        <v>4059</v>
      </c>
      <c r="G235" s="6" t="s">
        <v>349</v>
      </c>
      <c r="H235" s="6" t="s">
        <v>350</v>
      </c>
      <c r="I235" s="6" t="s">
        <v>351</v>
      </c>
      <c r="J235" s="6">
        <v>8</v>
      </c>
      <c r="K235" s="6" t="s">
        <v>19</v>
      </c>
      <c r="L235" s="10">
        <v>9.8800000000000008</v>
      </c>
      <c r="M235" s="6" t="s">
        <v>33</v>
      </c>
      <c r="N235" s="10">
        <f>Tabla3[[#This Row],[Price]]*Tabla3[[#This Row],[QTY Adjusted]]</f>
        <v>79.040000000000006</v>
      </c>
      <c r="O235" s="10">
        <v>79.040000000000006</v>
      </c>
      <c r="P235" s="21" t="s">
        <v>4218</v>
      </c>
      <c r="Q235" s="6" t="s">
        <v>4245</v>
      </c>
    </row>
    <row r="236" spans="1:17" ht="40.200000000000003" customHeight="1" x14ac:dyDescent="0.3">
      <c r="A236" s="6">
        <v>1352</v>
      </c>
      <c r="B236" s="6" t="s">
        <v>1972</v>
      </c>
      <c r="C236" s="6" t="s">
        <v>228</v>
      </c>
      <c r="D236" s="6" t="s">
        <v>44</v>
      </c>
      <c r="E236" s="6" t="s">
        <v>2392</v>
      </c>
      <c r="F236" s="6" t="s">
        <v>4059</v>
      </c>
      <c r="G236" s="6" t="s">
        <v>755</v>
      </c>
      <c r="H236" s="6" t="s">
        <v>756</v>
      </c>
      <c r="I236" s="6" t="s">
        <v>757</v>
      </c>
      <c r="J236" s="6">
        <v>8</v>
      </c>
      <c r="K236" s="6" t="s">
        <v>19</v>
      </c>
      <c r="L236" s="10">
        <v>9.48</v>
      </c>
      <c r="M236" s="6" t="s">
        <v>33</v>
      </c>
      <c r="N236" s="10">
        <f>Tabla3[[#This Row],[Price]]*Tabla3[[#This Row],[QTY Adjusted]]</f>
        <v>75.84</v>
      </c>
      <c r="O236" s="10">
        <v>75.84</v>
      </c>
      <c r="P236" s="23" t="s">
        <v>4225</v>
      </c>
      <c r="Q236" s="6">
        <v>0</v>
      </c>
    </row>
    <row r="237" spans="1:17" ht="40.200000000000003" customHeight="1" x14ac:dyDescent="0.3">
      <c r="A237" s="6">
        <v>1382</v>
      </c>
      <c r="B237" s="6" t="s">
        <v>1972</v>
      </c>
      <c r="C237" s="6" t="s">
        <v>92</v>
      </c>
      <c r="D237" s="6" t="s">
        <v>93</v>
      </c>
      <c r="E237" s="6" t="s">
        <v>2392</v>
      </c>
      <c r="F237" s="6" t="s">
        <v>4059</v>
      </c>
      <c r="G237" s="6" t="s">
        <v>377</v>
      </c>
      <c r="H237" s="6" t="s">
        <v>373</v>
      </c>
      <c r="I237" s="6" t="s">
        <v>378</v>
      </c>
      <c r="J237" s="6">
        <v>8</v>
      </c>
      <c r="K237" s="6" t="s">
        <v>19</v>
      </c>
      <c r="L237" s="10">
        <v>9.2200000000000006</v>
      </c>
      <c r="M237" s="6" t="s">
        <v>33</v>
      </c>
      <c r="N237" s="10">
        <f>Tabla3[[#This Row],[Price]]*Tabla3[[#This Row],[QTY Adjusted]]</f>
        <v>73.760000000000005</v>
      </c>
      <c r="O237" s="10">
        <v>73.760000000000005</v>
      </c>
      <c r="P237" s="21" t="s">
        <v>4228</v>
      </c>
      <c r="Q237" s="6" t="s">
        <v>4245</v>
      </c>
    </row>
    <row r="238" spans="1:17" ht="40.200000000000003" customHeight="1" x14ac:dyDescent="0.3">
      <c r="A238" s="6">
        <v>1357</v>
      </c>
      <c r="B238" s="6" t="s">
        <v>1972</v>
      </c>
      <c r="C238" s="6" t="s">
        <v>228</v>
      </c>
      <c r="D238" s="6" t="s">
        <v>44</v>
      </c>
      <c r="E238" s="6" t="s">
        <v>2392</v>
      </c>
      <c r="F238" s="6" t="s">
        <v>4059</v>
      </c>
      <c r="G238" s="6" t="s">
        <v>297</v>
      </c>
      <c r="H238" s="6" t="s">
        <v>298</v>
      </c>
      <c r="I238" s="6" t="s">
        <v>299</v>
      </c>
      <c r="J238" s="6">
        <v>8</v>
      </c>
      <c r="K238" s="6" t="s">
        <v>19</v>
      </c>
      <c r="L238" s="10">
        <v>9.07</v>
      </c>
      <c r="M238" s="6" t="s">
        <v>33</v>
      </c>
      <c r="N238" s="10">
        <f>Tabla3[[#This Row],[Price]]*Tabla3[[#This Row],[QTY Adjusted]]</f>
        <v>72.56</v>
      </c>
      <c r="O238" s="10">
        <v>72.56</v>
      </c>
      <c r="P238" s="23" t="s">
        <v>4225</v>
      </c>
      <c r="Q238" s="6">
        <v>0</v>
      </c>
    </row>
    <row r="239" spans="1:17" ht="40.200000000000003" customHeight="1" x14ac:dyDescent="0.3">
      <c r="A239" s="6">
        <v>1335</v>
      </c>
      <c r="B239" s="6" t="s">
        <v>1972</v>
      </c>
      <c r="C239" s="6" t="s">
        <v>228</v>
      </c>
      <c r="D239" s="6" t="s">
        <v>44</v>
      </c>
      <c r="E239" s="6" t="s">
        <v>2392</v>
      </c>
      <c r="F239" s="6" t="s">
        <v>4059</v>
      </c>
      <c r="G239" s="6" t="s">
        <v>229</v>
      </c>
      <c r="H239" s="6" t="s">
        <v>230</v>
      </c>
      <c r="I239" s="6" t="s">
        <v>231</v>
      </c>
      <c r="J239" s="6">
        <v>8</v>
      </c>
      <c r="K239" s="6" t="s">
        <v>19</v>
      </c>
      <c r="L239" s="10">
        <v>8.9600000000000009</v>
      </c>
      <c r="M239" s="6" t="s">
        <v>33</v>
      </c>
      <c r="N239" s="10">
        <f>Tabla3[[#This Row],[Price]]*Tabla3[[#This Row],[QTY Adjusted]]</f>
        <v>71.680000000000007</v>
      </c>
      <c r="O239" s="10">
        <v>71.680000000000007</v>
      </c>
      <c r="P239" s="23" t="s">
        <v>4225</v>
      </c>
      <c r="Q239" s="6">
        <v>0</v>
      </c>
    </row>
    <row r="240" spans="1:17" ht="40.200000000000003" customHeight="1" x14ac:dyDescent="0.3">
      <c r="A240" s="6">
        <v>1353</v>
      </c>
      <c r="B240" s="6" t="s">
        <v>1972</v>
      </c>
      <c r="C240" s="6" t="s">
        <v>228</v>
      </c>
      <c r="D240" s="6" t="s">
        <v>44</v>
      </c>
      <c r="E240" s="6" t="s">
        <v>2392</v>
      </c>
      <c r="F240" s="6" t="s">
        <v>4059</v>
      </c>
      <c r="G240" s="6" t="s">
        <v>758</v>
      </c>
      <c r="H240" s="6" t="s">
        <v>286</v>
      </c>
      <c r="I240" s="6" t="s">
        <v>759</v>
      </c>
      <c r="J240" s="6">
        <v>8</v>
      </c>
      <c r="K240" s="6" t="s">
        <v>19</v>
      </c>
      <c r="L240" s="10">
        <v>8.5399999999999991</v>
      </c>
      <c r="M240" s="6" t="s">
        <v>33</v>
      </c>
      <c r="N240" s="10">
        <f>Tabla3[[#This Row],[Price]]*Tabla3[[#This Row],[QTY Adjusted]]</f>
        <v>68.319999999999993</v>
      </c>
      <c r="O240" s="10">
        <v>68.319999999999993</v>
      </c>
      <c r="P240" s="21" t="s">
        <v>4228</v>
      </c>
      <c r="Q240" s="6" t="s">
        <v>4245</v>
      </c>
    </row>
    <row r="241" spans="1:17" ht="40.200000000000003" customHeight="1" x14ac:dyDescent="0.3">
      <c r="A241" s="6">
        <v>1355</v>
      </c>
      <c r="B241" s="6" t="s">
        <v>1972</v>
      </c>
      <c r="C241" s="6" t="s">
        <v>228</v>
      </c>
      <c r="D241" s="6" t="s">
        <v>44</v>
      </c>
      <c r="E241" s="6" t="s">
        <v>2392</v>
      </c>
      <c r="F241" s="6" t="s">
        <v>4059</v>
      </c>
      <c r="G241" s="6" t="s">
        <v>762</v>
      </c>
      <c r="H241" s="6" t="s">
        <v>292</v>
      </c>
      <c r="I241" s="6" t="s">
        <v>763</v>
      </c>
      <c r="J241" s="6">
        <v>8</v>
      </c>
      <c r="K241" s="6" t="s">
        <v>19</v>
      </c>
      <c r="L241" s="10">
        <v>8.5</v>
      </c>
      <c r="M241" s="6" t="s">
        <v>33</v>
      </c>
      <c r="N241" s="10">
        <f>Tabla3[[#This Row],[Price]]*Tabla3[[#This Row],[QTY Adjusted]]</f>
        <v>68</v>
      </c>
      <c r="O241" s="10">
        <v>68</v>
      </c>
      <c r="P241" s="23" t="s">
        <v>4225</v>
      </c>
      <c r="Q241" s="6">
        <v>0</v>
      </c>
    </row>
    <row r="242" spans="1:17" ht="40.200000000000003" customHeight="1" x14ac:dyDescent="0.3">
      <c r="A242" s="6">
        <v>1358</v>
      </c>
      <c r="B242" s="6" t="s">
        <v>1972</v>
      </c>
      <c r="C242" s="6" t="s">
        <v>228</v>
      </c>
      <c r="D242" s="6" t="s">
        <v>44</v>
      </c>
      <c r="E242" s="6" t="s">
        <v>2392</v>
      </c>
      <c r="F242" s="6" t="s">
        <v>4059</v>
      </c>
      <c r="G242" s="6" t="s">
        <v>300</v>
      </c>
      <c r="H242" s="6" t="s">
        <v>301</v>
      </c>
      <c r="I242" s="6" t="s">
        <v>302</v>
      </c>
      <c r="J242" s="6">
        <v>16</v>
      </c>
      <c r="K242" s="6" t="s">
        <v>19</v>
      </c>
      <c r="L242" s="10">
        <v>3.99</v>
      </c>
      <c r="M242" s="6" t="s">
        <v>33</v>
      </c>
      <c r="N242" s="10">
        <f>Tabla3[[#This Row],[Price]]*Tabla3[[#This Row],[QTY Adjusted]]</f>
        <v>63.84</v>
      </c>
      <c r="O242" s="10">
        <v>63.84</v>
      </c>
      <c r="P242" s="23" t="s">
        <v>4225</v>
      </c>
      <c r="Q242" s="6">
        <v>0</v>
      </c>
    </row>
    <row r="243" spans="1:17" ht="40.200000000000003" customHeight="1" x14ac:dyDescent="0.3">
      <c r="A243" s="6">
        <v>1354</v>
      </c>
      <c r="B243" s="6" t="s">
        <v>1972</v>
      </c>
      <c r="C243" s="6" t="s">
        <v>228</v>
      </c>
      <c r="D243" s="6" t="s">
        <v>44</v>
      </c>
      <c r="E243" s="6" t="s">
        <v>2392</v>
      </c>
      <c r="F243" s="6" t="s">
        <v>4059</v>
      </c>
      <c r="G243" s="6" t="s">
        <v>760</v>
      </c>
      <c r="H243" s="6" t="s">
        <v>289</v>
      </c>
      <c r="I243" s="6" t="s">
        <v>761</v>
      </c>
      <c r="J243" s="6">
        <v>8</v>
      </c>
      <c r="K243" s="6" t="s">
        <v>19</v>
      </c>
      <c r="L243" s="10">
        <v>7.62</v>
      </c>
      <c r="M243" s="6" t="s">
        <v>33</v>
      </c>
      <c r="N243" s="10">
        <f>Tabla3[[#This Row],[Price]]*Tabla3[[#This Row],[QTY Adjusted]]</f>
        <v>60.96</v>
      </c>
      <c r="O243" s="10">
        <v>60.96</v>
      </c>
      <c r="P243" s="23" t="s">
        <v>4225</v>
      </c>
      <c r="Q243" s="6">
        <v>0</v>
      </c>
    </row>
    <row r="244" spans="1:17" ht="40.200000000000003" customHeight="1" x14ac:dyDescent="0.3">
      <c r="A244" s="6">
        <v>1374</v>
      </c>
      <c r="B244" s="6" t="s">
        <v>1972</v>
      </c>
      <c r="C244" s="6" t="s">
        <v>329</v>
      </c>
      <c r="D244" s="6" t="s">
        <v>199</v>
      </c>
      <c r="E244" s="6" t="s">
        <v>2392</v>
      </c>
      <c r="F244" s="6" t="s">
        <v>4059</v>
      </c>
      <c r="G244" s="6" t="s">
        <v>352</v>
      </c>
      <c r="H244" s="6" t="s">
        <v>353</v>
      </c>
      <c r="I244" s="6" t="s">
        <v>354</v>
      </c>
      <c r="J244" s="6">
        <v>4</v>
      </c>
      <c r="K244" s="6" t="s">
        <v>19</v>
      </c>
      <c r="L244" s="10">
        <v>14.935724999999998</v>
      </c>
      <c r="M244" s="6" t="s">
        <v>33</v>
      </c>
      <c r="N244" s="10">
        <f>Tabla3[[#This Row],[Price]]*Tabla3[[#This Row],[QTY Adjusted]]</f>
        <v>59.742899999999992</v>
      </c>
      <c r="O244" s="10">
        <v>59.742899999999992</v>
      </c>
      <c r="P244" s="21" t="s">
        <v>4225</v>
      </c>
      <c r="Q244" s="6">
        <v>0</v>
      </c>
    </row>
    <row r="245" spans="1:17" ht="40.200000000000003" customHeight="1" x14ac:dyDescent="0.3">
      <c r="A245" s="6">
        <v>1338</v>
      </c>
      <c r="B245" s="6" t="s">
        <v>1972</v>
      </c>
      <c r="C245" s="6" t="s">
        <v>329</v>
      </c>
      <c r="D245" s="6" t="s">
        <v>199</v>
      </c>
      <c r="E245" s="6" t="s">
        <v>2392</v>
      </c>
      <c r="F245" s="6" t="s">
        <v>4059</v>
      </c>
      <c r="G245" s="6" t="s">
        <v>2395</v>
      </c>
      <c r="H245" s="6" t="s">
        <v>746</v>
      </c>
      <c r="I245" s="6" t="s">
        <v>2396</v>
      </c>
      <c r="J245" s="6">
        <v>4</v>
      </c>
      <c r="K245" s="6" t="s">
        <v>19</v>
      </c>
      <c r="L245" s="10">
        <v>14.003954999999999</v>
      </c>
      <c r="M245" s="6" t="s">
        <v>33</v>
      </c>
      <c r="N245" s="10">
        <f>Tabla3[[#This Row],[Price]]*Tabla3[[#This Row],[QTY Adjusted]]</f>
        <v>56.015819999999998</v>
      </c>
      <c r="O245" s="10">
        <v>56.015819999999998</v>
      </c>
      <c r="P245" s="21" t="s">
        <v>4225</v>
      </c>
      <c r="Q245" s="6">
        <v>0</v>
      </c>
    </row>
    <row r="246" spans="1:17" ht="40.200000000000003" customHeight="1" x14ac:dyDescent="0.3">
      <c r="A246" s="6">
        <v>1380</v>
      </c>
      <c r="B246" s="6" t="s">
        <v>1972</v>
      </c>
      <c r="C246" s="6" t="s">
        <v>371</v>
      </c>
      <c r="D246" s="6" t="str">
        <f>Tabla3[[#This Row],[Vendor]]</f>
        <v>Franmara</v>
      </c>
      <c r="E246" s="6" t="s">
        <v>2392</v>
      </c>
      <c r="F246" s="6" t="s">
        <v>4059</v>
      </c>
      <c r="G246" s="6" t="s">
        <v>372</v>
      </c>
      <c r="H246" s="6" t="s">
        <v>373</v>
      </c>
      <c r="I246" s="6" t="s">
        <v>374</v>
      </c>
      <c r="J246" s="6">
        <v>8</v>
      </c>
      <c r="K246" s="6" t="s">
        <v>19</v>
      </c>
      <c r="L246" s="10">
        <v>6.5</v>
      </c>
      <c r="M246" s="6" t="s">
        <v>33</v>
      </c>
      <c r="N246" s="10">
        <f>Tabla3[[#This Row],[Price]]*Tabla3[[#This Row],[QTY Adjusted]]</f>
        <v>52</v>
      </c>
      <c r="O246" s="10">
        <v>52</v>
      </c>
      <c r="P246" s="21" t="s">
        <v>4230</v>
      </c>
      <c r="Q246" s="6">
        <v>0</v>
      </c>
    </row>
    <row r="247" spans="1:17" ht="40.200000000000003" customHeight="1" x14ac:dyDescent="0.3">
      <c r="A247" s="6">
        <v>1376</v>
      </c>
      <c r="B247" s="6" t="s">
        <v>1972</v>
      </c>
      <c r="C247" s="6" t="s">
        <v>357</v>
      </c>
      <c r="D247" s="6" t="s">
        <v>93</v>
      </c>
      <c r="E247" s="6" t="s">
        <v>2392</v>
      </c>
      <c r="F247" s="6" t="s">
        <v>4059</v>
      </c>
      <c r="G247" s="6" t="s">
        <v>358</v>
      </c>
      <c r="H247" s="6" t="s">
        <v>359</v>
      </c>
      <c r="I247" s="6" t="s">
        <v>360</v>
      </c>
      <c r="J247" s="6">
        <v>4</v>
      </c>
      <c r="K247" s="6" t="s">
        <v>19</v>
      </c>
      <c r="L247" s="10">
        <v>9.5299999999999994</v>
      </c>
      <c r="M247" s="6" t="s">
        <v>33</v>
      </c>
      <c r="N247" s="10">
        <f>Tabla3[[#This Row],[Price]]*Tabla3[[#This Row],[QTY Adjusted]]</f>
        <v>38.119999999999997</v>
      </c>
      <c r="O247" s="10">
        <v>38.119999999999997</v>
      </c>
      <c r="P247" s="21" t="s">
        <v>4225</v>
      </c>
      <c r="Q247" s="6">
        <v>0</v>
      </c>
    </row>
    <row r="248" spans="1:17" ht="40.200000000000003" customHeight="1" x14ac:dyDescent="0.3">
      <c r="A248" s="6">
        <v>1336</v>
      </c>
      <c r="B248" s="6" t="s">
        <v>1972</v>
      </c>
      <c r="C248" s="6" t="s">
        <v>232</v>
      </c>
      <c r="D248" s="6" t="s">
        <v>233</v>
      </c>
      <c r="E248" s="6" t="s">
        <v>2392</v>
      </c>
      <c r="F248" s="6" t="s">
        <v>4059</v>
      </c>
      <c r="G248" s="6" t="s">
        <v>234</v>
      </c>
      <c r="H248" s="6" t="s">
        <v>742</v>
      </c>
      <c r="I248" s="6" t="s">
        <v>236</v>
      </c>
      <c r="J248" s="6">
        <v>8</v>
      </c>
      <c r="K248" s="6" t="s">
        <v>19</v>
      </c>
      <c r="L248" s="10">
        <v>4.71</v>
      </c>
      <c r="M248" s="6" t="s">
        <v>33</v>
      </c>
      <c r="N248" s="10">
        <f>Tabla3[[#This Row],[Price]]*Tabla3[[#This Row],[QTY Adjusted]]</f>
        <v>37.68</v>
      </c>
      <c r="O248" s="10">
        <v>37.68</v>
      </c>
      <c r="P248" s="21" t="s">
        <v>4239</v>
      </c>
      <c r="Q248" s="6">
        <v>0</v>
      </c>
    </row>
    <row r="249" spans="1:17" ht="40.200000000000003" customHeight="1" x14ac:dyDescent="0.3">
      <c r="A249" s="6">
        <v>1383</v>
      </c>
      <c r="B249" s="6" t="s">
        <v>1972</v>
      </c>
      <c r="C249" s="6" t="s">
        <v>314</v>
      </c>
      <c r="D249" s="6" t="s">
        <v>93</v>
      </c>
      <c r="E249" s="6" t="s">
        <v>2392</v>
      </c>
      <c r="F249" s="6" t="s">
        <v>4059</v>
      </c>
      <c r="G249" s="6" t="s">
        <v>379</v>
      </c>
      <c r="H249" s="6" t="s">
        <v>380</v>
      </c>
      <c r="I249" s="6" t="s">
        <v>381</v>
      </c>
      <c r="J249" s="6">
        <v>8</v>
      </c>
      <c r="K249" s="6" t="s">
        <v>19</v>
      </c>
      <c r="L249" s="10">
        <v>4.4000000000000004</v>
      </c>
      <c r="M249" s="6" t="s">
        <v>33</v>
      </c>
      <c r="N249" s="10">
        <f>Tabla3[[#This Row],[Price]]*Tabla3[[#This Row],[QTY Adjusted]]</f>
        <v>35.200000000000003</v>
      </c>
      <c r="O249" s="10">
        <v>35.200000000000003</v>
      </c>
      <c r="P249" s="21" t="s">
        <v>4228</v>
      </c>
      <c r="Q249" s="6" t="s">
        <v>4245</v>
      </c>
    </row>
    <row r="250" spans="1:17" ht="40.200000000000003" customHeight="1" x14ac:dyDescent="0.3">
      <c r="A250" s="6">
        <v>1306</v>
      </c>
      <c r="B250" s="6" t="s">
        <v>1972</v>
      </c>
      <c r="C250" s="6" t="s">
        <v>92</v>
      </c>
      <c r="D250" s="6" t="s">
        <v>93</v>
      </c>
      <c r="E250" s="6" t="s">
        <v>2293</v>
      </c>
      <c r="F250" s="6" t="s">
        <v>4059</v>
      </c>
      <c r="G250" s="6">
        <v>450</v>
      </c>
      <c r="H250" s="6" t="s">
        <v>2301</v>
      </c>
      <c r="I250" s="6" t="s">
        <v>2302</v>
      </c>
      <c r="J250" s="6">
        <v>2</v>
      </c>
      <c r="K250" s="6" t="s">
        <v>2098</v>
      </c>
      <c r="L250" s="10">
        <v>14.91</v>
      </c>
      <c r="M250" s="6" t="s">
        <v>33</v>
      </c>
      <c r="N250" s="10">
        <f>Tabla3[[#This Row],[Price]]*Tabla3[[#This Row],[QTY Adjusted]]</f>
        <v>29.82</v>
      </c>
      <c r="O250" s="10">
        <v>29.82</v>
      </c>
      <c r="P250" s="21" t="s">
        <v>4225</v>
      </c>
      <c r="Q250" s="6">
        <v>0</v>
      </c>
    </row>
    <row r="251" spans="1:17" ht="40.200000000000003" customHeight="1" x14ac:dyDescent="0.3">
      <c r="A251" s="6">
        <v>1359</v>
      </c>
      <c r="B251" s="6" t="s">
        <v>1972</v>
      </c>
      <c r="C251" s="6" t="s">
        <v>321</v>
      </c>
      <c r="D251" s="6" t="s">
        <v>199</v>
      </c>
      <c r="E251" s="6" t="s">
        <v>2392</v>
      </c>
      <c r="F251" s="6" t="s">
        <v>4059</v>
      </c>
      <c r="G251" s="6" t="s">
        <v>766</v>
      </c>
      <c r="H251" s="6" t="s">
        <v>304</v>
      </c>
      <c r="I251" s="6" t="s">
        <v>2397</v>
      </c>
      <c r="J251" s="6">
        <v>4</v>
      </c>
      <c r="K251" s="6" t="s">
        <v>19</v>
      </c>
      <c r="L251" s="10">
        <v>6.3079458750000006</v>
      </c>
      <c r="M251" s="6" t="s">
        <v>33</v>
      </c>
      <c r="N251" s="10">
        <f>Tabla3[[#This Row],[Price]]*Tabla3[[#This Row],[QTY Adjusted]]</f>
        <v>25.231783500000002</v>
      </c>
      <c r="O251" s="10">
        <v>25.231783500000002</v>
      </c>
      <c r="P251" s="21" t="s">
        <v>4225</v>
      </c>
      <c r="Q251" s="6">
        <v>0</v>
      </c>
    </row>
    <row r="252" spans="1:17" ht="40.200000000000003" customHeight="1" x14ac:dyDescent="0.3">
      <c r="A252" s="6">
        <v>1381</v>
      </c>
      <c r="B252" s="6" t="s">
        <v>1972</v>
      </c>
      <c r="C252" s="6" t="s">
        <v>371</v>
      </c>
      <c r="D252" s="6" t="str">
        <f>Tabla3[[#This Row],[Vendor]]</f>
        <v>Franmara</v>
      </c>
      <c r="E252" s="6" t="s">
        <v>2392</v>
      </c>
      <c r="F252" s="6" t="s">
        <v>4059</v>
      </c>
      <c r="G252" s="6" t="s">
        <v>375</v>
      </c>
      <c r="H252" s="6" t="s">
        <v>373</v>
      </c>
      <c r="I252" s="6" t="s">
        <v>376</v>
      </c>
      <c r="J252" s="6">
        <v>8</v>
      </c>
      <c r="K252" s="6" t="s">
        <v>19</v>
      </c>
      <c r="L252" s="10">
        <v>3</v>
      </c>
      <c r="M252" s="6" t="s">
        <v>33</v>
      </c>
      <c r="N252" s="10">
        <f>Tabla3[[#This Row],[Price]]*Tabla3[[#This Row],[QTY Adjusted]]</f>
        <v>24</v>
      </c>
      <c r="O252" s="10">
        <v>24</v>
      </c>
      <c r="P252" s="21" t="s">
        <v>4230</v>
      </c>
      <c r="Q252" s="6">
        <v>0</v>
      </c>
    </row>
    <row r="253" spans="1:17" ht="40.200000000000003" customHeight="1" x14ac:dyDescent="0.3">
      <c r="A253" s="6">
        <v>1385</v>
      </c>
      <c r="B253" s="6" t="s">
        <v>1972</v>
      </c>
      <c r="C253" s="6" t="s">
        <v>92</v>
      </c>
      <c r="D253" s="6" t="s">
        <v>93</v>
      </c>
      <c r="E253" s="6" t="s">
        <v>2392</v>
      </c>
      <c r="F253" s="6" t="s">
        <v>4059</v>
      </c>
      <c r="G253" s="6" t="s">
        <v>385</v>
      </c>
      <c r="H253" s="6" t="s">
        <v>386</v>
      </c>
      <c r="I253" s="6" t="s">
        <v>387</v>
      </c>
      <c r="J253" s="6">
        <v>8</v>
      </c>
      <c r="K253" s="6" t="s">
        <v>19</v>
      </c>
      <c r="L253" s="10">
        <v>2.85</v>
      </c>
      <c r="M253" s="6" t="s">
        <v>33</v>
      </c>
      <c r="N253" s="10">
        <f>Tabla3[[#This Row],[Price]]*Tabla3[[#This Row],[QTY Adjusted]]</f>
        <v>22.8</v>
      </c>
      <c r="O253" s="10">
        <v>22.8</v>
      </c>
      <c r="P253" s="21" t="s">
        <v>4228</v>
      </c>
      <c r="Q253" s="6" t="s">
        <v>4245</v>
      </c>
    </row>
    <row r="254" spans="1:17" ht="40.200000000000003" customHeight="1" x14ac:dyDescent="0.3">
      <c r="A254" s="6">
        <v>1363</v>
      </c>
      <c r="B254" s="6" t="s">
        <v>1972</v>
      </c>
      <c r="C254" s="6" t="s">
        <v>314</v>
      </c>
      <c r="D254" s="6" t="s">
        <v>93</v>
      </c>
      <c r="E254" s="6" t="s">
        <v>2392</v>
      </c>
      <c r="F254" s="6" t="s">
        <v>4059</v>
      </c>
      <c r="G254" s="6" t="s">
        <v>318</v>
      </c>
      <c r="H254" s="6" t="s">
        <v>319</v>
      </c>
      <c r="I254" s="6" t="s">
        <v>320</v>
      </c>
      <c r="J254" s="6">
        <v>12</v>
      </c>
      <c r="K254" s="6" t="s">
        <v>19</v>
      </c>
      <c r="L254" s="10">
        <v>1.63</v>
      </c>
      <c r="M254" s="6" t="s">
        <v>33</v>
      </c>
      <c r="N254" s="10">
        <f>Tabla3[[#This Row],[Price]]*Tabla3[[#This Row],[QTY Adjusted]]</f>
        <v>19.559999999999999</v>
      </c>
      <c r="O254" s="10">
        <v>19.559999999999999</v>
      </c>
      <c r="P254" s="21" t="s">
        <v>4228</v>
      </c>
      <c r="Q254" s="6" t="s">
        <v>4245</v>
      </c>
    </row>
    <row r="255" spans="1:17" ht="40.200000000000003" customHeight="1" x14ac:dyDescent="0.3">
      <c r="A255" s="6">
        <v>1366</v>
      </c>
      <c r="B255" s="6" t="s">
        <v>1972</v>
      </c>
      <c r="C255" s="6" t="s">
        <v>329</v>
      </c>
      <c r="D255" s="6" t="s">
        <v>199</v>
      </c>
      <c r="E255" s="6" t="s">
        <v>2392</v>
      </c>
      <c r="F255" s="6" t="s">
        <v>4059</v>
      </c>
      <c r="G255" s="6" t="s">
        <v>330</v>
      </c>
      <c r="H255" s="6" t="s">
        <v>331</v>
      </c>
      <c r="I255" s="6" t="s">
        <v>332</v>
      </c>
      <c r="J255" s="6">
        <v>4</v>
      </c>
      <c r="K255" s="6" t="s">
        <v>19</v>
      </c>
      <c r="L255" s="10">
        <v>3.34341</v>
      </c>
      <c r="M255" s="6" t="s">
        <v>33</v>
      </c>
      <c r="N255" s="10">
        <f>Tabla3[[#This Row],[Price]]*Tabla3[[#This Row],[QTY Adjusted]]</f>
        <v>13.37364</v>
      </c>
      <c r="O255" s="10">
        <v>13.37364</v>
      </c>
      <c r="P255" s="21" t="s">
        <v>4225</v>
      </c>
      <c r="Q255" s="6">
        <v>0</v>
      </c>
    </row>
    <row r="256" spans="1:17" ht="40.200000000000003" customHeight="1" x14ac:dyDescent="0.3">
      <c r="A256" s="6">
        <v>1245</v>
      </c>
      <c r="B256" s="6" t="s">
        <v>1972</v>
      </c>
      <c r="C256" s="6" t="s">
        <v>684</v>
      </c>
      <c r="D256" s="6" t="str">
        <f>Tabla3[[#This Row],[Vendor]]</f>
        <v>Pantheon</v>
      </c>
      <c r="E256" s="6" t="s">
        <v>2079</v>
      </c>
      <c r="F256" s="6" t="s">
        <v>4059</v>
      </c>
      <c r="G256" s="6" t="s">
        <v>2168</v>
      </c>
      <c r="H256" s="6" t="s">
        <v>2169</v>
      </c>
      <c r="I256" s="6" t="s">
        <v>2170</v>
      </c>
      <c r="J256" s="6">
        <v>6</v>
      </c>
      <c r="K256" s="6" t="s">
        <v>19</v>
      </c>
      <c r="L256" s="10" t="s">
        <v>178</v>
      </c>
      <c r="M256" s="6" t="s">
        <v>33</v>
      </c>
      <c r="N256" s="10">
        <v>0</v>
      </c>
      <c r="O256" s="10">
        <v>0</v>
      </c>
      <c r="P256" s="21" t="s">
        <v>4218</v>
      </c>
      <c r="Q256" s="6" t="s">
        <v>4246</v>
      </c>
    </row>
    <row r="257" spans="1:17" ht="40.200000000000003" customHeight="1" x14ac:dyDescent="0.3">
      <c r="A257" s="6">
        <v>1282</v>
      </c>
      <c r="B257" s="6" t="s">
        <v>1972</v>
      </c>
      <c r="C257" s="6" t="s">
        <v>2229</v>
      </c>
      <c r="D257" s="6" t="s">
        <v>718</v>
      </c>
      <c r="E257" s="6" t="s">
        <v>2230</v>
      </c>
      <c r="F257" s="6" t="s">
        <v>4059</v>
      </c>
      <c r="G257" s="6">
        <v>4260.01</v>
      </c>
      <c r="H257" s="6" t="s">
        <v>2255</v>
      </c>
      <c r="I257" s="6" t="s">
        <v>2256</v>
      </c>
      <c r="J257" s="6">
        <v>87</v>
      </c>
      <c r="K257" s="6" t="s">
        <v>19</v>
      </c>
      <c r="L257" s="10">
        <v>0</v>
      </c>
      <c r="M257" s="6" t="s">
        <v>33</v>
      </c>
      <c r="N257" s="10">
        <f>Tabla3[[#This Row],[Price]]*Tabla3[[#This Row],[QTY Adjusted]]</f>
        <v>0</v>
      </c>
      <c r="O257" s="10">
        <v>0</v>
      </c>
      <c r="P257" s="21" t="s">
        <v>4228</v>
      </c>
      <c r="Q257" s="6" t="s">
        <v>4246</v>
      </c>
    </row>
    <row r="258" spans="1:17" ht="40.200000000000003" customHeight="1" x14ac:dyDescent="0.3">
      <c r="A258" s="6">
        <v>1307</v>
      </c>
      <c r="B258" s="6" t="s">
        <v>1972</v>
      </c>
      <c r="C258" s="6" t="s">
        <v>232</v>
      </c>
      <c r="D258" s="6" t="s">
        <v>233</v>
      </c>
      <c r="E258" s="6" t="s">
        <v>2293</v>
      </c>
      <c r="F258" s="6" t="s">
        <v>4059</v>
      </c>
      <c r="G258" s="6" t="s">
        <v>2303</v>
      </c>
      <c r="H258" s="6" t="s">
        <v>2304</v>
      </c>
      <c r="I258" s="6" t="s">
        <v>2305</v>
      </c>
      <c r="J258" s="6">
        <v>24</v>
      </c>
      <c r="K258" s="6" t="s">
        <v>19</v>
      </c>
      <c r="L258" s="10">
        <v>0</v>
      </c>
      <c r="M258" s="6" t="s">
        <v>33</v>
      </c>
      <c r="N258" s="10">
        <f>Tabla3[[#This Row],[Price]]*Tabla3[[#This Row],[QTY Adjusted]]</f>
        <v>0</v>
      </c>
      <c r="O258" s="10">
        <v>0</v>
      </c>
      <c r="P258" s="21" t="s">
        <v>4228</v>
      </c>
      <c r="Q258" s="6" t="s">
        <v>4245</v>
      </c>
    </row>
    <row r="259" spans="1:17" ht="40.200000000000003" customHeight="1" x14ac:dyDescent="0.3">
      <c r="A259" s="6">
        <v>1309</v>
      </c>
      <c r="B259" s="6" t="s">
        <v>1972</v>
      </c>
      <c r="C259" s="6" t="s">
        <v>738</v>
      </c>
      <c r="D259" s="6" t="s">
        <v>44</v>
      </c>
      <c r="E259" s="6" t="s">
        <v>2306</v>
      </c>
      <c r="F259" s="6" t="s">
        <v>4059</v>
      </c>
      <c r="G259" s="6" t="s">
        <v>2309</v>
      </c>
      <c r="H259" s="6" t="s">
        <v>2310</v>
      </c>
      <c r="I259" s="6" t="s">
        <v>2311</v>
      </c>
      <c r="J259" s="6">
        <v>4</v>
      </c>
      <c r="K259" s="6" t="s">
        <v>19</v>
      </c>
      <c r="L259" s="10">
        <v>0</v>
      </c>
      <c r="M259" s="6" t="s">
        <v>33</v>
      </c>
      <c r="N259" s="10">
        <f>Tabla3[[#This Row],[Price]]*Tabla3[[#This Row],[QTY Adjusted]]</f>
        <v>0</v>
      </c>
      <c r="O259" s="10">
        <v>0</v>
      </c>
      <c r="P259" s="21" t="s">
        <v>4244</v>
      </c>
      <c r="Q259" s="6" t="s">
        <v>4245</v>
      </c>
    </row>
    <row r="260" spans="1:17" ht="40.200000000000003" customHeight="1" x14ac:dyDescent="0.3">
      <c r="A260" s="6">
        <v>1310</v>
      </c>
      <c r="B260" s="6" t="s">
        <v>1972</v>
      </c>
      <c r="C260" s="6" t="s">
        <v>2312</v>
      </c>
      <c r="D260" s="6" t="str">
        <f>Tabla3[[#This Row],[Vendor]]</f>
        <v>Edward Don</v>
      </c>
      <c r="E260" s="6" t="s">
        <v>2306</v>
      </c>
      <c r="F260" s="6" t="s">
        <v>4059</v>
      </c>
      <c r="G260" s="6" t="s">
        <v>2313</v>
      </c>
      <c r="H260" s="6" t="s">
        <v>2314</v>
      </c>
      <c r="I260" s="6" t="s">
        <v>2315</v>
      </c>
      <c r="J260" s="6">
        <v>4</v>
      </c>
      <c r="K260" s="6" t="s">
        <v>19</v>
      </c>
      <c r="L260" s="10"/>
      <c r="M260" s="6"/>
      <c r="N260" s="10">
        <f>Tabla3[[#This Row],[Price]]*Tabla3[[#This Row],[QTY Adjusted]]</f>
        <v>0</v>
      </c>
      <c r="O260" s="10">
        <v>0</v>
      </c>
      <c r="P260" s="21" t="s">
        <v>4244</v>
      </c>
      <c r="Q260" s="6" t="s">
        <v>4245</v>
      </c>
    </row>
    <row r="261" spans="1:17" ht="40.200000000000003" customHeight="1" x14ac:dyDescent="0.3">
      <c r="A261" s="6">
        <v>1311</v>
      </c>
      <c r="B261" s="6" t="s">
        <v>1972</v>
      </c>
      <c r="C261" s="6" t="s">
        <v>738</v>
      </c>
      <c r="D261" s="6" t="s">
        <v>44</v>
      </c>
      <c r="E261" s="6" t="s">
        <v>2306</v>
      </c>
      <c r="F261" s="6" t="s">
        <v>4059</v>
      </c>
      <c r="G261" s="6">
        <v>2705</v>
      </c>
      <c r="H261" s="6" t="s">
        <v>2316</v>
      </c>
      <c r="I261" s="6" t="s">
        <v>2317</v>
      </c>
      <c r="J261" s="6">
        <v>8</v>
      </c>
      <c r="K261" s="6" t="s">
        <v>19</v>
      </c>
      <c r="L261" s="10">
        <v>0</v>
      </c>
      <c r="M261" s="6" t="s">
        <v>33</v>
      </c>
      <c r="N261" s="10">
        <f>Tabla3[[#This Row],[Price]]*Tabla3[[#This Row],[QTY Adjusted]]</f>
        <v>0</v>
      </c>
      <c r="O261" s="10">
        <v>0</v>
      </c>
      <c r="P261" s="21" t="s">
        <v>4225</v>
      </c>
      <c r="Q261" s="6">
        <v>0</v>
      </c>
    </row>
    <row r="262" spans="1:17" ht="40.200000000000003" customHeight="1" x14ac:dyDescent="0.3">
      <c r="A262" s="6">
        <v>1313</v>
      </c>
      <c r="B262" s="6" t="s">
        <v>1972</v>
      </c>
      <c r="C262" s="6" t="s">
        <v>2321</v>
      </c>
      <c r="D262" s="6" t="str">
        <f>Tabla3[[#This Row],[Vendor]]</f>
        <v>Tobi</v>
      </c>
      <c r="E262" s="6" t="s">
        <v>2306</v>
      </c>
      <c r="F262" s="6" t="s">
        <v>4059</v>
      </c>
      <c r="G262" s="6" t="s">
        <v>2322</v>
      </c>
      <c r="H262" s="6" t="s">
        <v>2323</v>
      </c>
      <c r="I262" s="6" t="s">
        <v>2324</v>
      </c>
      <c r="J262" s="6">
        <v>4</v>
      </c>
      <c r="K262" s="6" t="s">
        <v>19</v>
      </c>
      <c r="L262" s="10"/>
      <c r="M262" s="6"/>
      <c r="N262" s="10">
        <f>Tabla3[[#This Row],[Price]]*Tabla3[[#This Row],[QTY Adjusted]]</f>
        <v>0</v>
      </c>
      <c r="O262" s="10">
        <v>0</v>
      </c>
      <c r="P262" s="21" t="s">
        <v>4218</v>
      </c>
      <c r="Q262" s="6" t="s">
        <v>4245</v>
      </c>
    </row>
    <row r="263" spans="1:17" ht="40.200000000000003" customHeight="1" x14ac:dyDescent="0.3">
      <c r="A263" s="6">
        <v>1314</v>
      </c>
      <c r="B263" s="6" t="s">
        <v>1972</v>
      </c>
      <c r="C263" s="6" t="s">
        <v>2312</v>
      </c>
      <c r="D263" s="6" t="str">
        <f>Tabla3[[#This Row],[Vendor]]</f>
        <v>Edward Don</v>
      </c>
      <c r="E263" s="6" t="s">
        <v>2306</v>
      </c>
      <c r="F263" s="6" t="s">
        <v>4059</v>
      </c>
      <c r="G263" s="6">
        <v>1056551</v>
      </c>
      <c r="H263" s="6" t="s">
        <v>2325</v>
      </c>
      <c r="I263" s="6" t="s">
        <v>2326</v>
      </c>
      <c r="J263" s="6">
        <v>4</v>
      </c>
      <c r="K263" s="6" t="s">
        <v>19</v>
      </c>
      <c r="L263" s="10"/>
      <c r="M263" s="6"/>
      <c r="N263" s="10">
        <f>Tabla3[[#This Row],[Price]]*Tabla3[[#This Row],[QTY Adjusted]]</f>
        <v>0</v>
      </c>
      <c r="O263" s="10">
        <v>0</v>
      </c>
      <c r="P263" s="21" t="s">
        <v>4218</v>
      </c>
      <c r="Q263" s="6" t="s">
        <v>4245</v>
      </c>
    </row>
    <row r="264" spans="1:17" ht="40.200000000000003" customHeight="1" x14ac:dyDescent="0.3">
      <c r="A264" s="6">
        <v>1318</v>
      </c>
      <c r="B264" s="6" t="s">
        <v>1972</v>
      </c>
      <c r="C264" s="6" t="s">
        <v>2335</v>
      </c>
      <c r="D264" s="6" t="str">
        <f>Tabla3[[#This Row],[Vendor]]</f>
        <v>Global Industries</v>
      </c>
      <c r="E264" s="6" t="s">
        <v>2306</v>
      </c>
      <c r="F264" s="6" t="s">
        <v>4059</v>
      </c>
      <c r="G264" s="6" t="s">
        <v>2336</v>
      </c>
      <c r="H264" s="6" t="s">
        <v>2337</v>
      </c>
      <c r="I264" s="6" t="s">
        <v>2338</v>
      </c>
      <c r="J264" s="6">
        <v>1</v>
      </c>
      <c r="K264" s="6" t="s">
        <v>19</v>
      </c>
      <c r="L264" s="10"/>
      <c r="M264" s="6"/>
      <c r="N264" s="10">
        <f>Tabla3[[#This Row],[Price]]*Tabla3[[#This Row],[QTY Adjusted]]</f>
        <v>0</v>
      </c>
      <c r="O264" s="10">
        <v>0</v>
      </c>
      <c r="P264" s="21" t="s">
        <v>4244</v>
      </c>
      <c r="Q264" s="6" t="s">
        <v>4245</v>
      </c>
    </row>
    <row r="265" spans="1:17" ht="40.200000000000003" customHeight="1" x14ac:dyDescent="0.3">
      <c r="A265" s="6">
        <v>1319</v>
      </c>
      <c r="B265" s="6" t="s">
        <v>1972</v>
      </c>
      <c r="C265" s="6" t="s">
        <v>2335</v>
      </c>
      <c r="D265" s="6" t="str">
        <f>Tabla3[[#This Row],[Vendor]]</f>
        <v>Global Industries</v>
      </c>
      <c r="E265" s="6" t="s">
        <v>2339</v>
      </c>
      <c r="F265" s="6" t="s">
        <v>4059</v>
      </c>
      <c r="G265" s="6" t="s">
        <v>2340</v>
      </c>
      <c r="H265" s="6" t="s">
        <v>2341</v>
      </c>
      <c r="I265" s="6" t="s">
        <v>2342</v>
      </c>
      <c r="J265" s="6">
        <v>1</v>
      </c>
      <c r="K265" s="6" t="s">
        <v>19</v>
      </c>
      <c r="L265" s="10"/>
      <c r="M265" s="6"/>
      <c r="N265" s="10">
        <f>Tabla3[[#This Row],[Price]]*Tabla3[[#This Row],[QTY Adjusted]]</f>
        <v>0</v>
      </c>
      <c r="O265" s="10">
        <v>0</v>
      </c>
      <c r="P265" s="21" t="s">
        <v>4244</v>
      </c>
      <c r="Q265" s="6" t="s">
        <v>4245</v>
      </c>
    </row>
    <row r="266" spans="1:17" ht="40.200000000000003" customHeight="1" x14ac:dyDescent="0.3">
      <c r="A266" s="6">
        <v>1320</v>
      </c>
      <c r="B266" s="6" t="s">
        <v>1972</v>
      </c>
      <c r="C266" s="6" t="s">
        <v>2343</v>
      </c>
      <c r="D266" s="6" t="str">
        <f>Tabla3[[#This Row],[Vendor]]</f>
        <v>American Hotel Register</v>
      </c>
      <c r="E266" s="6" t="s">
        <v>2339</v>
      </c>
      <c r="F266" s="6" t="s">
        <v>4059</v>
      </c>
      <c r="G266" s="6" t="s">
        <v>2344</v>
      </c>
      <c r="H266" s="6" t="s">
        <v>2345</v>
      </c>
      <c r="I266" s="6" t="s">
        <v>2345</v>
      </c>
      <c r="J266" s="6">
        <v>2</v>
      </c>
      <c r="K266" s="6" t="s">
        <v>19</v>
      </c>
      <c r="L266" s="10"/>
      <c r="M266" s="6"/>
      <c r="N266" s="10">
        <f>Tabla3[[#This Row],[Price]]*Tabla3[[#This Row],[QTY Adjusted]]</f>
        <v>0</v>
      </c>
      <c r="O266" s="10">
        <v>0</v>
      </c>
      <c r="P266" s="21" t="s">
        <v>4244</v>
      </c>
      <c r="Q266" s="6" t="s">
        <v>4245</v>
      </c>
    </row>
    <row r="267" spans="1:17" ht="40.200000000000003" customHeight="1" x14ac:dyDescent="0.3">
      <c r="A267" s="6">
        <v>1324</v>
      </c>
      <c r="B267" s="6" t="s">
        <v>1972</v>
      </c>
      <c r="C267" s="6" t="s">
        <v>329</v>
      </c>
      <c r="D267" s="6" t="s">
        <v>199</v>
      </c>
      <c r="E267" s="6" t="s">
        <v>2339</v>
      </c>
      <c r="F267" s="6" t="s">
        <v>4059</v>
      </c>
      <c r="G267" s="6" t="s">
        <v>2355</v>
      </c>
      <c r="H267" s="6" t="s">
        <v>2356</v>
      </c>
      <c r="I267" s="6" t="s">
        <v>2357</v>
      </c>
      <c r="J267" s="6">
        <v>8</v>
      </c>
      <c r="K267" s="6" t="s">
        <v>19</v>
      </c>
      <c r="L267" s="10" t="s">
        <v>203</v>
      </c>
      <c r="M267" s="6" t="s">
        <v>33</v>
      </c>
      <c r="N267" s="10">
        <v>0</v>
      </c>
      <c r="O267" s="10">
        <v>0</v>
      </c>
      <c r="P267" s="21" t="s">
        <v>4244</v>
      </c>
      <c r="Q267" s="6" t="s">
        <v>4245</v>
      </c>
    </row>
    <row r="268" spans="1:17" ht="40.200000000000003" customHeight="1" x14ac:dyDescent="0.3">
      <c r="A268" s="6">
        <v>1327</v>
      </c>
      <c r="B268" s="6" t="s">
        <v>1972</v>
      </c>
      <c r="C268" s="6" t="s">
        <v>2366</v>
      </c>
      <c r="D268" s="6" t="str">
        <f>Tabla3[[#This Row],[Vendor]]</f>
        <v>Evo</v>
      </c>
      <c r="E268" s="6" t="s">
        <v>2362</v>
      </c>
      <c r="F268" s="6" t="s">
        <v>4059</v>
      </c>
      <c r="G268" s="6" t="s">
        <v>2367</v>
      </c>
      <c r="H268" s="6" t="s">
        <v>2368</v>
      </c>
      <c r="I268" s="6" t="s">
        <v>2369</v>
      </c>
      <c r="J268" s="6">
        <v>2</v>
      </c>
      <c r="K268" s="6" t="s">
        <v>19</v>
      </c>
      <c r="L268" s="10"/>
      <c r="M268" s="6"/>
      <c r="N268" s="10">
        <f>Tabla3[[#This Row],[Price]]*Tabla3[[#This Row],[QTY Adjusted]]</f>
        <v>0</v>
      </c>
      <c r="O268" s="10">
        <v>0</v>
      </c>
      <c r="P268" s="21" t="s">
        <v>4218</v>
      </c>
      <c r="Q268" s="6" t="s">
        <v>4246</v>
      </c>
    </row>
    <row r="269" spans="1:17" ht="40.200000000000003" customHeight="1" x14ac:dyDescent="0.3">
      <c r="A269" s="6">
        <v>1330</v>
      </c>
      <c r="B269" s="6" t="s">
        <v>1972</v>
      </c>
      <c r="C269" s="6" t="s">
        <v>124</v>
      </c>
      <c r="D269" s="6" t="str">
        <f>Tabla3[[#This Row],[Vendor]]</f>
        <v>Impulse</v>
      </c>
      <c r="E269" s="6" t="s">
        <v>2362</v>
      </c>
      <c r="F269" s="6" t="s">
        <v>4059</v>
      </c>
      <c r="G269" s="6" t="s">
        <v>178</v>
      </c>
      <c r="H269" s="6" t="s">
        <v>2378</v>
      </c>
      <c r="I269" s="6" t="s">
        <v>2379</v>
      </c>
      <c r="J269" s="6">
        <v>16</v>
      </c>
      <c r="K269" s="6" t="s">
        <v>19</v>
      </c>
      <c r="L269" s="10" t="s">
        <v>178</v>
      </c>
      <c r="M269" s="6" t="s">
        <v>33</v>
      </c>
      <c r="N269" s="10">
        <v>0</v>
      </c>
      <c r="O269" s="10">
        <v>0</v>
      </c>
      <c r="P269" s="21" t="s">
        <v>4224</v>
      </c>
      <c r="Q269" s="6">
        <v>0</v>
      </c>
    </row>
    <row r="270" spans="1:17" ht="40.200000000000003" customHeight="1" x14ac:dyDescent="0.3">
      <c r="A270" s="6">
        <v>1334</v>
      </c>
      <c r="B270" s="6" t="s">
        <v>1972</v>
      </c>
      <c r="C270" s="6" t="s">
        <v>738</v>
      </c>
      <c r="D270" s="6" t="s">
        <v>44</v>
      </c>
      <c r="E270" s="6" t="s">
        <v>2362</v>
      </c>
      <c r="F270" s="6" t="s">
        <v>4059</v>
      </c>
      <c r="G270" s="6" t="s">
        <v>2389</v>
      </c>
      <c r="H270" s="6" t="s">
        <v>2390</v>
      </c>
      <c r="I270" s="6" t="s">
        <v>2391</v>
      </c>
      <c r="J270" s="6">
        <v>4</v>
      </c>
      <c r="K270" s="6" t="s">
        <v>19</v>
      </c>
      <c r="L270" s="10">
        <v>0</v>
      </c>
      <c r="M270" s="6" t="s">
        <v>33</v>
      </c>
      <c r="N270" s="10">
        <f>Tabla3[[#This Row],[Price]]*Tabla3[[#This Row],[QTY Adjusted]]</f>
        <v>0</v>
      </c>
      <c r="O270" s="10">
        <v>0</v>
      </c>
      <c r="P270" s="21" t="s">
        <v>4228</v>
      </c>
      <c r="Q270" s="6" t="s">
        <v>4246</v>
      </c>
    </row>
    <row r="271" spans="1:17" ht="40.200000000000003" customHeight="1" x14ac:dyDescent="0.3">
      <c r="A271" s="6">
        <v>1387</v>
      </c>
      <c r="B271" s="6" t="s">
        <v>1972</v>
      </c>
      <c r="C271" s="6" t="s">
        <v>1179</v>
      </c>
      <c r="D271" s="6" t="str">
        <f>Tabla3[[#This Row],[Vendor]]</f>
        <v>Stokke</v>
      </c>
      <c r="E271" s="6" t="s">
        <v>2398</v>
      </c>
      <c r="F271" s="6" t="s">
        <v>4059</v>
      </c>
      <c r="G271" s="6" t="s">
        <v>205</v>
      </c>
      <c r="H271" s="6" t="s">
        <v>1180</v>
      </c>
      <c r="I271" s="6" t="s">
        <v>1181</v>
      </c>
      <c r="J271" s="6">
        <v>8</v>
      </c>
      <c r="K271" s="6" t="s">
        <v>19</v>
      </c>
      <c r="L271" s="10"/>
      <c r="M271" s="6"/>
      <c r="N271" s="10">
        <f>Tabla3[[#This Row],[Price]]*Tabla3[[#This Row],[QTY Adjusted]]</f>
        <v>0</v>
      </c>
      <c r="O271" s="10">
        <v>0</v>
      </c>
      <c r="P271" s="21" t="s">
        <v>4218</v>
      </c>
      <c r="Q271" s="6" t="s">
        <v>4246</v>
      </c>
    </row>
    <row r="272" spans="1:17" ht="40.200000000000003" customHeight="1" x14ac:dyDescent="0.3">
      <c r="A272" s="6">
        <v>1388</v>
      </c>
      <c r="B272" s="6" t="s">
        <v>1972</v>
      </c>
      <c r="C272" s="6" t="s">
        <v>1175</v>
      </c>
      <c r="D272" s="6" t="str">
        <f>Tabla3[[#This Row],[Vendor]]</f>
        <v>Koala Care</v>
      </c>
      <c r="E272" s="6" t="s">
        <v>2398</v>
      </c>
      <c r="F272" s="6" t="s">
        <v>4059</v>
      </c>
      <c r="G272" s="6" t="s">
        <v>1177</v>
      </c>
      <c r="H272" s="6" t="s">
        <v>1176</v>
      </c>
      <c r="I272" s="6" t="s">
        <v>1178</v>
      </c>
      <c r="J272" s="6">
        <v>6</v>
      </c>
      <c r="K272" s="6" t="s">
        <v>19</v>
      </c>
      <c r="L272" s="10"/>
      <c r="M272" s="6"/>
      <c r="N272" s="10">
        <f>Tabla3[[#This Row],[Price]]*Tabla3[[#This Row],[QTY Adjusted]]</f>
        <v>0</v>
      </c>
      <c r="O272" s="10">
        <v>0</v>
      </c>
      <c r="P272" s="21" t="s">
        <v>4230</v>
      </c>
      <c r="Q272" s="6"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696D-F47F-4F5B-9A06-96B2F0736219}">
  <dimension ref="A1:Q103"/>
  <sheetViews>
    <sheetView showGridLines="0" topLeftCell="J2" zoomScale="80" zoomScaleNormal="80" workbookViewId="0">
      <selection activeCell="P5" sqref="P5"/>
    </sheetView>
  </sheetViews>
  <sheetFormatPr baseColWidth="10" defaultColWidth="11.44140625" defaultRowHeight="14.4" x14ac:dyDescent="0.3"/>
  <cols>
    <col min="2" max="3" width="11.5546875" customWidth="1"/>
    <col min="4" max="4" width="26.88671875" bestFit="1" customWidth="1"/>
    <col min="5" max="5" width="20.44140625" bestFit="1" customWidth="1"/>
    <col min="6" max="6" width="11.5546875" customWidth="1"/>
    <col min="7" max="7" width="25.88671875" customWidth="1"/>
    <col min="8" max="8" width="20" customWidth="1"/>
    <col min="9" max="9" width="102.6640625" customWidth="1"/>
    <col min="10" max="10" width="14.33203125" customWidth="1"/>
    <col min="11" max="13" width="11.5546875" customWidth="1"/>
    <col min="14" max="14" width="14.5546875" bestFit="1" customWidth="1"/>
    <col min="15" max="15" width="14" customWidth="1"/>
    <col min="16" max="16" width="44.88671875" style="19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s="19" t="s">
        <v>4215</v>
      </c>
      <c r="Q2" t="s">
        <v>4247</v>
      </c>
    </row>
    <row r="3" spans="1:17" ht="42" customHeight="1" x14ac:dyDescent="0.3">
      <c r="A3" s="6">
        <v>852</v>
      </c>
      <c r="B3" s="6" t="s">
        <v>1600</v>
      </c>
      <c r="C3" s="6" t="s">
        <v>903</v>
      </c>
      <c r="D3" s="6" t="s">
        <v>44</v>
      </c>
      <c r="E3" s="6" t="s">
        <v>1600</v>
      </c>
      <c r="F3" s="6" t="s">
        <v>4059</v>
      </c>
      <c r="G3" s="6" t="s">
        <v>1643</v>
      </c>
      <c r="H3" s="6" t="s">
        <v>1644</v>
      </c>
      <c r="I3" s="6" t="s">
        <v>1645</v>
      </c>
      <c r="J3" s="6">
        <v>58</v>
      </c>
      <c r="K3" s="6" t="s">
        <v>19</v>
      </c>
      <c r="L3" s="10">
        <v>37.25</v>
      </c>
      <c r="M3" s="6" t="s">
        <v>33</v>
      </c>
      <c r="N3" s="12">
        <f>Tabla4[[#This Row],[Price]]*Tabla4[[#This Row],[QTY Adjusted]]</f>
        <v>2160.5</v>
      </c>
      <c r="O3" s="10">
        <v>2160.5</v>
      </c>
      <c r="P3" s="20" t="s">
        <v>4225</v>
      </c>
      <c r="Q3" s="6">
        <v>0</v>
      </c>
    </row>
    <row r="4" spans="1:17" ht="42" customHeight="1" x14ac:dyDescent="0.3">
      <c r="A4" s="6">
        <v>846</v>
      </c>
      <c r="B4" s="6" t="s">
        <v>1600</v>
      </c>
      <c r="C4" s="6" t="s">
        <v>1256</v>
      </c>
      <c r="D4" s="6" t="str">
        <f>Tabla4[[#This Row],[Vendor]]</f>
        <v>Monica Calderon</v>
      </c>
      <c r="E4" s="6" t="s">
        <v>1600</v>
      </c>
      <c r="F4" s="6" t="s">
        <v>4059</v>
      </c>
      <c r="G4" s="6" t="s">
        <v>205</v>
      </c>
      <c r="H4" s="6" t="s">
        <v>1627</v>
      </c>
      <c r="I4" s="6" t="s">
        <v>1628</v>
      </c>
      <c r="J4" s="6">
        <v>24</v>
      </c>
      <c r="K4" s="6" t="s">
        <v>19</v>
      </c>
      <c r="L4" s="10">
        <v>93.49</v>
      </c>
      <c r="M4" s="6" t="s">
        <v>33</v>
      </c>
      <c r="N4" s="12">
        <f>Tabla4[[#This Row],[Price]]*Tabla4[[#This Row],[QTY Adjusted]]</f>
        <v>2243.7599999999998</v>
      </c>
      <c r="O4" s="10">
        <v>2243.7599999999998</v>
      </c>
      <c r="P4" s="20" t="s">
        <v>4225</v>
      </c>
      <c r="Q4" s="6">
        <v>0</v>
      </c>
    </row>
    <row r="5" spans="1:17" ht="42" customHeight="1" x14ac:dyDescent="0.3">
      <c r="A5" s="6">
        <v>848</v>
      </c>
      <c r="B5" s="6" t="s">
        <v>1600</v>
      </c>
      <c r="C5" s="6" t="s">
        <v>903</v>
      </c>
      <c r="D5" s="6" t="s">
        <v>44</v>
      </c>
      <c r="E5" s="6" t="s">
        <v>1600</v>
      </c>
      <c r="F5" s="6" t="s">
        <v>4059</v>
      </c>
      <c r="G5" s="6" t="s">
        <v>1632</v>
      </c>
      <c r="H5" s="6" t="s">
        <v>1633</v>
      </c>
      <c r="I5" s="6" t="s">
        <v>1634</v>
      </c>
      <c r="J5" s="6">
        <v>29</v>
      </c>
      <c r="K5" s="6" t="s">
        <v>19</v>
      </c>
      <c r="L5" s="10">
        <v>49.66</v>
      </c>
      <c r="M5" s="6" t="s">
        <v>33</v>
      </c>
      <c r="N5" s="12">
        <f>Tabla4[[#This Row],[Price]]*Tabla4[[#This Row],[QTY Adjusted]]</f>
        <v>1440.1399999999999</v>
      </c>
      <c r="O5" s="10">
        <v>1440.1399999999999</v>
      </c>
      <c r="P5" s="20" t="s">
        <v>4225</v>
      </c>
      <c r="Q5" s="6">
        <v>0</v>
      </c>
    </row>
    <row r="6" spans="1:17" ht="42" customHeight="1" x14ac:dyDescent="0.3">
      <c r="A6" s="6">
        <v>919</v>
      </c>
      <c r="B6" s="6" t="s">
        <v>1600</v>
      </c>
      <c r="C6" s="6" t="s">
        <v>361</v>
      </c>
      <c r="D6" s="6" t="s">
        <v>362</v>
      </c>
      <c r="E6" s="6" t="s">
        <v>1680</v>
      </c>
      <c r="F6" s="6" t="s">
        <v>4059</v>
      </c>
      <c r="G6" s="6" t="s">
        <v>369</v>
      </c>
      <c r="H6" s="6" t="s">
        <v>347</v>
      </c>
      <c r="I6" s="6" t="s">
        <v>370</v>
      </c>
      <c r="J6" s="6">
        <v>18</v>
      </c>
      <c r="K6" s="6" t="s">
        <v>19</v>
      </c>
      <c r="L6" s="10">
        <v>65.73294117647059</v>
      </c>
      <c r="M6" s="6" t="s">
        <v>33</v>
      </c>
      <c r="N6" s="12">
        <f>Tabla4[[#This Row],[Price]]*Tabla4[[#This Row],[QTY Adjusted]]</f>
        <v>1183.1929411764706</v>
      </c>
      <c r="O6" s="10">
        <v>1183.1929411764706</v>
      </c>
      <c r="P6" s="20" t="s">
        <v>4225</v>
      </c>
      <c r="Q6" s="6">
        <v>0</v>
      </c>
    </row>
    <row r="7" spans="1:17" ht="42" customHeight="1" x14ac:dyDescent="0.3">
      <c r="A7" s="6">
        <v>827</v>
      </c>
      <c r="B7" s="6" t="s">
        <v>1600</v>
      </c>
      <c r="C7" s="6" t="s">
        <v>1601</v>
      </c>
      <c r="D7" s="6" t="s">
        <v>34</v>
      </c>
      <c r="E7" s="6" t="s">
        <v>1600</v>
      </c>
      <c r="F7" s="6" t="s">
        <v>4061</v>
      </c>
      <c r="G7" s="6" t="s">
        <v>1602</v>
      </c>
      <c r="H7" s="6" t="s">
        <v>36</v>
      </c>
      <c r="I7" s="6" t="s">
        <v>1603</v>
      </c>
      <c r="J7" s="6">
        <v>173</v>
      </c>
      <c r="K7" s="6" t="s">
        <v>19</v>
      </c>
      <c r="L7" s="10">
        <v>4.9800000000000004</v>
      </c>
      <c r="M7" s="6" t="s">
        <v>28</v>
      </c>
      <c r="N7" s="12">
        <f>Tabla4[[#This Row],[Price]]*Tabla4[[#This Row],[QTY Adjusted]]</f>
        <v>861.54000000000008</v>
      </c>
      <c r="O7" s="10">
        <v>999.38639999999998</v>
      </c>
      <c r="P7" s="20" t="s">
        <v>4224</v>
      </c>
      <c r="Q7" s="6">
        <v>0</v>
      </c>
    </row>
    <row r="8" spans="1:17" ht="42" customHeight="1" x14ac:dyDescent="0.3">
      <c r="A8" s="6">
        <v>866</v>
      </c>
      <c r="B8" s="6" t="s">
        <v>1600</v>
      </c>
      <c r="C8" s="6" t="s">
        <v>1660</v>
      </c>
      <c r="D8" s="6" t="str">
        <f>Tabla4[[#This Row],[Vendor]]</f>
        <v>Polarbox</v>
      </c>
      <c r="E8" s="6" t="s">
        <v>1600</v>
      </c>
      <c r="F8" s="6" t="s">
        <v>4059</v>
      </c>
      <c r="G8" s="6" t="s">
        <v>205</v>
      </c>
      <c r="H8" s="6" t="s">
        <v>1661</v>
      </c>
      <c r="I8" s="6" t="s">
        <v>1662</v>
      </c>
      <c r="J8" s="6">
        <v>15</v>
      </c>
      <c r="K8" s="6" t="s">
        <v>19</v>
      </c>
      <c r="L8" s="10">
        <v>62.5</v>
      </c>
      <c r="M8" s="6" t="s">
        <v>33</v>
      </c>
      <c r="N8" s="12">
        <f>Tabla4[[#This Row],[Price]]*Tabla4[[#This Row],[QTY Adjusted]]</f>
        <v>937.5</v>
      </c>
      <c r="O8" s="10">
        <v>937.5</v>
      </c>
      <c r="P8" s="20" t="s">
        <v>4225</v>
      </c>
      <c r="Q8" s="6">
        <v>0</v>
      </c>
    </row>
    <row r="9" spans="1:17" ht="42" customHeight="1" x14ac:dyDescent="0.3">
      <c r="A9" s="6">
        <v>858</v>
      </c>
      <c r="B9" s="6" t="s">
        <v>1600</v>
      </c>
      <c r="C9" s="6" t="s">
        <v>1316</v>
      </c>
      <c r="D9" s="6" t="s">
        <v>718</v>
      </c>
      <c r="E9" s="6" t="s">
        <v>1600</v>
      </c>
      <c r="F9" s="6" t="s">
        <v>4062</v>
      </c>
      <c r="G9" s="6" t="s">
        <v>1327</v>
      </c>
      <c r="H9" s="6" t="s">
        <v>1328</v>
      </c>
      <c r="I9" s="6" t="s">
        <v>1329</v>
      </c>
      <c r="J9" s="6">
        <v>87</v>
      </c>
      <c r="K9" s="6" t="s">
        <v>19</v>
      </c>
      <c r="L9" s="10">
        <v>10.16</v>
      </c>
      <c r="M9" s="6" t="s">
        <v>33</v>
      </c>
      <c r="N9" s="12">
        <f>Tabla4[[#This Row],[Price]]*Tabla4[[#This Row],[QTY Adjusted]]</f>
        <v>883.92</v>
      </c>
      <c r="O9" s="10">
        <v>883.92</v>
      </c>
      <c r="P9" s="20" t="s">
        <v>4225</v>
      </c>
      <c r="Q9" s="6">
        <v>0</v>
      </c>
    </row>
    <row r="10" spans="1:17" ht="42" customHeight="1" x14ac:dyDescent="0.3">
      <c r="A10" s="6">
        <v>869</v>
      </c>
      <c r="B10" s="6" t="s">
        <v>1600</v>
      </c>
      <c r="C10" s="6" t="s">
        <v>723</v>
      </c>
      <c r="D10" s="6" t="s">
        <v>493</v>
      </c>
      <c r="E10" s="6" t="s">
        <v>1600</v>
      </c>
      <c r="F10" s="6" t="s">
        <v>4059</v>
      </c>
      <c r="G10" s="6" t="s">
        <v>1669</v>
      </c>
      <c r="H10" s="6" t="s">
        <v>1670</v>
      </c>
      <c r="I10" s="20" t="s">
        <v>1671</v>
      </c>
      <c r="J10" s="6">
        <v>36</v>
      </c>
      <c r="K10" s="6" t="s">
        <v>19</v>
      </c>
      <c r="L10" s="10">
        <v>24</v>
      </c>
      <c r="M10" s="6" t="s">
        <v>33</v>
      </c>
      <c r="N10" s="12">
        <f>Tabla4[[#This Row],[Price]]*Tabla4[[#This Row],[QTY Adjusted]]</f>
        <v>864</v>
      </c>
      <c r="O10" s="10">
        <v>864</v>
      </c>
      <c r="P10" s="20" t="s">
        <v>4218</v>
      </c>
      <c r="Q10" s="6" t="s">
        <v>4245</v>
      </c>
    </row>
    <row r="11" spans="1:17" ht="42" customHeight="1" x14ac:dyDescent="0.3">
      <c r="A11" s="6">
        <v>870</v>
      </c>
      <c r="B11" s="6" t="s">
        <v>1600</v>
      </c>
      <c r="C11" s="6" t="s">
        <v>723</v>
      </c>
      <c r="D11" s="6" t="s">
        <v>493</v>
      </c>
      <c r="E11" s="6" t="s">
        <v>1600</v>
      </c>
      <c r="F11" s="6" t="s">
        <v>4059</v>
      </c>
      <c r="G11" s="6" t="s">
        <v>1672</v>
      </c>
      <c r="H11" s="6" t="s">
        <v>1673</v>
      </c>
      <c r="I11" s="6" t="s">
        <v>1674</v>
      </c>
      <c r="J11" s="6">
        <v>36</v>
      </c>
      <c r="K11" s="6" t="s">
        <v>19</v>
      </c>
      <c r="L11" s="10">
        <v>24</v>
      </c>
      <c r="M11" s="6" t="s">
        <v>33</v>
      </c>
      <c r="N11" s="12">
        <f>Tabla4[[#This Row],[Price]]*Tabla4[[#This Row],[QTY Adjusted]]</f>
        <v>864</v>
      </c>
      <c r="O11" s="10">
        <v>864</v>
      </c>
      <c r="P11" s="20" t="s">
        <v>4218</v>
      </c>
      <c r="Q11" s="6" t="s">
        <v>4245</v>
      </c>
    </row>
    <row r="12" spans="1:17" ht="42" customHeight="1" x14ac:dyDescent="0.3">
      <c r="A12" s="6">
        <v>847</v>
      </c>
      <c r="B12" s="6" t="s">
        <v>1600</v>
      </c>
      <c r="C12" s="6" t="s">
        <v>1256</v>
      </c>
      <c r="D12" s="6" t="str">
        <f>Tabla4[[#This Row],[Vendor]]</f>
        <v>Monica Calderon</v>
      </c>
      <c r="E12" s="6" t="s">
        <v>1600</v>
      </c>
      <c r="F12" s="6" t="s">
        <v>4059</v>
      </c>
      <c r="G12" s="6" t="s">
        <v>1629</v>
      </c>
      <c r="H12" s="6" t="s">
        <v>1630</v>
      </c>
      <c r="I12" s="6" t="s">
        <v>1631</v>
      </c>
      <c r="J12" s="6">
        <v>12</v>
      </c>
      <c r="K12" s="6" t="s">
        <v>19</v>
      </c>
      <c r="L12" s="10">
        <v>83.1</v>
      </c>
      <c r="M12" s="6" t="s">
        <v>33</v>
      </c>
      <c r="N12" s="12">
        <f>Tabla4[[#This Row],[Price]]*Tabla4[[#This Row],[QTY Adjusted]]</f>
        <v>997.19999999999993</v>
      </c>
      <c r="O12" s="10">
        <v>997.19999999999993</v>
      </c>
      <c r="P12" s="20" t="s">
        <v>4225</v>
      </c>
      <c r="Q12" s="6">
        <v>0</v>
      </c>
    </row>
    <row r="13" spans="1:17" ht="42" customHeight="1" x14ac:dyDescent="0.3">
      <c r="A13" s="6">
        <v>842</v>
      </c>
      <c r="B13" s="6" t="s">
        <v>1600</v>
      </c>
      <c r="C13" s="6" t="s">
        <v>1256</v>
      </c>
      <c r="D13" s="6" t="str">
        <f>Tabla4[[#This Row],[Vendor]]</f>
        <v>Monica Calderon</v>
      </c>
      <c r="E13" s="6" t="s">
        <v>1600</v>
      </c>
      <c r="F13" s="6" t="s">
        <v>4060</v>
      </c>
      <c r="G13" s="6" t="s">
        <v>1617</v>
      </c>
      <c r="H13" s="6" t="s">
        <v>1618</v>
      </c>
      <c r="I13" s="6" t="s">
        <v>1619</v>
      </c>
      <c r="J13" s="6">
        <v>24</v>
      </c>
      <c r="K13" s="6" t="s">
        <v>19</v>
      </c>
      <c r="L13" s="10">
        <v>34.28</v>
      </c>
      <c r="M13" s="6" t="s">
        <v>33</v>
      </c>
      <c r="N13" s="12">
        <f>Tabla4[[#This Row],[Price]]*Tabla4[[#This Row],[QTY Adjusted]]</f>
        <v>822.72</v>
      </c>
      <c r="O13" s="10">
        <v>822.72</v>
      </c>
      <c r="P13" s="20" t="s">
        <v>4225</v>
      </c>
      <c r="Q13" s="6">
        <v>0</v>
      </c>
    </row>
    <row r="14" spans="1:17" ht="42" customHeight="1" x14ac:dyDescent="0.3">
      <c r="A14" s="6">
        <v>843</v>
      </c>
      <c r="B14" s="6" t="s">
        <v>1600</v>
      </c>
      <c r="C14" s="6" t="s">
        <v>1256</v>
      </c>
      <c r="D14" s="6" t="str">
        <f>Tabla4[[#This Row],[Vendor]]</f>
        <v>Monica Calderon</v>
      </c>
      <c r="E14" s="6" t="s">
        <v>1600</v>
      </c>
      <c r="F14" s="6" t="s">
        <v>4060</v>
      </c>
      <c r="G14" s="6" t="s">
        <v>1620</v>
      </c>
      <c r="H14" s="6" t="s">
        <v>1621</v>
      </c>
      <c r="I14" s="6" t="s">
        <v>1622</v>
      </c>
      <c r="J14" s="6">
        <v>24</v>
      </c>
      <c r="K14" s="6" t="s">
        <v>19</v>
      </c>
      <c r="L14" s="10">
        <v>34.28</v>
      </c>
      <c r="M14" s="6" t="s">
        <v>33</v>
      </c>
      <c r="N14" s="12">
        <f>Tabla4[[#This Row],[Price]]*Tabla4[[#This Row],[QTY Adjusted]]</f>
        <v>822.72</v>
      </c>
      <c r="O14" s="10">
        <v>822.72</v>
      </c>
      <c r="P14" s="20" t="s">
        <v>4225</v>
      </c>
      <c r="Q14" s="6">
        <v>0</v>
      </c>
    </row>
    <row r="15" spans="1:17" ht="42" customHeight="1" x14ac:dyDescent="0.3">
      <c r="A15" s="6">
        <v>851</v>
      </c>
      <c r="B15" s="6" t="s">
        <v>1600</v>
      </c>
      <c r="C15" s="6" t="s">
        <v>903</v>
      </c>
      <c r="D15" s="6" t="s">
        <v>44</v>
      </c>
      <c r="E15" s="6" t="s">
        <v>1600</v>
      </c>
      <c r="F15" s="6" t="s">
        <v>4059</v>
      </c>
      <c r="G15" s="6" t="s">
        <v>1641</v>
      </c>
      <c r="H15" s="6" t="s">
        <v>1639</v>
      </c>
      <c r="I15" s="6" t="s">
        <v>1642</v>
      </c>
      <c r="J15" s="6">
        <v>58</v>
      </c>
      <c r="K15" s="6" t="s">
        <v>19</v>
      </c>
      <c r="L15" s="10">
        <v>11.85</v>
      </c>
      <c r="M15" s="6" t="s">
        <v>33</v>
      </c>
      <c r="N15" s="12">
        <f>Tabla4[[#This Row],[Price]]*Tabla4[[#This Row],[QTY Adjusted]]</f>
        <v>687.3</v>
      </c>
      <c r="O15" s="10">
        <v>687.3</v>
      </c>
      <c r="P15" s="20" t="s">
        <v>4225</v>
      </c>
      <c r="Q15" s="6">
        <v>0</v>
      </c>
    </row>
    <row r="16" spans="1:17" ht="42" customHeight="1" x14ac:dyDescent="0.3">
      <c r="A16" s="6">
        <v>854</v>
      </c>
      <c r="B16" s="6" t="s">
        <v>1600</v>
      </c>
      <c r="C16" s="6" t="s">
        <v>1316</v>
      </c>
      <c r="D16" s="6" t="s">
        <v>718</v>
      </c>
      <c r="E16" s="6" t="s">
        <v>1600</v>
      </c>
      <c r="F16" s="6" t="s">
        <v>4062</v>
      </c>
      <c r="G16" s="6" t="s">
        <v>1317</v>
      </c>
      <c r="H16" s="6" t="s">
        <v>1318</v>
      </c>
      <c r="I16" s="6" t="s">
        <v>1319</v>
      </c>
      <c r="J16" s="6">
        <v>58</v>
      </c>
      <c r="K16" s="6" t="s">
        <v>19</v>
      </c>
      <c r="L16" s="10">
        <v>11.5</v>
      </c>
      <c r="M16" s="6" t="s">
        <v>33</v>
      </c>
      <c r="N16" s="12">
        <f>Tabla4[[#This Row],[Price]]*Tabla4[[#This Row],[QTY Adjusted]]</f>
        <v>667</v>
      </c>
      <c r="O16" s="10">
        <v>667</v>
      </c>
      <c r="P16" s="20" t="s">
        <v>4225</v>
      </c>
      <c r="Q16" s="6">
        <v>0</v>
      </c>
    </row>
    <row r="17" spans="1:17" ht="42" customHeight="1" x14ac:dyDescent="0.3">
      <c r="A17" s="6">
        <v>853</v>
      </c>
      <c r="B17" s="6" t="s">
        <v>1600</v>
      </c>
      <c r="C17" s="6" t="s">
        <v>1316</v>
      </c>
      <c r="D17" s="6" t="s">
        <v>718</v>
      </c>
      <c r="E17" s="6" t="s">
        <v>1600</v>
      </c>
      <c r="F17" s="6" t="s">
        <v>4062</v>
      </c>
      <c r="G17" s="6" t="s">
        <v>1646</v>
      </c>
      <c r="H17" s="6" t="s">
        <v>132</v>
      </c>
      <c r="I17" s="6" t="s">
        <v>1647</v>
      </c>
      <c r="J17" s="6">
        <v>58</v>
      </c>
      <c r="K17" s="6" t="s">
        <v>19</v>
      </c>
      <c r="L17" s="10">
        <v>10.8</v>
      </c>
      <c r="M17" s="6" t="s">
        <v>33</v>
      </c>
      <c r="N17" s="12">
        <f>Tabla4[[#This Row],[Price]]*Tabla4[[#This Row],[QTY Adjusted]]</f>
        <v>626.40000000000009</v>
      </c>
      <c r="O17" s="10">
        <v>626.40000000000009</v>
      </c>
      <c r="P17" s="20" t="s">
        <v>4225</v>
      </c>
      <c r="Q17" s="6">
        <v>0</v>
      </c>
    </row>
    <row r="18" spans="1:17" ht="42" customHeight="1" x14ac:dyDescent="0.3">
      <c r="A18" s="6">
        <v>868</v>
      </c>
      <c r="B18" s="6" t="s">
        <v>1600</v>
      </c>
      <c r="C18" s="6" t="s">
        <v>681</v>
      </c>
      <c r="D18" s="6" t="s">
        <v>1490</v>
      </c>
      <c r="E18" s="6" t="s">
        <v>1600</v>
      </c>
      <c r="F18" s="6" t="s">
        <v>4059</v>
      </c>
      <c r="G18" s="6" t="s">
        <v>1666</v>
      </c>
      <c r="H18" s="6" t="s">
        <v>1667</v>
      </c>
      <c r="I18" s="6" t="s">
        <v>1668</v>
      </c>
      <c r="J18" s="6">
        <v>8</v>
      </c>
      <c r="K18" s="6" t="s">
        <v>19</v>
      </c>
      <c r="L18" s="10">
        <v>81.430000000000007</v>
      </c>
      <c r="M18" s="6" t="s">
        <v>33</v>
      </c>
      <c r="N18" s="12">
        <f>Tabla4[[#This Row],[Price]]*Tabla4[[#This Row],[QTY Adjusted]]</f>
        <v>651.44000000000005</v>
      </c>
      <c r="O18" s="10">
        <v>651.44000000000005</v>
      </c>
      <c r="P18" s="20" t="s">
        <v>4225</v>
      </c>
      <c r="Q18" s="6">
        <v>0</v>
      </c>
    </row>
    <row r="19" spans="1:17" ht="42" customHeight="1" x14ac:dyDescent="0.3">
      <c r="A19" s="6">
        <v>860</v>
      </c>
      <c r="B19" s="6" t="s">
        <v>1600</v>
      </c>
      <c r="C19" s="6" t="s">
        <v>1316</v>
      </c>
      <c r="D19" s="6" t="s">
        <v>718</v>
      </c>
      <c r="E19" s="6" t="s">
        <v>1600</v>
      </c>
      <c r="F19" s="6" t="s">
        <v>4062</v>
      </c>
      <c r="G19" s="6" t="s">
        <v>1332</v>
      </c>
      <c r="H19" s="6" t="s">
        <v>156</v>
      </c>
      <c r="I19" s="6" t="s">
        <v>1333</v>
      </c>
      <c r="J19" s="6">
        <v>44</v>
      </c>
      <c r="K19" s="6" t="s">
        <v>19</v>
      </c>
      <c r="L19" s="10">
        <v>12.1</v>
      </c>
      <c r="M19" s="6" t="s">
        <v>33</v>
      </c>
      <c r="N19" s="12">
        <f>Tabla4[[#This Row],[Price]]*Tabla4[[#This Row],[QTY Adjusted]]</f>
        <v>532.4</v>
      </c>
      <c r="O19" s="10">
        <v>532.4</v>
      </c>
      <c r="P19" s="20" t="s">
        <v>4225</v>
      </c>
      <c r="Q19" s="6">
        <v>0</v>
      </c>
    </row>
    <row r="20" spans="1:17" ht="42" customHeight="1" x14ac:dyDescent="0.3">
      <c r="A20" s="6">
        <v>850</v>
      </c>
      <c r="B20" s="6" t="s">
        <v>1600</v>
      </c>
      <c r="C20" s="6" t="s">
        <v>903</v>
      </c>
      <c r="D20" s="6" t="s">
        <v>44</v>
      </c>
      <c r="E20" s="6" t="s">
        <v>1600</v>
      </c>
      <c r="F20" s="6" t="s">
        <v>4059</v>
      </c>
      <c r="G20" s="6" t="s">
        <v>1638</v>
      </c>
      <c r="H20" s="6" t="s">
        <v>1639</v>
      </c>
      <c r="I20" s="6" t="s">
        <v>1640</v>
      </c>
      <c r="J20" s="6">
        <v>58</v>
      </c>
      <c r="K20" s="6" t="s">
        <v>19</v>
      </c>
      <c r="L20" s="10">
        <v>9.0299999999999994</v>
      </c>
      <c r="M20" s="6" t="s">
        <v>33</v>
      </c>
      <c r="N20" s="12">
        <f>Tabla4[[#This Row],[Price]]*Tabla4[[#This Row],[QTY Adjusted]]</f>
        <v>523.74</v>
      </c>
      <c r="O20" s="10">
        <v>523.74</v>
      </c>
      <c r="P20" s="20" t="s">
        <v>4225</v>
      </c>
      <c r="Q20" s="6">
        <v>0</v>
      </c>
    </row>
    <row r="21" spans="1:17" ht="42" customHeight="1" x14ac:dyDescent="0.3">
      <c r="A21" s="6">
        <v>865</v>
      </c>
      <c r="B21" s="6" t="s">
        <v>1600</v>
      </c>
      <c r="C21" s="6" t="s">
        <v>1316</v>
      </c>
      <c r="D21" s="6" t="s">
        <v>718</v>
      </c>
      <c r="E21" s="6" t="s">
        <v>1600</v>
      </c>
      <c r="F21" s="6" t="s">
        <v>4062</v>
      </c>
      <c r="G21" s="6" t="s">
        <v>1657</v>
      </c>
      <c r="H21" s="6" t="s">
        <v>1658</v>
      </c>
      <c r="I21" s="6" t="s">
        <v>1659</v>
      </c>
      <c r="J21" s="6">
        <v>29</v>
      </c>
      <c r="K21" s="6" t="s">
        <v>19</v>
      </c>
      <c r="L21" s="10">
        <v>18</v>
      </c>
      <c r="M21" s="6" t="s">
        <v>33</v>
      </c>
      <c r="N21" s="12">
        <f>Tabla4[[#This Row],[Price]]*Tabla4[[#This Row],[QTY Adjusted]]</f>
        <v>522</v>
      </c>
      <c r="O21" s="10">
        <v>522</v>
      </c>
      <c r="P21" s="20" t="s">
        <v>4225</v>
      </c>
      <c r="Q21" s="6">
        <v>0</v>
      </c>
    </row>
    <row r="22" spans="1:17" ht="42" customHeight="1" x14ac:dyDescent="0.3">
      <c r="A22" s="6">
        <v>845</v>
      </c>
      <c r="B22" s="6" t="s">
        <v>1600</v>
      </c>
      <c r="C22" s="6" t="s">
        <v>1256</v>
      </c>
      <c r="D22" s="6" t="str">
        <f>Tabla4[[#This Row],[Vendor]]</f>
        <v>Monica Calderon</v>
      </c>
      <c r="E22" s="6" t="s">
        <v>1600</v>
      </c>
      <c r="F22" s="6" t="s">
        <v>4059</v>
      </c>
      <c r="G22" s="6" t="s">
        <v>1264</v>
      </c>
      <c r="H22" s="6" t="s">
        <v>1625</v>
      </c>
      <c r="I22" s="6" t="s">
        <v>1626</v>
      </c>
      <c r="J22" s="6">
        <v>12</v>
      </c>
      <c r="K22" s="6" t="s">
        <v>19</v>
      </c>
      <c r="L22" s="10">
        <v>46.74</v>
      </c>
      <c r="M22" s="6" t="s">
        <v>33</v>
      </c>
      <c r="N22" s="12">
        <f>Tabla4[[#This Row],[Price]]*Tabla4[[#This Row],[QTY Adjusted]]</f>
        <v>560.88</v>
      </c>
      <c r="O22" s="10">
        <v>560.88</v>
      </c>
      <c r="P22" s="20" t="s">
        <v>4225</v>
      </c>
      <c r="Q22" s="6">
        <v>0</v>
      </c>
    </row>
    <row r="23" spans="1:17" ht="42" customHeight="1" x14ac:dyDescent="0.3">
      <c r="A23" s="6">
        <v>859</v>
      </c>
      <c r="B23" s="6" t="s">
        <v>1600</v>
      </c>
      <c r="C23" s="6" t="s">
        <v>1316</v>
      </c>
      <c r="D23" s="6" t="s">
        <v>718</v>
      </c>
      <c r="E23" s="6" t="s">
        <v>1600</v>
      </c>
      <c r="F23" s="6" t="s">
        <v>4062</v>
      </c>
      <c r="G23" s="6" t="s">
        <v>1330</v>
      </c>
      <c r="H23" s="6" t="s">
        <v>954</v>
      </c>
      <c r="I23" s="6" t="s">
        <v>1331</v>
      </c>
      <c r="J23" s="6">
        <v>58</v>
      </c>
      <c r="K23" s="6" t="s">
        <v>19</v>
      </c>
      <c r="L23" s="10">
        <v>8.24</v>
      </c>
      <c r="M23" s="6" t="s">
        <v>33</v>
      </c>
      <c r="N23" s="12">
        <f>Tabla4[[#This Row],[Price]]*Tabla4[[#This Row],[QTY Adjusted]]</f>
        <v>477.92</v>
      </c>
      <c r="O23" s="10">
        <v>477.92</v>
      </c>
      <c r="P23" s="20" t="s">
        <v>4225</v>
      </c>
      <c r="Q23" s="6">
        <v>0</v>
      </c>
    </row>
    <row r="24" spans="1:17" ht="42" customHeight="1" x14ac:dyDescent="0.3">
      <c r="A24" s="6">
        <v>837</v>
      </c>
      <c r="B24" s="6" t="s">
        <v>1600</v>
      </c>
      <c r="C24" s="6" t="s">
        <v>130</v>
      </c>
      <c r="D24" s="6" t="s">
        <v>130</v>
      </c>
      <c r="E24" s="6" t="s">
        <v>1600</v>
      </c>
      <c r="F24" s="6" t="s">
        <v>4060</v>
      </c>
      <c r="G24" s="6" t="s">
        <v>1611</v>
      </c>
      <c r="H24" s="6" t="s">
        <v>1612</v>
      </c>
      <c r="I24" s="6" t="s">
        <v>1613</v>
      </c>
      <c r="J24" s="6">
        <v>29</v>
      </c>
      <c r="K24" s="6" t="s">
        <v>19</v>
      </c>
      <c r="L24" s="10">
        <v>14.83384938604245</v>
      </c>
      <c r="M24" s="6" t="s">
        <v>33</v>
      </c>
      <c r="N24" s="12">
        <f>Tabla4[[#This Row],[Price]]*Tabla4[[#This Row],[QTY Adjusted]]</f>
        <v>430.18163219523103</v>
      </c>
      <c r="O24" s="10">
        <v>430.18163219523103</v>
      </c>
      <c r="P24" s="20" t="s">
        <v>4225</v>
      </c>
      <c r="Q24" s="6">
        <v>0</v>
      </c>
    </row>
    <row r="25" spans="1:17" ht="42" customHeight="1" x14ac:dyDescent="0.3">
      <c r="A25" s="6">
        <v>905</v>
      </c>
      <c r="B25" s="6" t="s">
        <v>1600</v>
      </c>
      <c r="C25" s="6" t="s">
        <v>325</v>
      </c>
      <c r="D25" s="6" t="str">
        <f>Tabla4[[#This Row],[Vendor]]</f>
        <v>John Boos</v>
      </c>
      <c r="E25" s="6" t="s">
        <v>1680</v>
      </c>
      <c r="F25" s="6" t="s">
        <v>4059</v>
      </c>
      <c r="G25" s="6" t="s">
        <v>326</v>
      </c>
      <c r="H25" s="6" t="s">
        <v>327</v>
      </c>
      <c r="I25" s="20" t="s">
        <v>328</v>
      </c>
      <c r="J25" s="6">
        <v>2</v>
      </c>
      <c r="K25" s="6" t="s">
        <v>19</v>
      </c>
      <c r="L25" s="10">
        <v>250</v>
      </c>
      <c r="M25" s="6" t="s">
        <v>33</v>
      </c>
      <c r="N25" s="12">
        <f>Tabla4[[#This Row],[Price]]*Tabla4[[#This Row],[QTY Adjusted]]</f>
        <v>500</v>
      </c>
      <c r="O25" s="10">
        <v>500</v>
      </c>
      <c r="P25" s="20" t="s">
        <v>4218</v>
      </c>
      <c r="Q25" s="6" t="s">
        <v>4245</v>
      </c>
    </row>
    <row r="26" spans="1:17" ht="42" customHeight="1" x14ac:dyDescent="0.3">
      <c r="A26" s="6">
        <v>844</v>
      </c>
      <c r="B26" s="6" t="s">
        <v>1600</v>
      </c>
      <c r="C26" s="6" t="s">
        <v>1256</v>
      </c>
      <c r="D26" s="6" t="str">
        <f>Tabla4[[#This Row],[Vendor]]</f>
        <v>Monica Calderon</v>
      </c>
      <c r="E26" s="6" t="s">
        <v>1600</v>
      </c>
      <c r="F26" s="6" t="s">
        <v>4059</v>
      </c>
      <c r="G26" s="6" t="s">
        <v>205</v>
      </c>
      <c r="H26" s="6" t="s">
        <v>1623</v>
      </c>
      <c r="I26" s="6" t="s">
        <v>1624</v>
      </c>
      <c r="J26" s="6">
        <v>12</v>
      </c>
      <c r="K26" s="6" t="s">
        <v>19</v>
      </c>
      <c r="L26" s="10">
        <v>41.55</v>
      </c>
      <c r="M26" s="6" t="s">
        <v>33</v>
      </c>
      <c r="N26" s="12">
        <f>Tabla4[[#This Row],[Price]]*Tabla4[[#This Row],[QTY Adjusted]]</f>
        <v>498.59999999999997</v>
      </c>
      <c r="O26" s="10">
        <v>498.59999999999997</v>
      </c>
      <c r="P26" s="20" t="s">
        <v>4225</v>
      </c>
      <c r="Q26" s="6">
        <v>0</v>
      </c>
    </row>
    <row r="27" spans="1:17" ht="42" customHeight="1" x14ac:dyDescent="0.3">
      <c r="A27" s="6">
        <v>832</v>
      </c>
      <c r="B27" s="6" t="s">
        <v>1600</v>
      </c>
      <c r="C27" s="6" t="s">
        <v>47</v>
      </c>
      <c r="D27" s="6" t="s">
        <v>44</v>
      </c>
      <c r="E27" s="6" t="s">
        <v>1600</v>
      </c>
      <c r="F27" s="6" t="s">
        <v>4063</v>
      </c>
      <c r="G27" s="6" t="s">
        <v>1208</v>
      </c>
      <c r="H27" s="6" t="s">
        <v>70</v>
      </c>
      <c r="I27" s="6" t="s">
        <v>1209</v>
      </c>
      <c r="J27" s="6">
        <v>87</v>
      </c>
      <c r="K27" s="6" t="s">
        <v>19</v>
      </c>
      <c r="L27" s="10">
        <v>4.6139999999999999</v>
      </c>
      <c r="M27" s="6" t="s">
        <v>33</v>
      </c>
      <c r="N27" s="12">
        <f>Tabla4[[#This Row],[Price]]*Tabla4[[#This Row],[QTY Adjusted]]</f>
        <v>401.41800000000001</v>
      </c>
      <c r="O27" s="10">
        <v>401.41800000000001</v>
      </c>
      <c r="P27" s="20" t="s">
        <v>4225</v>
      </c>
      <c r="Q27" s="6">
        <v>0</v>
      </c>
    </row>
    <row r="28" spans="1:17" ht="42" customHeight="1" x14ac:dyDescent="0.3">
      <c r="A28" s="6">
        <v>855</v>
      </c>
      <c r="B28" s="6" t="s">
        <v>1600</v>
      </c>
      <c r="C28" s="6" t="s">
        <v>1316</v>
      </c>
      <c r="D28" s="6" t="s">
        <v>718</v>
      </c>
      <c r="E28" s="6" t="s">
        <v>1600</v>
      </c>
      <c r="F28" s="6" t="s">
        <v>4062</v>
      </c>
      <c r="G28" s="6" t="s">
        <v>1320</v>
      </c>
      <c r="H28" s="6" t="s">
        <v>142</v>
      </c>
      <c r="I28" s="6" t="s">
        <v>1321</v>
      </c>
      <c r="J28" s="6">
        <v>29</v>
      </c>
      <c r="K28" s="6" t="s">
        <v>19</v>
      </c>
      <c r="L28" s="10">
        <v>13.5</v>
      </c>
      <c r="M28" s="6" t="s">
        <v>33</v>
      </c>
      <c r="N28" s="12">
        <f>Tabla4[[#This Row],[Price]]*Tabla4[[#This Row],[QTY Adjusted]]</f>
        <v>391.5</v>
      </c>
      <c r="O28" s="10">
        <v>391.5</v>
      </c>
      <c r="P28" s="20" t="s">
        <v>4225</v>
      </c>
      <c r="Q28" s="6">
        <v>0</v>
      </c>
    </row>
    <row r="29" spans="1:17" ht="42" customHeight="1" x14ac:dyDescent="0.3">
      <c r="A29" s="6">
        <v>867</v>
      </c>
      <c r="B29" s="6" t="s">
        <v>1600</v>
      </c>
      <c r="C29" s="6" t="s">
        <v>130</v>
      </c>
      <c r="D29" s="6" t="s">
        <v>130</v>
      </c>
      <c r="E29" s="6" t="s">
        <v>1600</v>
      </c>
      <c r="F29" s="6" t="s">
        <v>4059</v>
      </c>
      <c r="G29" s="6" t="s">
        <v>1663</v>
      </c>
      <c r="H29" s="6" t="s">
        <v>1664</v>
      </c>
      <c r="I29" s="6" t="s">
        <v>1665</v>
      </c>
      <c r="J29" s="6">
        <v>15</v>
      </c>
      <c r="K29" s="6" t="s">
        <v>19</v>
      </c>
      <c r="L29" s="10">
        <v>26.841476180511414</v>
      </c>
      <c r="M29" s="6" t="s">
        <v>33</v>
      </c>
      <c r="N29" s="12">
        <f>Tabla4[[#This Row],[Price]]*Tabla4[[#This Row],[QTY Adjusted]]</f>
        <v>402.62214270767123</v>
      </c>
      <c r="O29" s="10">
        <v>402.62214270767123</v>
      </c>
      <c r="P29" s="20" t="s">
        <v>4225</v>
      </c>
      <c r="Q29" s="6">
        <v>0</v>
      </c>
    </row>
    <row r="30" spans="1:17" ht="42" customHeight="1" x14ac:dyDescent="0.3">
      <c r="A30" s="6">
        <v>838</v>
      </c>
      <c r="B30" s="6" t="s">
        <v>1600</v>
      </c>
      <c r="C30" s="6" t="s">
        <v>130</v>
      </c>
      <c r="D30" s="6" t="s">
        <v>130</v>
      </c>
      <c r="E30" s="6" t="s">
        <v>1600</v>
      </c>
      <c r="F30" s="6" t="s">
        <v>4060</v>
      </c>
      <c r="G30" s="6" t="s">
        <v>1303</v>
      </c>
      <c r="H30" s="6" t="s">
        <v>1304</v>
      </c>
      <c r="I30" s="6" t="s">
        <v>1305</v>
      </c>
      <c r="J30" s="6">
        <v>36</v>
      </c>
      <c r="K30" s="6" t="s">
        <v>19</v>
      </c>
      <c r="L30" s="10">
        <v>10.78547648459935</v>
      </c>
      <c r="M30" s="6" t="s">
        <v>33</v>
      </c>
      <c r="N30" s="12">
        <f>Tabla4[[#This Row],[Price]]*Tabla4[[#This Row],[QTY Adjusted]]</f>
        <v>388.27715344557657</v>
      </c>
      <c r="O30" s="10">
        <v>388.27715344557657</v>
      </c>
      <c r="P30" s="20" t="s">
        <v>4225</v>
      </c>
      <c r="Q30" s="6">
        <v>0</v>
      </c>
    </row>
    <row r="31" spans="1:17" ht="42" customHeight="1" x14ac:dyDescent="0.3">
      <c r="A31" s="6">
        <v>857</v>
      </c>
      <c r="B31" s="6" t="s">
        <v>1600</v>
      </c>
      <c r="C31" s="6" t="s">
        <v>1316</v>
      </c>
      <c r="D31" s="6" t="s">
        <v>718</v>
      </c>
      <c r="E31" s="6" t="s">
        <v>1600</v>
      </c>
      <c r="F31" s="6" t="s">
        <v>4062</v>
      </c>
      <c r="G31" s="6" t="s">
        <v>1324</v>
      </c>
      <c r="H31" s="6" t="s">
        <v>1325</v>
      </c>
      <c r="I31" s="6" t="s">
        <v>1326</v>
      </c>
      <c r="J31" s="6">
        <v>29</v>
      </c>
      <c r="K31" s="6" t="s">
        <v>19</v>
      </c>
      <c r="L31" s="10">
        <v>12.6</v>
      </c>
      <c r="M31" s="6" t="s">
        <v>33</v>
      </c>
      <c r="N31" s="12">
        <f>Tabla4[[#This Row],[Price]]*Tabla4[[#This Row],[QTY Adjusted]]</f>
        <v>365.4</v>
      </c>
      <c r="O31" s="10">
        <v>365.4</v>
      </c>
      <c r="P31" s="20" t="s">
        <v>4225</v>
      </c>
      <c r="Q31" s="6">
        <v>0</v>
      </c>
    </row>
    <row r="32" spans="1:17" ht="42" customHeight="1" x14ac:dyDescent="0.3">
      <c r="A32" s="6">
        <v>849</v>
      </c>
      <c r="B32" s="6" t="s">
        <v>1600</v>
      </c>
      <c r="C32" s="6" t="s">
        <v>903</v>
      </c>
      <c r="D32" s="6" t="s">
        <v>44</v>
      </c>
      <c r="E32" s="6" t="s">
        <v>1600</v>
      </c>
      <c r="F32" s="6" t="s">
        <v>4063</v>
      </c>
      <c r="G32" s="6" t="s">
        <v>1635</v>
      </c>
      <c r="H32" s="6" t="s">
        <v>1636</v>
      </c>
      <c r="I32" s="6" t="s">
        <v>1637</v>
      </c>
      <c r="J32" s="6">
        <v>72</v>
      </c>
      <c r="K32" s="6" t="s">
        <v>19</v>
      </c>
      <c r="L32" s="10">
        <v>5.08</v>
      </c>
      <c r="M32" s="6" t="s">
        <v>33</v>
      </c>
      <c r="N32" s="12">
        <f>Tabla4[[#This Row],[Price]]*Tabla4[[#This Row],[QTY Adjusted]]</f>
        <v>365.76</v>
      </c>
      <c r="O32" s="10">
        <v>365.76</v>
      </c>
      <c r="P32" s="20" t="s">
        <v>4225</v>
      </c>
      <c r="Q32" s="6">
        <v>0</v>
      </c>
    </row>
    <row r="33" spans="1:17" ht="42" customHeight="1" x14ac:dyDescent="0.3">
      <c r="A33" s="6">
        <v>864</v>
      </c>
      <c r="B33" s="6" t="s">
        <v>1600</v>
      </c>
      <c r="C33" s="6" t="s">
        <v>1316</v>
      </c>
      <c r="D33" s="6" t="s">
        <v>718</v>
      </c>
      <c r="E33" s="6" t="s">
        <v>1600</v>
      </c>
      <c r="F33" s="6" t="s">
        <v>4062</v>
      </c>
      <c r="G33" s="6" t="s">
        <v>1654</v>
      </c>
      <c r="H33" s="6" t="s">
        <v>1655</v>
      </c>
      <c r="I33" s="6" t="s">
        <v>1656</v>
      </c>
      <c r="J33" s="6">
        <v>29</v>
      </c>
      <c r="K33" s="6" t="s">
        <v>19</v>
      </c>
      <c r="L33" s="10">
        <v>12.2</v>
      </c>
      <c r="M33" s="6" t="s">
        <v>33</v>
      </c>
      <c r="N33" s="12">
        <f>Tabla4[[#This Row],[Price]]*Tabla4[[#This Row],[QTY Adjusted]]</f>
        <v>353.79999999999995</v>
      </c>
      <c r="O33" s="10">
        <v>353.79999999999995</v>
      </c>
      <c r="P33" s="20" t="s">
        <v>4225</v>
      </c>
      <c r="Q33" s="6">
        <v>0</v>
      </c>
    </row>
    <row r="34" spans="1:17" ht="42" customHeight="1" x14ac:dyDescent="0.3">
      <c r="A34" s="6">
        <v>878</v>
      </c>
      <c r="B34" s="6" t="s">
        <v>1600</v>
      </c>
      <c r="C34" s="6" t="s">
        <v>228</v>
      </c>
      <c r="D34" s="6" t="s">
        <v>44</v>
      </c>
      <c r="E34" s="6" t="s">
        <v>1680</v>
      </c>
      <c r="F34" s="6" t="s">
        <v>4059</v>
      </c>
      <c r="G34" s="6" t="s">
        <v>247</v>
      </c>
      <c r="H34" s="6" t="s">
        <v>248</v>
      </c>
      <c r="I34" s="6" t="s">
        <v>249</v>
      </c>
      <c r="J34" s="6">
        <v>0</v>
      </c>
      <c r="K34" s="6" t="s">
        <v>748</v>
      </c>
      <c r="L34" s="10">
        <v>364.5</v>
      </c>
      <c r="M34" s="6" t="s">
        <v>33</v>
      </c>
      <c r="N34" s="12">
        <f>Tabla4[[#This Row],[Price]]*Tabla4[[#This Row],[QTY Adjusted]]</f>
        <v>0</v>
      </c>
      <c r="O34" s="10">
        <v>0</v>
      </c>
      <c r="P34" s="20" t="s">
        <v>4240</v>
      </c>
      <c r="Q34" s="6" t="s">
        <v>4245</v>
      </c>
    </row>
    <row r="35" spans="1:17" ht="42" customHeight="1" x14ac:dyDescent="0.3">
      <c r="A35" s="6">
        <v>879</v>
      </c>
      <c r="B35" s="6" t="s">
        <v>1600</v>
      </c>
      <c r="C35" s="6" t="s">
        <v>228</v>
      </c>
      <c r="D35" s="6" t="s">
        <v>44</v>
      </c>
      <c r="E35" s="6" t="s">
        <v>1680</v>
      </c>
      <c r="F35" s="6" t="s">
        <v>4059</v>
      </c>
      <c r="G35" s="6" t="s">
        <v>250</v>
      </c>
      <c r="H35" s="6" t="s">
        <v>248</v>
      </c>
      <c r="I35" s="6" t="s">
        <v>251</v>
      </c>
      <c r="J35" s="6">
        <v>0</v>
      </c>
      <c r="K35" s="6" t="s">
        <v>748</v>
      </c>
      <c r="L35" s="10">
        <v>364.5</v>
      </c>
      <c r="M35" s="6" t="s">
        <v>33</v>
      </c>
      <c r="N35" s="12">
        <f>Tabla4[[#This Row],[Price]]*Tabla4[[#This Row],[QTY Adjusted]]</f>
        <v>0</v>
      </c>
      <c r="O35" s="10">
        <v>0</v>
      </c>
      <c r="P35" s="20" t="s">
        <v>4240</v>
      </c>
      <c r="Q35" s="6" t="s">
        <v>4245</v>
      </c>
    </row>
    <row r="36" spans="1:17" ht="42" customHeight="1" x14ac:dyDescent="0.3">
      <c r="A36" s="6">
        <v>880</v>
      </c>
      <c r="B36" s="6" t="s">
        <v>1600</v>
      </c>
      <c r="C36" s="6" t="s">
        <v>228</v>
      </c>
      <c r="D36" s="6" t="s">
        <v>44</v>
      </c>
      <c r="E36" s="6" t="s">
        <v>1680</v>
      </c>
      <c r="F36" s="6" t="s">
        <v>4059</v>
      </c>
      <c r="G36" s="6" t="s">
        <v>252</v>
      </c>
      <c r="H36" s="6" t="s">
        <v>248</v>
      </c>
      <c r="I36" s="6" t="s">
        <v>253</v>
      </c>
      <c r="J36" s="6">
        <v>0</v>
      </c>
      <c r="K36" s="6" t="s">
        <v>748</v>
      </c>
      <c r="L36" s="10">
        <v>364.5</v>
      </c>
      <c r="M36" s="6" t="s">
        <v>33</v>
      </c>
      <c r="N36" s="12">
        <f>Tabla4[[#This Row],[Price]]*Tabla4[[#This Row],[QTY Adjusted]]</f>
        <v>0</v>
      </c>
      <c r="O36" s="10">
        <v>0</v>
      </c>
      <c r="P36" s="20" t="s">
        <v>4240</v>
      </c>
      <c r="Q36" s="6" t="s">
        <v>4245</v>
      </c>
    </row>
    <row r="37" spans="1:17" ht="42" customHeight="1" x14ac:dyDescent="0.3">
      <c r="A37" s="6">
        <v>881</v>
      </c>
      <c r="B37" s="6" t="s">
        <v>1600</v>
      </c>
      <c r="C37" s="6" t="s">
        <v>228</v>
      </c>
      <c r="D37" s="6" t="s">
        <v>44</v>
      </c>
      <c r="E37" s="6" t="s">
        <v>1680</v>
      </c>
      <c r="F37" s="6" t="s">
        <v>4059</v>
      </c>
      <c r="G37" s="6" t="s">
        <v>254</v>
      </c>
      <c r="H37" s="6" t="s">
        <v>248</v>
      </c>
      <c r="I37" s="6" t="s">
        <v>255</v>
      </c>
      <c r="J37" s="6">
        <v>0</v>
      </c>
      <c r="K37" s="6" t="s">
        <v>748</v>
      </c>
      <c r="L37" s="10">
        <v>364.5</v>
      </c>
      <c r="M37" s="6" t="s">
        <v>33</v>
      </c>
      <c r="N37" s="12">
        <f>Tabla4[[#This Row],[Price]]*Tabla4[[#This Row],[QTY Adjusted]]</f>
        <v>0</v>
      </c>
      <c r="O37" s="10">
        <v>0</v>
      </c>
      <c r="P37" s="20" t="s">
        <v>4240</v>
      </c>
      <c r="Q37" s="6" t="s">
        <v>4245</v>
      </c>
    </row>
    <row r="38" spans="1:17" ht="42" customHeight="1" x14ac:dyDescent="0.3">
      <c r="A38" s="6">
        <v>882</v>
      </c>
      <c r="B38" s="6" t="s">
        <v>1600</v>
      </c>
      <c r="C38" s="6" t="s">
        <v>228</v>
      </c>
      <c r="D38" s="6" t="s">
        <v>44</v>
      </c>
      <c r="E38" s="6" t="s">
        <v>1680</v>
      </c>
      <c r="F38" s="6" t="s">
        <v>4059</v>
      </c>
      <c r="G38" s="6" t="s">
        <v>256</v>
      </c>
      <c r="H38" s="6" t="s">
        <v>248</v>
      </c>
      <c r="I38" s="6" t="s">
        <v>257</v>
      </c>
      <c r="J38" s="6">
        <v>0</v>
      </c>
      <c r="K38" s="6" t="s">
        <v>748</v>
      </c>
      <c r="L38" s="10">
        <v>364.5</v>
      </c>
      <c r="M38" s="6" t="s">
        <v>33</v>
      </c>
      <c r="N38" s="12">
        <f>Tabla4[[#This Row],[Price]]*Tabla4[[#This Row],[QTY Adjusted]]</f>
        <v>0</v>
      </c>
      <c r="O38" s="10">
        <v>0</v>
      </c>
      <c r="P38" s="20" t="s">
        <v>4240</v>
      </c>
      <c r="Q38" s="6" t="s">
        <v>4245</v>
      </c>
    </row>
    <row r="39" spans="1:17" ht="42" customHeight="1" x14ac:dyDescent="0.3">
      <c r="A39" s="6">
        <v>883</v>
      </c>
      <c r="B39" s="6" t="s">
        <v>1600</v>
      </c>
      <c r="C39" s="6" t="s">
        <v>228</v>
      </c>
      <c r="D39" s="6" t="s">
        <v>44</v>
      </c>
      <c r="E39" s="6" t="s">
        <v>1680</v>
      </c>
      <c r="F39" s="6" t="s">
        <v>4059</v>
      </c>
      <c r="G39" s="6" t="s">
        <v>258</v>
      </c>
      <c r="H39" s="6" t="s">
        <v>248</v>
      </c>
      <c r="I39" s="6" t="s">
        <v>259</v>
      </c>
      <c r="J39" s="6">
        <v>0</v>
      </c>
      <c r="K39" s="6" t="s">
        <v>748</v>
      </c>
      <c r="L39" s="10">
        <v>364.5</v>
      </c>
      <c r="M39" s="6" t="s">
        <v>33</v>
      </c>
      <c r="N39" s="12">
        <f>Tabla4[[#This Row],[Price]]*Tabla4[[#This Row],[QTY Adjusted]]</f>
        <v>0</v>
      </c>
      <c r="O39" s="10">
        <v>0</v>
      </c>
      <c r="P39" s="20" t="s">
        <v>4240</v>
      </c>
      <c r="Q39" s="6" t="s">
        <v>4245</v>
      </c>
    </row>
    <row r="40" spans="1:17" ht="42" customHeight="1" x14ac:dyDescent="0.3">
      <c r="A40" s="6">
        <v>884</v>
      </c>
      <c r="B40" s="6" t="s">
        <v>1600</v>
      </c>
      <c r="C40" s="6" t="s">
        <v>228</v>
      </c>
      <c r="D40" s="6" t="s">
        <v>44</v>
      </c>
      <c r="E40" s="6" t="s">
        <v>1680</v>
      </c>
      <c r="F40" s="6" t="s">
        <v>4059</v>
      </c>
      <c r="G40" s="6" t="s">
        <v>260</v>
      </c>
      <c r="H40" s="6" t="s">
        <v>248</v>
      </c>
      <c r="I40" s="6" t="s">
        <v>261</v>
      </c>
      <c r="J40" s="6">
        <v>0</v>
      </c>
      <c r="K40" s="6" t="s">
        <v>748</v>
      </c>
      <c r="L40" s="10">
        <v>364.5</v>
      </c>
      <c r="M40" s="6" t="s">
        <v>33</v>
      </c>
      <c r="N40" s="12">
        <f>Tabla4[[#This Row],[Price]]*Tabla4[[#This Row],[QTY Adjusted]]</f>
        <v>0</v>
      </c>
      <c r="O40" s="10">
        <v>0</v>
      </c>
      <c r="P40" s="20" t="s">
        <v>4240</v>
      </c>
      <c r="Q40" s="6" t="s">
        <v>4245</v>
      </c>
    </row>
    <row r="41" spans="1:17" ht="42" customHeight="1" x14ac:dyDescent="0.3">
      <c r="A41" s="6">
        <v>885</v>
      </c>
      <c r="B41" s="6" t="s">
        <v>1600</v>
      </c>
      <c r="C41" s="6" t="s">
        <v>228</v>
      </c>
      <c r="D41" s="6" t="s">
        <v>44</v>
      </c>
      <c r="E41" s="6" t="s">
        <v>1680</v>
      </c>
      <c r="F41" s="6" t="s">
        <v>4059</v>
      </c>
      <c r="G41" s="6" t="s">
        <v>262</v>
      </c>
      <c r="H41" s="6" t="s">
        <v>248</v>
      </c>
      <c r="I41" s="6" t="s">
        <v>263</v>
      </c>
      <c r="J41" s="6">
        <v>0</v>
      </c>
      <c r="K41" s="6" t="s">
        <v>748</v>
      </c>
      <c r="L41" s="10">
        <v>364.5</v>
      </c>
      <c r="M41" s="6" t="s">
        <v>33</v>
      </c>
      <c r="N41" s="12">
        <f>Tabla4[[#This Row],[Price]]*Tabla4[[#This Row],[QTY Adjusted]]</f>
        <v>0</v>
      </c>
      <c r="O41" s="10">
        <v>0</v>
      </c>
      <c r="P41" s="20" t="s">
        <v>4240</v>
      </c>
      <c r="Q41" s="6" t="s">
        <v>4245</v>
      </c>
    </row>
    <row r="42" spans="1:17" ht="42" customHeight="1" x14ac:dyDescent="0.3">
      <c r="A42" s="6">
        <v>886</v>
      </c>
      <c r="B42" s="6" t="s">
        <v>1600</v>
      </c>
      <c r="C42" s="6" t="s">
        <v>228</v>
      </c>
      <c r="D42" s="6" t="s">
        <v>44</v>
      </c>
      <c r="E42" s="6" t="s">
        <v>1680</v>
      </c>
      <c r="F42" s="6" t="s">
        <v>4059</v>
      </c>
      <c r="G42" s="6" t="s">
        <v>264</v>
      </c>
      <c r="H42" s="6" t="s">
        <v>248</v>
      </c>
      <c r="I42" s="6" t="s">
        <v>265</v>
      </c>
      <c r="J42" s="6">
        <v>0</v>
      </c>
      <c r="K42" s="6" t="s">
        <v>748</v>
      </c>
      <c r="L42" s="10">
        <v>364.5</v>
      </c>
      <c r="M42" s="6" t="s">
        <v>33</v>
      </c>
      <c r="N42" s="12">
        <f>Tabla4[[#This Row],[Price]]*Tabla4[[#This Row],[QTY Adjusted]]</f>
        <v>0</v>
      </c>
      <c r="O42" s="10">
        <v>0</v>
      </c>
      <c r="P42" s="20" t="s">
        <v>4240</v>
      </c>
      <c r="Q42" s="6" t="s">
        <v>4245</v>
      </c>
    </row>
    <row r="43" spans="1:17" ht="42" customHeight="1" x14ac:dyDescent="0.3">
      <c r="A43" s="6">
        <v>830</v>
      </c>
      <c r="B43" s="6" t="s">
        <v>1600</v>
      </c>
      <c r="C43" s="6" t="s">
        <v>47</v>
      </c>
      <c r="D43" s="6" t="s">
        <v>44</v>
      </c>
      <c r="E43" s="6" t="s">
        <v>1600</v>
      </c>
      <c r="F43" s="6" t="s">
        <v>4063</v>
      </c>
      <c r="G43" s="6" t="s">
        <v>1204</v>
      </c>
      <c r="H43" s="6" t="s">
        <v>64</v>
      </c>
      <c r="I43" s="6" t="s">
        <v>1205</v>
      </c>
      <c r="J43" s="6">
        <v>87</v>
      </c>
      <c r="K43" s="6" t="s">
        <v>19</v>
      </c>
      <c r="L43" s="10">
        <v>3.6059999999999999</v>
      </c>
      <c r="M43" s="6" t="s">
        <v>33</v>
      </c>
      <c r="N43" s="12">
        <f>Tabla4[[#This Row],[Price]]*Tabla4[[#This Row],[QTY Adjusted]]</f>
        <v>313.72199999999998</v>
      </c>
      <c r="O43" s="10">
        <v>313.72199999999998</v>
      </c>
      <c r="P43" s="20" t="s">
        <v>4225</v>
      </c>
      <c r="Q43" s="6">
        <v>0</v>
      </c>
    </row>
    <row r="44" spans="1:17" ht="42" customHeight="1" x14ac:dyDescent="0.3">
      <c r="A44" s="6">
        <v>831</v>
      </c>
      <c r="B44" s="6" t="s">
        <v>1600</v>
      </c>
      <c r="C44" s="6" t="s">
        <v>47</v>
      </c>
      <c r="D44" s="6" t="s">
        <v>44</v>
      </c>
      <c r="E44" s="6" t="s">
        <v>1600</v>
      </c>
      <c r="F44" s="6" t="s">
        <v>4063</v>
      </c>
      <c r="G44" s="6" t="s">
        <v>1206</v>
      </c>
      <c r="H44" s="6" t="s">
        <v>67</v>
      </c>
      <c r="I44" s="6" t="s">
        <v>1207</v>
      </c>
      <c r="J44" s="6">
        <v>87</v>
      </c>
      <c r="K44" s="6" t="s">
        <v>19</v>
      </c>
      <c r="L44" s="10">
        <v>3.6059999999999999</v>
      </c>
      <c r="M44" s="6" t="s">
        <v>33</v>
      </c>
      <c r="N44" s="12">
        <f>Tabla4[[#This Row],[Price]]*Tabla4[[#This Row],[QTY Adjusted]]</f>
        <v>313.72199999999998</v>
      </c>
      <c r="O44" s="10">
        <v>313.72199999999998</v>
      </c>
      <c r="P44" s="20" t="s">
        <v>4225</v>
      </c>
      <c r="Q44" s="6">
        <v>0</v>
      </c>
    </row>
    <row r="45" spans="1:17" ht="42" customHeight="1" x14ac:dyDescent="0.3">
      <c r="A45" s="6">
        <v>862</v>
      </c>
      <c r="B45" s="6" t="s">
        <v>1600</v>
      </c>
      <c r="C45" s="6" t="s">
        <v>1316</v>
      </c>
      <c r="D45" s="6" t="s">
        <v>718</v>
      </c>
      <c r="E45" s="6" t="s">
        <v>1600</v>
      </c>
      <c r="F45" s="6" t="s">
        <v>4062</v>
      </c>
      <c r="G45" s="6" t="s">
        <v>1650</v>
      </c>
      <c r="H45" s="6" t="s">
        <v>154</v>
      </c>
      <c r="I45" s="6" t="s">
        <v>1651</v>
      </c>
      <c r="J45" s="6">
        <v>29</v>
      </c>
      <c r="K45" s="6" t="s">
        <v>19</v>
      </c>
      <c r="L45" s="10">
        <v>9.3000000000000007</v>
      </c>
      <c r="M45" s="6" t="s">
        <v>33</v>
      </c>
      <c r="N45" s="12">
        <f>Tabla4[[#This Row],[Price]]*Tabla4[[#This Row],[QTY Adjusted]]</f>
        <v>269.70000000000005</v>
      </c>
      <c r="O45" s="10">
        <v>269.70000000000005</v>
      </c>
      <c r="P45" s="20" t="s">
        <v>4225</v>
      </c>
      <c r="Q45" s="6">
        <v>0</v>
      </c>
    </row>
    <row r="46" spans="1:17" ht="42" customHeight="1" x14ac:dyDescent="0.3">
      <c r="A46" s="6">
        <v>861</v>
      </c>
      <c r="B46" s="6" t="s">
        <v>1600</v>
      </c>
      <c r="C46" s="6" t="s">
        <v>1316</v>
      </c>
      <c r="D46" s="6" t="s">
        <v>718</v>
      </c>
      <c r="E46" s="6" t="s">
        <v>1600</v>
      </c>
      <c r="F46" s="6" t="s">
        <v>4062</v>
      </c>
      <c r="G46" s="6" t="s">
        <v>1648</v>
      </c>
      <c r="H46" s="6" t="s">
        <v>159</v>
      </c>
      <c r="I46" s="6" t="s">
        <v>1649</v>
      </c>
      <c r="J46" s="6">
        <v>29</v>
      </c>
      <c r="K46" s="6" t="s">
        <v>19</v>
      </c>
      <c r="L46" s="10">
        <v>9</v>
      </c>
      <c r="M46" s="6" t="s">
        <v>33</v>
      </c>
      <c r="N46" s="12">
        <f>Tabla4[[#This Row],[Price]]*Tabla4[[#This Row],[QTY Adjusted]]</f>
        <v>261</v>
      </c>
      <c r="O46" s="10">
        <v>261</v>
      </c>
      <c r="P46" s="20" t="s">
        <v>4225</v>
      </c>
      <c r="Q46" s="6">
        <v>0</v>
      </c>
    </row>
    <row r="47" spans="1:17" ht="42" customHeight="1" x14ac:dyDescent="0.3">
      <c r="A47" s="6">
        <v>836</v>
      </c>
      <c r="B47" s="6" t="s">
        <v>1600</v>
      </c>
      <c r="C47" s="6" t="s">
        <v>130</v>
      </c>
      <c r="D47" s="6" t="s">
        <v>130</v>
      </c>
      <c r="E47" s="6" t="s">
        <v>1600</v>
      </c>
      <c r="F47" s="6" t="s">
        <v>4060</v>
      </c>
      <c r="G47" s="6" t="s">
        <v>1608</v>
      </c>
      <c r="H47" s="6" t="s">
        <v>1609</v>
      </c>
      <c r="I47" s="6" t="s">
        <v>1610</v>
      </c>
      <c r="J47" s="6">
        <v>36</v>
      </c>
      <c r="K47" s="6" t="s">
        <v>19</v>
      </c>
      <c r="L47" s="10">
        <v>7.1954099493573578</v>
      </c>
      <c r="M47" s="6" t="s">
        <v>33</v>
      </c>
      <c r="N47" s="12">
        <f>Tabla4[[#This Row],[Price]]*Tabla4[[#This Row],[QTY Adjusted]]</f>
        <v>259.0347581768649</v>
      </c>
      <c r="O47" s="10">
        <v>259.0347581768649</v>
      </c>
      <c r="P47" s="20" t="s">
        <v>4225</v>
      </c>
      <c r="Q47" s="6">
        <v>0</v>
      </c>
    </row>
    <row r="48" spans="1:17" ht="42" customHeight="1" x14ac:dyDescent="0.3">
      <c r="A48" s="6">
        <v>839</v>
      </c>
      <c r="B48" s="6" t="s">
        <v>1600</v>
      </c>
      <c r="C48" s="6" t="s">
        <v>130</v>
      </c>
      <c r="D48" s="6" t="s">
        <v>130</v>
      </c>
      <c r="E48" s="6" t="s">
        <v>1600</v>
      </c>
      <c r="F48" s="6" t="s">
        <v>4060</v>
      </c>
      <c r="G48" s="6" t="s">
        <v>1298</v>
      </c>
      <c r="H48" s="6" t="s">
        <v>1299</v>
      </c>
      <c r="I48" s="6" t="s">
        <v>1300</v>
      </c>
      <c r="J48" s="6">
        <v>36</v>
      </c>
      <c r="K48" s="6" t="s">
        <v>19</v>
      </c>
      <c r="L48" s="10">
        <v>6.767657340902991</v>
      </c>
      <c r="M48" s="6" t="s">
        <v>33</v>
      </c>
      <c r="N48" s="12">
        <f>Tabla4[[#This Row],[Price]]*Tabla4[[#This Row],[QTY Adjusted]]</f>
        <v>243.63566427250768</v>
      </c>
      <c r="O48" s="10">
        <v>243.63566427250768</v>
      </c>
      <c r="P48" s="20" t="s">
        <v>4225</v>
      </c>
      <c r="Q48" s="6">
        <v>0</v>
      </c>
    </row>
    <row r="49" spans="1:17" ht="42" customHeight="1" x14ac:dyDescent="0.3">
      <c r="A49" s="6">
        <v>856</v>
      </c>
      <c r="B49" s="6" t="s">
        <v>1600</v>
      </c>
      <c r="C49" s="6" t="s">
        <v>1316</v>
      </c>
      <c r="D49" s="6" t="s">
        <v>718</v>
      </c>
      <c r="E49" s="6" t="s">
        <v>1600</v>
      </c>
      <c r="F49" s="6" t="s">
        <v>4062</v>
      </c>
      <c r="G49" s="6" t="s">
        <v>1322</v>
      </c>
      <c r="H49" s="6" t="s">
        <v>706</v>
      </c>
      <c r="I49" s="6" t="s">
        <v>1323</v>
      </c>
      <c r="J49" s="6">
        <v>29</v>
      </c>
      <c r="K49" s="6" t="s">
        <v>19</v>
      </c>
      <c r="L49" s="10">
        <v>8</v>
      </c>
      <c r="M49" s="6" t="s">
        <v>33</v>
      </c>
      <c r="N49" s="12">
        <f>Tabla4[[#This Row],[Price]]*Tabla4[[#This Row],[QTY Adjusted]]</f>
        <v>232</v>
      </c>
      <c r="O49" s="10">
        <v>232</v>
      </c>
      <c r="P49" s="20" t="s">
        <v>4225</v>
      </c>
      <c r="Q49" s="6">
        <v>0</v>
      </c>
    </row>
    <row r="50" spans="1:17" ht="42" customHeight="1" x14ac:dyDescent="0.3">
      <c r="A50" s="6">
        <v>863</v>
      </c>
      <c r="B50" s="6" t="s">
        <v>1600</v>
      </c>
      <c r="C50" s="6" t="s">
        <v>1316</v>
      </c>
      <c r="D50" s="6" t="s">
        <v>718</v>
      </c>
      <c r="E50" s="6" t="s">
        <v>1600</v>
      </c>
      <c r="F50" s="6" t="s">
        <v>4062</v>
      </c>
      <c r="G50" s="6" t="s">
        <v>1652</v>
      </c>
      <c r="H50" s="6" t="s">
        <v>416</v>
      </c>
      <c r="I50" s="6" t="s">
        <v>1653</v>
      </c>
      <c r="J50" s="6">
        <v>48</v>
      </c>
      <c r="K50" s="6" t="s">
        <v>19</v>
      </c>
      <c r="L50" s="10">
        <v>3.7</v>
      </c>
      <c r="M50" s="6" t="s">
        <v>33</v>
      </c>
      <c r="N50" s="12">
        <f>Tabla4[[#This Row],[Price]]*Tabla4[[#This Row],[QTY Adjusted]]</f>
        <v>177.60000000000002</v>
      </c>
      <c r="O50" s="10">
        <v>177.60000000000002</v>
      </c>
      <c r="P50" s="20" t="s">
        <v>4225</v>
      </c>
      <c r="Q50" s="6">
        <v>0</v>
      </c>
    </row>
    <row r="51" spans="1:17" ht="42" customHeight="1" x14ac:dyDescent="0.3">
      <c r="A51" s="6">
        <v>833</v>
      </c>
      <c r="B51" s="6" t="s">
        <v>1600</v>
      </c>
      <c r="C51" s="6" t="s">
        <v>47</v>
      </c>
      <c r="D51" s="6" t="s">
        <v>44</v>
      </c>
      <c r="E51" s="6" t="s">
        <v>1600</v>
      </c>
      <c r="F51" s="6" t="s">
        <v>4063</v>
      </c>
      <c r="G51" s="6" t="s">
        <v>1216</v>
      </c>
      <c r="H51" s="6" t="s">
        <v>58</v>
      </c>
      <c r="I51" s="6" t="s">
        <v>1217</v>
      </c>
      <c r="J51" s="6">
        <v>87</v>
      </c>
      <c r="K51" s="6" t="s">
        <v>19</v>
      </c>
      <c r="L51" s="10">
        <v>2.0219999999999998</v>
      </c>
      <c r="M51" s="6" t="s">
        <v>33</v>
      </c>
      <c r="N51" s="12">
        <f>Tabla4[[#This Row],[Price]]*Tabla4[[#This Row],[QTY Adjusted]]</f>
        <v>175.91399999999999</v>
      </c>
      <c r="O51" s="10">
        <v>175.91399999999999</v>
      </c>
      <c r="P51" s="20" t="s">
        <v>4225</v>
      </c>
      <c r="Q51" s="6">
        <v>0</v>
      </c>
    </row>
    <row r="52" spans="1:17" ht="42" customHeight="1" x14ac:dyDescent="0.3">
      <c r="A52" s="6">
        <v>875</v>
      </c>
      <c r="B52" s="6" t="s">
        <v>1600</v>
      </c>
      <c r="C52" s="6" t="s">
        <v>237</v>
      </c>
      <c r="D52" s="6" t="s">
        <v>93</v>
      </c>
      <c r="E52" s="6" t="s">
        <v>1680</v>
      </c>
      <c r="F52" s="6" t="s">
        <v>4059</v>
      </c>
      <c r="G52" s="6" t="s">
        <v>743</v>
      </c>
      <c r="H52" s="6" t="s">
        <v>239</v>
      </c>
      <c r="I52" s="6" t="s">
        <v>1348</v>
      </c>
      <c r="J52" s="6">
        <v>2</v>
      </c>
      <c r="K52" s="6" t="s">
        <v>19</v>
      </c>
      <c r="L52" s="10">
        <v>99.59</v>
      </c>
      <c r="M52" s="6" t="s">
        <v>33</v>
      </c>
      <c r="N52" s="12">
        <f>Tabla4[[#This Row],[Price]]*Tabla4[[#This Row],[QTY Adjusted]]</f>
        <v>199.18</v>
      </c>
      <c r="O52" s="10">
        <v>199.18</v>
      </c>
      <c r="P52" s="20" t="s">
        <v>4225</v>
      </c>
      <c r="Q52" s="6">
        <v>0</v>
      </c>
    </row>
    <row r="53" spans="1:17" ht="42" customHeight="1" x14ac:dyDescent="0.3">
      <c r="A53" s="6">
        <v>840</v>
      </c>
      <c r="B53" s="6" t="s">
        <v>1600</v>
      </c>
      <c r="C53" s="6" t="s">
        <v>130</v>
      </c>
      <c r="D53" s="6" t="s">
        <v>130</v>
      </c>
      <c r="E53" s="6" t="s">
        <v>1600</v>
      </c>
      <c r="F53" s="6" t="s">
        <v>4060</v>
      </c>
      <c r="G53" s="6" t="s">
        <v>1295</v>
      </c>
      <c r="H53" s="6" t="s">
        <v>1296</v>
      </c>
      <c r="I53" s="6" t="s">
        <v>1297</v>
      </c>
      <c r="J53" s="6">
        <v>36</v>
      </c>
      <c r="K53" s="6" t="s">
        <v>19</v>
      </c>
      <c r="L53" s="10">
        <v>4.5219561465175744</v>
      </c>
      <c r="M53" s="6" t="s">
        <v>33</v>
      </c>
      <c r="N53" s="12">
        <f>Tabla4[[#This Row],[Price]]*Tabla4[[#This Row],[QTY Adjusted]]</f>
        <v>162.79042127463268</v>
      </c>
      <c r="O53" s="10">
        <v>162.79042127463268</v>
      </c>
      <c r="P53" s="20" t="s">
        <v>4225</v>
      </c>
      <c r="Q53" s="6">
        <v>0</v>
      </c>
    </row>
    <row r="54" spans="1:17" ht="42" customHeight="1" x14ac:dyDescent="0.3">
      <c r="A54" s="6">
        <v>902</v>
      </c>
      <c r="B54" s="6" t="s">
        <v>1600</v>
      </c>
      <c r="C54" s="6" t="s">
        <v>314</v>
      </c>
      <c r="D54" s="6" t="s">
        <v>93</v>
      </c>
      <c r="E54" s="6" t="s">
        <v>1680</v>
      </c>
      <c r="F54" s="6" t="s">
        <v>4059</v>
      </c>
      <c r="G54" s="6" t="s">
        <v>315</v>
      </c>
      <c r="H54" s="6" t="s">
        <v>316</v>
      </c>
      <c r="I54" s="6" t="s">
        <v>317</v>
      </c>
      <c r="J54" s="6">
        <v>1</v>
      </c>
      <c r="K54" s="6" t="s">
        <v>19</v>
      </c>
      <c r="L54" s="10">
        <v>175.87</v>
      </c>
      <c r="M54" s="6" t="s">
        <v>33</v>
      </c>
      <c r="N54" s="12">
        <f>Tabla4[[#This Row],[Price]]*Tabla4[[#This Row],[QTY Adjusted]]</f>
        <v>175.87</v>
      </c>
      <c r="O54" s="10">
        <v>175.87</v>
      </c>
      <c r="P54" s="20" t="s">
        <v>4225</v>
      </c>
      <c r="Q54" s="6">
        <v>0</v>
      </c>
    </row>
    <row r="55" spans="1:17" ht="42" customHeight="1" x14ac:dyDescent="0.3">
      <c r="A55" s="6">
        <v>903</v>
      </c>
      <c r="B55" s="6" t="s">
        <v>1600</v>
      </c>
      <c r="C55" s="6" t="s">
        <v>29</v>
      </c>
      <c r="D55" s="6" t="str">
        <f>Tabla4[[#This Row],[Vendor]]</f>
        <v>Blue Pheasant</v>
      </c>
      <c r="E55" s="6" t="s">
        <v>1680</v>
      </c>
      <c r="F55" s="6" t="s">
        <v>4059</v>
      </c>
      <c r="G55" s="6" t="s">
        <v>1682</v>
      </c>
      <c r="H55" s="6" t="s">
        <v>319</v>
      </c>
      <c r="I55" s="20" t="s">
        <v>1683</v>
      </c>
      <c r="J55" s="6">
        <v>3</v>
      </c>
      <c r="K55" s="6" t="s">
        <v>19</v>
      </c>
      <c r="L55" s="10">
        <v>55</v>
      </c>
      <c r="M55" s="6" t="s">
        <v>33</v>
      </c>
      <c r="N55" s="12">
        <f>Tabla4[[#This Row],[Price]]*Tabla4[[#This Row],[QTY Adjusted]]</f>
        <v>165</v>
      </c>
      <c r="O55" s="10">
        <v>165</v>
      </c>
      <c r="P55" s="20" t="s">
        <v>4218</v>
      </c>
      <c r="Q55" s="6" t="s">
        <v>4245</v>
      </c>
    </row>
    <row r="56" spans="1:17" ht="42" customHeight="1" x14ac:dyDescent="0.3">
      <c r="A56" s="6">
        <v>835</v>
      </c>
      <c r="B56" s="6" t="s">
        <v>1600</v>
      </c>
      <c r="C56" s="6" t="s">
        <v>130</v>
      </c>
      <c r="D56" s="6" t="s">
        <v>130</v>
      </c>
      <c r="E56" s="6" t="s">
        <v>1600</v>
      </c>
      <c r="F56" s="6" t="s">
        <v>4060</v>
      </c>
      <c r="G56" s="6" t="s">
        <v>1286</v>
      </c>
      <c r="H56" s="6" t="s">
        <v>1226</v>
      </c>
      <c r="I56" s="6" t="s">
        <v>1287</v>
      </c>
      <c r="J56" s="6">
        <v>36</v>
      </c>
      <c r="K56" s="6" t="s">
        <v>19</v>
      </c>
      <c r="L56" s="10">
        <v>3.895604112709397</v>
      </c>
      <c r="M56" s="6" t="s">
        <v>33</v>
      </c>
      <c r="N56" s="12">
        <f>Tabla4[[#This Row],[Price]]*Tabla4[[#This Row],[QTY Adjusted]]</f>
        <v>140.2417480575383</v>
      </c>
      <c r="O56" s="10">
        <v>140.2417480575383</v>
      </c>
      <c r="P56" s="20" t="s">
        <v>4225</v>
      </c>
      <c r="Q56" s="6">
        <v>0</v>
      </c>
    </row>
    <row r="57" spans="1:17" ht="42" customHeight="1" x14ac:dyDescent="0.3">
      <c r="A57" s="6">
        <v>873</v>
      </c>
      <c r="B57" s="6" t="s">
        <v>1600</v>
      </c>
      <c r="C57" s="6" t="s">
        <v>321</v>
      </c>
      <c r="D57" s="6" t="s">
        <v>199</v>
      </c>
      <c r="E57" s="6" t="s">
        <v>1680</v>
      </c>
      <c r="F57" s="6" t="s">
        <v>4059</v>
      </c>
      <c r="G57" s="6" t="s">
        <v>1346</v>
      </c>
      <c r="H57" s="6" t="s">
        <v>230</v>
      </c>
      <c r="I57" s="6" t="s">
        <v>1347</v>
      </c>
      <c r="J57" s="6">
        <v>2</v>
      </c>
      <c r="K57" s="6" t="s">
        <v>19</v>
      </c>
      <c r="L57" s="10">
        <v>68.75661003750001</v>
      </c>
      <c r="M57" s="6" t="s">
        <v>33</v>
      </c>
      <c r="N57" s="12">
        <f>Tabla4[[#This Row],[Price]]*Tabla4[[#This Row],[QTY Adjusted]]</f>
        <v>137.51322007500002</v>
      </c>
      <c r="O57" s="10">
        <v>137.51322007500002</v>
      </c>
      <c r="P57" s="20" t="s">
        <v>4225</v>
      </c>
      <c r="Q57" s="6">
        <v>0</v>
      </c>
    </row>
    <row r="58" spans="1:17" ht="42" customHeight="1" x14ac:dyDescent="0.3">
      <c r="A58" s="6">
        <v>828</v>
      </c>
      <c r="B58" s="6" t="s">
        <v>1600</v>
      </c>
      <c r="C58" s="6" t="s">
        <v>903</v>
      </c>
      <c r="D58" s="6" t="s">
        <v>44</v>
      </c>
      <c r="E58" s="6" t="s">
        <v>1600</v>
      </c>
      <c r="F58" s="6" t="s">
        <v>4059</v>
      </c>
      <c r="G58" s="6" t="s">
        <v>1604</v>
      </c>
      <c r="H58" s="6" t="s">
        <v>41</v>
      </c>
      <c r="I58" s="6" t="s">
        <v>1605</v>
      </c>
      <c r="J58" s="6">
        <v>12</v>
      </c>
      <c r="K58" s="6" t="s">
        <v>19</v>
      </c>
      <c r="L58" s="10">
        <v>11.29</v>
      </c>
      <c r="M58" s="6" t="s">
        <v>33</v>
      </c>
      <c r="N58" s="12">
        <f>Tabla4[[#This Row],[Price]]*Tabla4[[#This Row],[QTY Adjusted]]</f>
        <v>135.47999999999999</v>
      </c>
      <c r="O58" s="10">
        <v>135.47999999999999</v>
      </c>
      <c r="P58" s="20" t="s">
        <v>4225</v>
      </c>
      <c r="Q58" s="6">
        <v>0</v>
      </c>
    </row>
    <row r="59" spans="1:17" ht="42" customHeight="1" x14ac:dyDescent="0.3">
      <c r="A59" s="6">
        <v>829</v>
      </c>
      <c r="B59" s="6" t="s">
        <v>1600</v>
      </c>
      <c r="C59" s="6" t="s">
        <v>903</v>
      </c>
      <c r="D59" s="6" t="s">
        <v>44</v>
      </c>
      <c r="E59" s="6" t="s">
        <v>1600</v>
      </c>
      <c r="F59" s="6" t="s">
        <v>4059</v>
      </c>
      <c r="G59" s="6" t="s">
        <v>1606</v>
      </c>
      <c r="H59" s="6" t="s">
        <v>39</v>
      </c>
      <c r="I59" s="6" t="s">
        <v>1607</v>
      </c>
      <c r="J59" s="6">
        <v>12</v>
      </c>
      <c r="K59" s="6" t="s">
        <v>19</v>
      </c>
      <c r="L59" s="10">
        <v>11.29</v>
      </c>
      <c r="M59" s="6" t="s">
        <v>33</v>
      </c>
      <c r="N59" s="12">
        <f>Tabla4[[#This Row],[Price]]*Tabla4[[#This Row],[QTY Adjusted]]</f>
        <v>135.47999999999999</v>
      </c>
      <c r="O59" s="10">
        <v>135.47999999999999</v>
      </c>
      <c r="P59" s="20" t="s">
        <v>4225</v>
      </c>
      <c r="Q59" s="6">
        <v>0</v>
      </c>
    </row>
    <row r="60" spans="1:17" ht="42" customHeight="1" x14ac:dyDescent="0.3">
      <c r="A60" s="6">
        <v>917</v>
      </c>
      <c r="B60" s="6" t="s">
        <v>1600</v>
      </c>
      <c r="C60" s="6" t="s">
        <v>361</v>
      </c>
      <c r="D60" s="6" t="s">
        <v>362</v>
      </c>
      <c r="E60" s="6" t="s">
        <v>1680</v>
      </c>
      <c r="F60" s="6" t="s">
        <v>4059</v>
      </c>
      <c r="G60" s="6" t="s">
        <v>363</v>
      </c>
      <c r="H60" s="6" t="s">
        <v>364</v>
      </c>
      <c r="I60" s="6" t="s">
        <v>365</v>
      </c>
      <c r="J60" s="6">
        <v>3</v>
      </c>
      <c r="K60" s="6" t="s">
        <v>19</v>
      </c>
      <c r="L60" s="10">
        <v>44.937176470588234</v>
      </c>
      <c r="M60" s="6" t="s">
        <v>33</v>
      </c>
      <c r="N60" s="12">
        <f>Tabla4[[#This Row],[Price]]*Tabla4[[#This Row],[QTY Adjusted]]</f>
        <v>134.8115294117647</v>
      </c>
      <c r="O60" s="10">
        <v>134.8115294117647</v>
      </c>
      <c r="P60" s="20" t="s">
        <v>4225</v>
      </c>
      <c r="Q60" s="6">
        <v>0</v>
      </c>
    </row>
    <row r="61" spans="1:17" ht="42" customHeight="1" x14ac:dyDescent="0.3">
      <c r="A61" s="6">
        <v>896</v>
      </c>
      <c r="B61" s="6" t="s">
        <v>1600</v>
      </c>
      <c r="C61" s="6" t="s">
        <v>321</v>
      </c>
      <c r="D61" s="6" t="s">
        <v>199</v>
      </c>
      <c r="E61" s="6" t="s">
        <v>1680</v>
      </c>
      <c r="F61" s="6" t="s">
        <v>4059</v>
      </c>
      <c r="G61" s="6" t="s">
        <v>1365</v>
      </c>
      <c r="H61" s="6" t="s">
        <v>295</v>
      </c>
      <c r="I61" s="6" t="s">
        <v>1366</v>
      </c>
      <c r="J61" s="6">
        <v>4</v>
      </c>
      <c r="K61" s="6" t="s">
        <v>19</v>
      </c>
      <c r="L61" s="10">
        <v>31.749994237500001</v>
      </c>
      <c r="M61" s="6" t="s">
        <v>33</v>
      </c>
      <c r="N61" s="12">
        <f>Tabla4[[#This Row],[Price]]*Tabla4[[#This Row],[QTY Adjusted]]</f>
        <v>126.99997695</v>
      </c>
      <c r="O61" s="10">
        <v>126.99997695</v>
      </c>
      <c r="P61" s="20" t="s">
        <v>4225</v>
      </c>
      <c r="Q61" s="6">
        <v>0</v>
      </c>
    </row>
    <row r="62" spans="1:17" ht="42" customHeight="1" x14ac:dyDescent="0.3">
      <c r="A62" s="6">
        <v>909</v>
      </c>
      <c r="B62" s="6" t="s">
        <v>1600</v>
      </c>
      <c r="C62" s="6" t="s">
        <v>237</v>
      </c>
      <c r="D62" s="6" t="s">
        <v>93</v>
      </c>
      <c r="E62" s="6" t="s">
        <v>1680</v>
      </c>
      <c r="F62" s="6" t="s">
        <v>4059</v>
      </c>
      <c r="G62" s="6" t="s">
        <v>339</v>
      </c>
      <c r="H62" s="6" t="s">
        <v>334</v>
      </c>
      <c r="I62" s="6" t="s">
        <v>340</v>
      </c>
      <c r="J62" s="6">
        <v>3</v>
      </c>
      <c r="K62" s="6" t="s">
        <v>19</v>
      </c>
      <c r="L62" s="10">
        <v>41.19</v>
      </c>
      <c r="M62" s="6" t="s">
        <v>33</v>
      </c>
      <c r="N62" s="12">
        <f>Tabla4[[#This Row],[Price]]*Tabla4[[#This Row],[QTY Adjusted]]</f>
        <v>123.57</v>
      </c>
      <c r="O62" s="10">
        <v>123.57</v>
      </c>
      <c r="P62" s="20" t="s">
        <v>4225</v>
      </c>
      <c r="Q62" s="6">
        <v>0</v>
      </c>
    </row>
    <row r="63" spans="1:17" ht="42" customHeight="1" x14ac:dyDescent="0.3">
      <c r="A63" s="6">
        <v>900</v>
      </c>
      <c r="B63" s="6" t="s">
        <v>1600</v>
      </c>
      <c r="C63" s="6" t="s">
        <v>272</v>
      </c>
      <c r="D63" s="6" t="str">
        <f>Tabla4[[#This Row],[Vendor]]</f>
        <v>Spill-Stop</v>
      </c>
      <c r="E63" s="6" t="s">
        <v>1680</v>
      </c>
      <c r="F63" s="6" t="s">
        <v>4059</v>
      </c>
      <c r="G63" s="6" t="s">
        <v>306</v>
      </c>
      <c r="H63" s="6" t="s">
        <v>307</v>
      </c>
      <c r="I63" s="6" t="s">
        <v>308</v>
      </c>
      <c r="J63" s="6">
        <v>48</v>
      </c>
      <c r="K63" s="6" t="s">
        <v>19</v>
      </c>
      <c r="L63" s="10">
        <v>2.2799999999999998</v>
      </c>
      <c r="M63" s="6" t="s">
        <v>33</v>
      </c>
      <c r="N63" s="12">
        <f>Tabla4[[#This Row],[Price]]*Tabla4[[#This Row],[QTY Adjusted]]</f>
        <v>109.44</v>
      </c>
      <c r="O63" s="10">
        <v>109.44</v>
      </c>
      <c r="P63" s="20" t="s">
        <v>4230</v>
      </c>
      <c r="Q63" s="6">
        <v>0</v>
      </c>
    </row>
    <row r="64" spans="1:17" ht="42" customHeight="1" x14ac:dyDescent="0.3">
      <c r="A64" s="6">
        <v>841</v>
      </c>
      <c r="B64" s="6" t="s">
        <v>1600</v>
      </c>
      <c r="C64" s="6" t="s">
        <v>130</v>
      </c>
      <c r="D64" s="6" t="s">
        <v>130</v>
      </c>
      <c r="E64" s="6" t="s">
        <v>1600</v>
      </c>
      <c r="F64" s="6" t="s">
        <v>4060</v>
      </c>
      <c r="G64" s="6" t="s">
        <v>1614</v>
      </c>
      <c r="H64" s="6" t="s">
        <v>1615</v>
      </c>
      <c r="I64" s="6" t="s">
        <v>1616</v>
      </c>
      <c r="J64" s="6">
        <v>29</v>
      </c>
      <c r="K64" s="6" t="s">
        <v>19</v>
      </c>
      <c r="L64" s="10">
        <v>3.1623139267876281</v>
      </c>
      <c r="M64" s="6" t="s">
        <v>33</v>
      </c>
      <c r="N64" s="12">
        <f>Tabla4[[#This Row],[Price]]*Tabla4[[#This Row],[QTY Adjusted]]</f>
        <v>91.707103876841217</v>
      </c>
      <c r="O64" s="10">
        <v>91.707103876841217</v>
      </c>
      <c r="P64" s="20" t="s">
        <v>4225</v>
      </c>
      <c r="Q64" s="6">
        <v>0</v>
      </c>
    </row>
    <row r="65" spans="1:17" ht="42" customHeight="1" x14ac:dyDescent="0.3">
      <c r="A65" s="6">
        <v>901</v>
      </c>
      <c r="B65" s="6" t="s">
        <v>1600</v>
      </c>
      <c r="C65" s="6" t="s">
        <v>309</v>
      </c>
      <c r="D65" s="6" t="s">
        <v>44</v>
      </c>
      <c r="E65" s="6" t="s">
        <v>1680</v>
      </c>
      <c r="F65" s="6" t="s">
        <v>4059</v>
      </c>
      <c r="G65" s="6">
        <v>186700</v>
      </c>
      <c r="H65" s="6" t="s">
        <v>312</v>
      </c>
      <c r="I65" s="6" t="s">
        <v>313</v>
      </c>
      <c r="J65" s="6">
        <v>1</v>
      </c>
      <c r="K65" s="6" t="s">
        <v>19</v>
      </c>
      <c r="L65" s="10">
        <v>105.01</v>
      </c>
      <c r="M65" s="6" t="s">
        <v>33</v>
      </c>
      <c r="N65" s="12">
        <f>Tabla4[[#This Row],[Price]]*Tabla4[[#This Row],[QTY Adjusted]]</f>
        <v>105.01</v>
      </c>
      <c r="O65" s="10">
        <v>105.01</v>
      </c>
      <c r="P65" s="20" t="s">
        <v>4225</v>
      </c>
      <c r="Q65" s="6">
        <v>0</v>
      </c>
    </row>
    <row r="66" spans="1:17" ht="42" customHeight="1" x14ac:dyDescent="0.3">
      <c r="A66" s="6">
        <v>907</v>
      </c>
      <c r="B66" s="6" t="s">
        <v>1600</v>
      </c>
      <c r="C66" s="6" t="s">
        <v>237</v>
      </c>
      <c r="D66" s="6" t="s">
        <v>93</v>
      </c>
      <c r="E66" s="6" t="s">
        <v>1680</v>
      </c>
      <c r="F66" s="6" t="s">
        <v>4059</v>
      </c>
      <c r="G66" s="6" t="s">
        <v>333</v>
      </c>
      <c r="H66" s="6" t="s">
        <v>334</v>
      </c>
      <c r="I66" s="6" t="s">
        <v>335</v>
      </c>
      <c r="J66" s="6">
        <v>3</v>
      </c>
      <c r="K66" s="6" t="s">
        <v>19</v>
      </c>
      <c r="L66" s="10">
        <v>28.36</v>
      </c>
      <c r="M66" s="6" t="s">
        <v>33</v>
      </c>
      <c r="N66" s="12">
        <f>Tabla4[[#This Row],[Price]]*Tabla4[[#This Row],[QTY Adjusted]]</f>
        <v>85.08</v>
      </c>
      <c r="O66" s="10">
        <v>85.08</v>
      </c>
      <c r="P66" s="20" t="s">
        <v>4225</v>
      </c>
      <c r="Q66" s="6">
        <v>0</v>
      </c>
    </row>
    <row r="67" spans="1:17" ht="42" customHeight="1" x14ac:dyDescent="0.3">
      <c r="A67" s="6">
        <v>890</v>
      </c>
      <c r="B67" s="6" t="s">
        <v>1600</v>
      </c>
      <c r="C67" s="6" t="s">
        <v>321</v>
      </c>
      <c r="D67" s="6" t="s">
        <v>199</v>
      </c>
      <c r="E67" s="6" t="s">
        <v>1680</v>
      </c>
      <c r="F67" s="6" t="s">
        <v>4059</v>
      </c>
      <c r="G67" s="6" t="s">
        <v>1352</v>
      </c>
      <c r="H67" s="6" t="s">
        <v>277</v>
      </c>
      <c r="I67" s="6" t="s">
        <v>1353</v>
      </c>
      <c r="J67" s="6">
        <v>3</v>
      </c>
      <c r="K67" s="6" t="s">
        <v>19</v>
      </c>
      <c r="L67" s="10">
        <v>27.439564556250009</v>
      </c>
      <c r="M67" s="6" t="s">
        <v>33</v>
      </c>
      <c r="N67" s="12">
        <f>Tabla4[[#This Row],[Price]]*Tabla4[[#This Row],[QTY Adjusted]]</f>
        <v>82.318693668750029</v>
      </c>
      <c r="O67" s="10">
        <v>82.318693668750029</v>
      </c>
      <c r="P67" s="20" t="s">
        <v>4225</v>
      </c>
      <c r="Q67" s="6">
        <v>0</v>
      </c>
    </row>
    <row r="68" spans="1:17" ht="42" customHeight="1" x14ac:dyDescent="0.3">
      <c r="A68" s="6">
        <v>912</v>
      </c>
      <c r="B68" s="6" t="s">
        <v>1600</v>
      </c>
      <c r="C68" s="6" t="s">
        <v>329</v>
      </c>
      <c r="D68" s="6" t="s">
        <v>199</v>
      </c>
      <c r="E68" s="6" t="s">
        <v>1680</v>
      </c>
      <c r="F68" s="6" t="s">
        <v>4059</v>
      </c>
      <c r="G68" s="6" t="s">
        <v>346</v>
      </c>
      <c r="H68" s="6" t="s">
        <v>347</v>
      </c>
      <c r="I68" s="6" t="s">
        <v>348</v>
      </c>
      <c r="J68" s="6">
        <v>3</v>
      </c>
      <c r="K68" s="6" t="s">
        <v>19</v>
      </c>
      <c r="L68" s="10">
        <v>27.350190000000001</v>
      </c>
      <c r="M68" s="6" t="s">
        <v>33</v>
      </c>
      <c r="N68" s="12">
        <f>Tabla4[[#This Row],[Price]]*Tabla4[[#This Row],[QTY Adjusted]]</f>
        <v>82.050570000000008</v>
      </c>
      <c r="O68" s="10">
        <v>82.050570000000008</v>
      </c>
      <c r="P68" s="20" t="s">
        <v>4225</v>
      </c>
      <c r="Q68" s="6">
        <v>0</v>
      </c>
    </row>
    <row r="69" spans="1:17" ht="42" customHeight="1" x14ac:dyDescent="0.3">
      <c r="A69" s="6">
        <v>876</v>
      </c>
      <c r="B69" s="6" t="s">
        <v>1600</v>
      </c>
      <c r="C69" s="6" t="s">
        <v>237</v>
      </c>
      <c r="D69" s="6" t="s">
        <v>93</v>
      </c>
      <c r="E69" s="6" t="s">
        <v>1680</v>
      </c>
      <c r="F69" s="6" t="s">
        <v>4059</v>
      </c>
      <c r="G69" s="6" t="s">
        <v>1349</v>
      </c>
      <c r="H69" s="6" t="s">
        <v>242</v>
      </c>
      <c r="I69" s="6" t="s">
        <v>1350</v>
      </c>
      <c r="J69" s="6">
        <v>1</v>
      </c>
      <c r="K69" s="6" t="s">
        <v>19</v>
      </c>
      <c r="L69" s="10">
        <v>77.989999999999995</v>
      </c>
      <c r="M69" s="6" t="s">
        <v>33</v>
      </c>
      <c r="N69" s="12">
        <f>Tabla4[[#This Row],[Price]]*Tabla4[[#This Row],[QTY Adjusted]]</f>
        <v>77.989999999999995</v>
      </c>
      <c r="O69" s="10">
        <v>77.989999999999995</v>
      </c>
      <c r="P69" s="20" t="s">
        <v>4225</v>
      </c>
      <c r="Q69" s="6">
        <v>0</v>
      </c>
    </row>
    <row r="70" spans="1:17" ht="42" customHeight="1" x14ac:dyDescent="0.3">
      <c r="A70" s="6">
        <v>877</v>
      </c>
      <c r="B70" s="6" t="s">
        <v>1600</v>
      </c>
      <c r="C70" s="6" t="s">
        <v>237</v>
      </c>
      <c r="D70" s="6" t="s">
        <v>93</v>
      </c>
      <c r="E70" s="6" t="s">
        <v>1680</v>
      </c>
      <c r="F70" s="6" t="s">
        <v>4059</v>
      </c>
      <c r="G70" s="6" t="s">
        <v>1159</v>
      </c>
      <c r="H70" s="6" t="s">
        <v>245</v>
      </c>
      <c r="I70" s="6" t="s">
        <v>1681</v>
      </c>
      <c r="J70" s="6">
        <v>1</v>
      </c>
      <c r="K70" s="6" t="s">
        <v>19</v>
      </c>
      <c r="L70" s="10">
        <v>77.989999999999995</v>
      </c>
      <c r="M70" s="6" t="s">
        <v>33</v>
      </c>
      <c r="N70" s="12">
        <f>Tabla4[[#This Row],[Price]]*Tabla4[[#This Row],[QTY Adjusted]]</f>
        <v>77.989999999999995</v>
      </c>
      <c r="O70" s="10">
        <v>77.989999999999995</v>
      </c>
      <c r="P70" s="20" t="s">
        <v>4225</v>
      </c>
      <c r="Q70" s="6">
        <v>0</v>
      </c>
    </row>
    <row r="71" spans="1:17" ht="42" customHeight="1" x14ac:dyDescent="0.3">
      <c r="A71" s="6">
        <v>891</v>
      </c>
      <c r="B71" s="6" t="s">
        <v>1600</v>
      </c>
      <c r="C71" s="6" t="s">
        <v>321</v>
      </c>
      <c r="D71" s="6" t="s">
        <v>199</v>
      </c>
      <c r="E71" s="6" t="s">
        <v>1680</v>
      </c>
      <c r="F71" s="6" t="s">
        <v>4059</v>
      </c>
      <c r="G71" s="6" t="s">
        <v>1354</v>
      </c>
      <c r="H71" s="6" t="s">
        <v>280</v>
      </c>
      <c r="I71" s="6" t="s">
        <v>1355</v>
      </c>
      <c r="J71" s="6">
        <v>2</v>
      </c>
      <c r="K71" s="6" t="s">
        <v>19</v>
      </c>
      <c r="L71" s="10">
        <v>36.165556350000003</v>
      </c>
      <c r="M71" s="6" t="s">
        <v>33</v>
      </c>
      <c r="N71" s="12">
        <f>Tabla4[[#This Row],[Price]]*Tabla4[[#This Row],[QTY Adjusted]]</f>
        <v>72.331112700000006</v>
      </c>
      <c r="O71" s="10">
        <v>72.331112700000006</v>
      </c>
      <c r="P71" s="20" t="s">
        <v>4225</v>
      </c>
      <c r="Q71" s="6">
        <v>0</v>
      </c>
    </row>
    <row r="72" spans="1:17" ht="42" customHeight="1" x14ac:dyDescent="0.3">
      <c r="A72" s="6">
        <v>893</v>
      </c>
      <c r="B72" s="6" t="s">
        <v>1600</v>
      </c>
      <c r="C72" s="6" t="s">
        <v>321</v>
      </c>
      <c r="D72" s="6" t="s">
        <v>199</v>
      </c>
      <c r="E72" s="6" t="s">
        <v>1680</v>
      </c>
      <c r="F72" s="6" t="s">
        <v>4059</v>
      </c>
      <c r="G72" s="6" t="s">
        <v>1359</v>
      </c>
      <c r="H72" s="6" t="s">
        <v>286</v>
      </c>
      <c r="I72" s="6" t="s">
        <v>1360</v>
      </c>
      <c r="J72" s="6">
        <v>2</v>
      </c>
      <c r="K72" s="6" t="s">
        <v>19</v>
      </c>
      <c r="L72" s="10">
        <v>35.85015905625</v>
      </c>
      <c r="M72" s="6" t="s">
        <v>33</v>
      </c>
      <c r="N72" s="12">
        <f>Tabla4[[#This Row],[Price]]*Tabla4[[#This Row],[QTY Adjusted]]</f>
        <v>71.7003181125</v>
      </c>
      <c r="O72" s="10">
        <v>71.7003181125</v>
      </c>
      <c r="P72" s="20" t="s">
        <v>4225</v>
      </c>
      <c r="Q72" s="6">
        <v>0</v>
      </c>
    </row>
    <row r="73" spans="1:17" ht="42" customHeight="1" x14ac:dyDescent="0.3">
      <c r="A73" s="6">
        <v>834</v>
      </c>
      <c r="B73" s="6" t="s">
        <v>1600</v>
      </c>
      <c r="C73" s="6" t="s">
        <v>47</v>
      </c>
      <c r="D73" s="6" t="s">
        <v>44</v>
      </c>
      <c r="E73" s="6" t="s">
        <v>1600</v>
      </c>
      <c r="F73" s="6" t="s">
        <v>4063</v>
      </c>
      <c r="G73" s="6" t="s">
        <v>1218</v>
      </c>
      <c r="H73" s="6" t="s">
        <v>61</v>
      </c>
      <c r="I73" s="6" t="s">
        <v>1219</v>
      </c>
      <c r="J73" s="6">
        <v>29</v>
      </c>
      <c r="K73" s="6" t="s">
        <v>19</v>
      </c>
      <c r="L73" s="10">
        <v>1.8240000000000001</v>
      </c>
      <c r="M73" s="6" t="s">
        <v>33</v>
      </c>
      <c r="N73" s="12">
        <f>Tabla4[[#This Row],[Price]]*Tabla4[[#This Row],[QTY Adjusted]]</f>
        <v>52.896000000000001</v>
      </c>
      <c r="O73" s="10">
        <v>52.896000000000001</v>
      </c>
      <c r="P73" s="20" t="s">
        <v>4225</v>
      </c>
      <c r="Q73" s="6">
        <v>0</v>
      </c>
    </row>
    <row r="74" spans="1:17" ht="42" customHeight="1" x14ac:dyDescent="0.3">
      <c r="A74" s="6">
        <v>894</v>
      </c>
      <c r="B74" s="6" t="s">
        <v>1600</v>
      </c>
      <c r="C74" s="6" t="s">
        <v>321</v>
      </c>
      <c r="D74" s="6" t="s">
        <v>199</v>
      </c>
      <c r="E74" s="6" t="s">
        <v>1680</v>
      </c>
      <c r="F74" s="6" t="s">
        <v>4059</v>
      </c>
      <c r="G74" s="6" t="s">
        <v>1361</v>
      </c>
      <c r="H74" s="6" t="s">
        <v>289</v>
      </c>
      <c r="I74" s="6" t="s">
        <v>1362</v>
      </c>
      <c r="J74" s="6">
        <v>2</v>
      </c>
      <c r="K74" s="6" t="s">
        <v>19</v>
      </c>
      <c r="L74" s="10">
        <v>29.647345612500001</v>
      </c>
      <c r="M74" s="6" t="s">
        <v>33</v>
      </c>
      <c r="N74" s="12">
        <f>Tabla4[[#This Row],[Price]]*Tabla4[[#This Row],[QTY Adjusted]]</f>
        <v>59.294691225000001</v>
      </c>
      <c r="O74" s="10">
        <v>59.294691225000001</v>
      </c>
      <c r="P74" s="20" t="s">
        <v>4225</v>
      </c>
      <c r="Q74" s="6">
        <v>0</v>
      </c>
    </row>
    <row r="75" spans="1:17" ht="42" customHeight="1" x14ac:dyDescent="0.3">
      <c r="A75" s="6">
        <v>892</v>
      </c>
      <c r="B75" s="6" t="s">
        <v>1600</v>
      </c>
      <c r="C75" s="6" t="s">
        <v>321</v>
      </c>
      <c r="D75" s="6" t="s">
        <v>199</v>
      </c>
      <c r="E75" s="6" t="s">
        <v>1680</v>
      </c>
      <c r="F75" s="6" t="s">
        <v>4059</v>
      </c>
      <c r="G75" s="6" t="s">
        <v>1356</v>
      </c>
      <c r="H75" s="6" t="s">
        <v>1357</v>
      </c>
      <c r="I75" s="6" t="s">
        <v>1358</v>
      </c>
      <c r="J75" s="6">
        <v>2</v>
      </c>
      <c r="K75" s="6" t="s">
        <v>19</v>
      </c>
      <c r="L75" s="10">
        <v>29.542213181250013</v>
      </c>
      <c r="M75" s="6" t="s">
        <v>33</v>
      </c>
      <c r="N75" s="12">
        <f>Tabla4[[#This Row],[Price]]*Tabla4[[#This Row],[QTY Adjusted]]</f>
        <v>59.084426362500025</v>
      </c>
      <c r="O75" s="10">
        <v>59.084426362500025</v>
      </c>
      <c r="P75" s="20" t="s">
        <v>4225</v>
      </c>
      <c r="Q75" s="6">
        <v>0</v>
      </c>
    </row>
    <row r="76" spans="1:17" ht="42" customHeight="1" x14ac:dyDescent="0.3">
      <c r="A76" s="6">
        <v>910</v>
      </c>
      <c r="B76" s="6" t="s">
        <v>1600</v>
      </c>
      <c r="C76" s="6" t="s">
        <v>237</v>
      </c>
      <c r="D76" s="6" t="s">
        <v>93</v>
      </c>
      <c r="E76" s="6" t="s">
        <v>1680</v>
      </c>
      <c r="F76" s="6" t="s">
        <v>4059</v>
      </c>
      <c r="G76" s="6" t="s">
        <v>341</v>
      </c>
      <c r="H76" s="6" t="s">
        <v>337</v>
      </c>
      <c r="I76" s="6" t="s">
        <v>342</v>
      </c>
      <c r="J76" s="6">
        <v>3</v>
      </c>
      <c r="K76" s="6" t="s">
        <v>19</v>
      </c>
      <c r="L76" s="10">
        <v>16.690000000000001</v>
      </c>
      <c r="M76" s="6" t="s">
        <v>33</v>
      </c>
      <c r="N76" s="12">
        <f>Tabla4[[#This Row],[Price]]*Tabla4[[#This Row],[QTY Adjusted]]</f>
        <v>50.070000000000007</v>
      </c>
      <c r="O76" s="10">
        <v>50.070000000000007</v>
      </c>
      <c r="P76" s="20" t="s">
        <v>4225</v>
      </c>
      <c r="Q76" s="6">
        <v>0</v>
      </c>
    </row>
    <row r="77" spans="1:17" ht="42" customHeight="1" x14ac:dyDescent="0.3">
      <c r="A77" s="6">
        <v>871</v>
      </c>
      <c r="B77" s="6" t="s">
        <v>1600</v>
      </c>
      <c r="C77" s="6" t="s">
        <v>124</v>
      </c>
      <c r="D77" s="6" t="str">
        <f>Tabla4[[#This Row],[Vendor]]</f>
        <v>Impulse</v>
      </c>
      <c r="E77" s="6" t="s">
        <v>1600</v>
      </c>
      <c r="F77" s="6" t="s">
        <v>4059</v>
      </c>
      <c r="G77" s="6" t="s">
        <v>565</v>
      </c>
      <c r="H77" s="6" t="s">
        <v>1675</v>
      </c>
      <c r="I77" s="6" t="s">
        <v>1676</v>
      </c>
      <c r="J77" s="6">
        <v>1</v>
      </c>
      <c r="K77" s="6" t="s">
        <v>19</v>
      </c>
      <c r="L77" s="10">
        <v>48</v>
      </c>
      <c r="M77" s="6" t="s">
        <v>33</v>
      </c>
      <c r="N77" s="12">
        <f>Tabla4[[#This Row],[Price]]*Tabla4[[#This Row],[QTY Adjusted]]</f>
        <v>48</v>
      </c>
      <c r="O77" s="10">
        <v>48</v>
      </c>
      <c r="P77" s="20" t="s">
        <v>4224</v>
      </c>
      <c r="Q77" s="6">
        <v>0</v>
      </c>
    </row>
    <row r="78" spans="1:17" ht="42" customHeight="1" x14ac:dyDescent="0.3">
      <c r="A78" s="6">
        <v>872</v>
      </c>
      <c r="B78" s="6" t="s">
        <v>1600</v>
      </c>
      <c r="C78" s="6" t="s">
        <v>124</v>
      </c>
      <c r="D78" s="6" t="str">
        <f>Tabla4[[#This Row],[Vendor]]</f>
        <v>Impulse</v>
      </c>
      <c r="E78" s="6" t="s">
        <v>1600</v>
      </c>
      <c r="F78" s="6" t="s">
        <v>4059</v>
      </c>
      <c r="G78" s="6" t="s">
        <v>1677</v>
      </c>
      <c r="H78" s="6" t="s">
        <v>1678</v>
      </c>
      <c r="I78" s="6" t="s">
        <v>1679</v>
      </c>
      <c r="J78" s="6">
        <v>1</v>
      </c>
      <c r="K78" s="6" t="s">
        <v>19</v>
      </c>
      <c r="L78" s="10">
        <v>45</v>
      </c>
      <c r="M78" s="6" t="s">
        <v>33</v>
      </c>
      <c r="N78" s="12">
        <f>Tabla4[[#This Row],[Price]]*Tabla4[[#This Row],[QTY Adjusted]]</f>
        <v>45</v>
      </c>
      <c r="O78" s="10">
        <v>45</v>
      </c>
      <c r="P78" s="20" t="s">
        <v>4224</v>
      </c>
      <c r="Q78" s="6">
        <v>0</v>
      </c>
    </row>
    <row r="79" spans="1:17" ht="42" customHeight="1" x14ac:dyDescent="0.3">
      <c r="A79" s="6">
        <v>904</v>
      </c>
      <c r="B79" s="6" t="s">
        <v>1600</v>
      </c>
      <c r="C79" s="6" t="s">
        <v>321</v>
      </c>
      <c r="D79" s="6" t="s">
        <v>199</v>
      </c>
      <c r="E79" s="6" t="s">
        <v>1680</v>
      </c>
      <c r="F79" s="6" t="s">
        <v>4059</v>
      </c>
      <c r="G79" s="6" t="s">
        <v>322</v>
      </c>
      <c r="H79" s="6" t="s">
        <v>323</v>
      </c>
      <c r="I79" s="6" t="s">
        <v>324</v>
      </c>
      <c r="J79" s="6">
        <v>2</v>
      </c>
      <c r="K79" s="6" t="s">
        <v>19</v>
      </c>
      <c r="L79" s="10">
        <v>20.500824093750008</v>
      </c>
      <c r="M79" s="6" t="s">
        <v>33</v>
      </c>
      <c r="N79" s="12">
        <f>Tabla4[[#This Row],[Price]]*Tabla4[[#This Row],[QTY Adjusted]]</f>
        <v>41.001648187500017</v>
      </c>
      <c r="O79" s="10">
        <v>41.001648187500017</v>
      </c>
      <c r="P79" s="20" t="s">
        <v>4225</v>
      </c>
      <c r="Q79" s="6">
        <v>0</v>
      </c>
    </row>
    <row r="80" spans="1:17" ht="42" customHeight="1" x14ac:dyDescent="0.3">
      <c r="A80" s="6">
        <v>895</v>
      </c>
      <c r="B80" s="6" t="s">
        <v>1600</v>
      </c>
      <c r="C80" s="6" t="s">
        <v>321</v>
      </c>
      <c r="D80" s="6" t="s">
        <v>199</v>
      </c>
      <c r="E80" s="6" t="s">
        <v>1680</v>
      </c>
      <c r="F80" s="6" t="s">
        <v>4059</v>
      </c>
      <c r="G80" s="6" t="s">
        <v>1363</v>
      </c>
      <c r="H80" s="6" t="s">
        <v>292</v>
      </c>
      <c r="I80" s="6" t="s">
        <v>1364</v>
      </c>
      <c r="J80" s="6">
        <v>2</v>
      </c>
      <c r="K80" s="6" t="s">
        <v>19</v>
      </c>
      <c r="L80" s="10">
        <v>19.975161937500005</v>
      </c>
      <c r="M80" s="6" t="s">
        <v>33</v>
      </c>
      <c r="N80" s="12">
        <f>Tabla4[[#This Row],[Price]]*Tabla4[[#This Row],[QTY Adjusted]]</f>
        <v>39.950323875000009</v>
      </c>
      <c r="O80" s="10">
        <v>39.950323875000009</v>
      </c>
      <c r="P80" s="20" t="s">
        <v>4225</v>
      </c>
      <c r="Q80" s="6">
        <v>0</v>
      </c>
    </row>
    <row r="81" spans="1:17" ht="42" customHeight="1" x14ac:dyDescent="0.3">
      <c r="A81" s="6">
        <v>915</v>
      </c>
      <c r="B81" s="6" t="s">
        <v>1600</v>
      </c>
      <c r="C81" s="6" t="s">
        <v>272</v>
      </c>
      <c r="D81" s="6" t="str">
        <f>Tabla4[[#This Row],[Vendor]]</f>
        <v>Spill-Stop</v>
      </c>
      <c r="E81" s="6" t="s">
        <v>1680</v>
      </c>
      <c r="F81" s="6" t="s">
        <v>4059</v>
      </c>
      <c r="G81" s="6" t="s">
        <v>355</v>
      </c>
      <c r="H81" s="6" t="s">
        <v>347</v>
      </c>
      <c r="I81" s="6" t="s">
        <v>356</v>
      </c>
      <c r="J81" s="6">
        <v>4</v>
      </c>
      <c r="K81" s="6" t="s">
        <v>19</v>
      </c>
      <c r="L81" s="10">
        <v>9.08</v>
      </c>
      <c r="M81" s="6" t="s">
        <v>33</v>
      </c>
      <c r="N81" s="12">
        <f>Tabla4[[#This Row],[Price]]*Tabla4[[#This Row],[QTY Adjusted]]</f>
        <v>36.32</v>
      </c>
      <c r="O81" s="10">
        <v>36.32</v>
      </c>
      <c r="P81" s="20" t="s">
        <v>4230</v>
      </c>
      <c r="Q81" s="6">
        <v>0</v>
      </c>
    </row>
    <row r="82" spans="1:17" ht="42" customHeight="1" x14ac:dyDescent="0.3">
      <c r="A82" s="6">
        <v>908</v>
      </c>
      <c r="B82" s="6" t="s">
        <v>1600</v>
      </c>
      <c r="C82" s="6" t="s">
        <v>237</v>
      </c>
      <c r="D82" s="6" t="s">
        <v>93</v>
      </c>
      <c r="E82" s="6" t="s">
        <v>1680</v>
      </c>
      <c r="F82" s="6" t="s">
        <v>4059</v>
      </c>
      <c r="G82" s="6" t="s">
        <v>336</v>
      </c>
      <c r="H82" s="6" t="s">
        <v>337</v>
      </c>
      <c r="I82" s="6" t="s">
        <v>338</v>
      </c>
      <c r="J82" s="6">
        <v>3</v>
      </c>
      <c r="K82" s="6" t="s">
        <v>19</v>
      </c>
      <c r="L82" s="10">
        <v>11.86</v>
      </c>
      <c r="M82" s="6" t="s">
        <v>33</v>
      </c>
      <c r="N82" s="12">
        <f>Tabla4[[#This Row],[Price]]*Tabla4[[#This Row],[QTY Adjusted]]</f>
        <v>35.58</v>
      </c>
      <c r="O82" s="10">
        <v>35.58</v>
      </c>
      <c r="P82" s="20" t="s">
        <v>4225</v>
      </c>
      <c r="Q82" s="6">
        <v>0</v>
      </c>
    </row>
    <row r="83" spans="1:17" ht="42" customHeight="1" x14ac:dyDescent="0.3">
      <c r="A83" s="6">
        <v>887</v>
      </c>
      <c r="B83" s="6" t="s">
        <v>1600</v>
      </c>
      <c r="C83" s="6" t="s">
        <v>266</v>
      </c>
      <c r="D83" s="6" t="s">
        <v>44</v>
      </c>
      <c r="E83" s="6" t="s">
        <v>1680</v>
      </c>
      <c r="F83" s="6" t="s">
        <v>4059</v>
      </c>
      <c r="G83" s="6" t="s">
        <v>267</v>
      </c>
      <c r="H83" s="6" t="s">
        <v>268</v>
      </c>
      <c r="I83" s="6" t="s">
        <v>269</v>
      </c>
      <c r="J83" s="6">
        <v>3</v>
      </c>
      <c r="K83" s="6" t="s">
        <v>19</v>
      </c>
      <c r="L83" s="10">
        <v>9.984</v>
      </c>
      <c r="M83" s="6" t="s">
        <v>33</v>
      </c>
      <c r="N83" s="12">
        <f>Tabla4[[#This Row],[Price]]*Tabla4[[#This Row],[QTY Adjusted]]</f>
        <v>29.951999999999998</v>
      </c>
      <c r="O83" s="10">
        <v>29.951999999999998</v>
      </c>
      <c r="P83" s="20" t="s">
        <v>4225</v>
      </c>
      <c r="Q83" s="6">
        <v>0</v>
      </c>
    </row>
    <row r="84" spans="1:17" ht="42" customHeight="1" x14ac:dyDescent="0.3">
      <c r="A84" s="6">
        <v>888</v>
      </c>
      <c r="B84" s="6" t="s">
        <v>1600</v>
      </c>
      <c r="C84" s="6" t="s">
        <v>266</v>
      </c>
      <c r="D84" s="6" t="s">
        <v>44</v>
      </c>
      <c r="E84" s="6" t="s">
        <v>1680</v>
      </c>
      <c r="F84" s="6" t="s">
        <v>4059</v>
      </c>
      <c r="G84" s="6" t="s">
        <v>270</v>
      </c>
      <c r="H84" s="6" t="s">
        <v>268</v>
      </c>
      <c r="I84" s="6" t="s">
        <v>271</v>
      </c>
      <c r="J84" s="6">
        <v>3</v>
      </c>
      <c r="K84" s="6" t="s">
        <v>19</v>
      </c>
      <c r="L84" s="10">
        <v>9.984</v>
      </c>
      <c r="M84" s="6" t="s">
        <v>33</v>
      </c>
      <c r="N84" s="12">
        <f>Tabla4[[#This Row],[Price]]*Tabla4[[#This Row],[QTY Adjusted]]</f>
        <v>29.951999999999998</v>
      </c>
      <c r="O84" s="10">
        <v>29.951999999999998</v>
      </c>
      <c r="P84" s="20" t="s">
        <v>4225</v>
      </c>
      <c r="Q84" s="6">
        <v>0</v>
      </c>
    </row>
    <row r="85" spans="1:17" ht="42" customHeight="1" x14ac:dyDescent="0.3">
      <c r="A85" s="6">
        <v>889</v>
      </c>
      <c r="B85" s="6" t="s">
        <v>1600</v>
      </c>
      <c r="C85" s="6" t="s">
        <v>272</v>
      </c>
      <c r="D85" s="6" t="str">
        <f>Tabla4[[#This Row],[Vendor]]</f>
        <v>Spill-Stop</v>
      </c>
      <c r="E85" s="6" t="s">
        <v>1680</v>
      </c>
      <c r="F85" s="6" t="s">
        <v>4059</v>
      </c>
      <c r="G85" s="6" t="s">
        <v>273</v>
      </c>
      <c r="H85" s="6" t="s">
        <v>274</v>
      </c>
      <c r="I85" s="6" t="s">
        <v>275</v>
      </c>
      <c r="J85" s="6">
        <v>1</v>
      </c>
      <c r="K85" s="6" t="s">
        <v>748</v>
      </c>
      <c r="L85" s="10">
        <v>28.8</v>
      </c>
      <c r="M85" s="6" t="s">
        <v>33</v>
      </c>
      <c r="N85" s="12">
        <f>Tabla4[[#This Row],[Price]]*Tabla4[[#This Row],[QTY Adjusted]]</f>
        <v>28.8</v>
      </c>
      <c r="O85" s="10">
        <v>28.8</v>
      </c>
      <c r="P85" s="20" t="s">
        <v>4230</v>
      </c>
      <c r="Q85" s="6">
        <v>0</v>
      </c>
    </row>
    <row r="86" spans="1:17" ht="42" customHeight="1" x14ac:dyDescent="0.3">
      <c r="A86" s="6">
        <v>911</v>
      </c>
      <c r="B86" s="6" t="s">
        <v>1600</v>
      </c>
      <c r="C86" s="6" t="s">
        <v>321</v>
      </c>
      <c r="D86" s="6" t="s">
        <v>199</v>
      </c>
      <c r="E86" s="6" t="s">
        <v>1680</v>
      </c>
      <c r="F86" s="6" t="s">
        <v>4059</v>
      </c>
      <c r="G86" s="6" t="s">
        <v>343</v>
      </c>
      <c r="H86" s="6" t="s">
        <v>344</v>
      </c>
      <c r="I86" s="6" t="s">
        <v>345</v>
      </c>
      <c r="J86" s="6">
        <v>1</v>
      </c>
      <c r="K86" s="6" t="s">
        <v>19</v>
      </c>
      <c r="L86" s="10">
        <v>24.180459187500002</v>
      </c>
      <c r="M86" s="6" t="s">
        <v>33</v>
      </c>
      <c r="N86" s="12">
        <f>Tabla4[[#This Row],[Price]]*Tabla4[[#This Row],[QTY Adjusted]]</f>
        <v>24.180459187500002</v>
      </c>
      <c r="O86" s="10">
        <v>24.180459187500002</v>
      </c>
      <c r="P86" s="20" t="s">
        <v>4225</v>
      </c>
      <c r="Q86" s="6">
        <v>0</v>
      </c>
    </row>
    <row r="87" spans="1:17" ht="42" customHeight="1" x14ac:dyDescent="0.3">
      <c r="A87" s="6">
        <v>924</v>
      </c>
      <c r="B87" s="6" t="s">
        <v>1600</v>
      </c>
      <c r="C87" s="6" t="s">
        <v>329</v>
      </c>
      <c r="D87" s="6" t="s">
        <v>199</v>
      </c>
      <c r="E87" s="6" t="s">
        <v>1680</v>
      </c>
      <c r="F87" s="6" t="s">
        <v>4059</v>
      </c>
      <c r="G87" s="6" t="s">
        <v>382</v>
      </c>
      <c r="H87" s="6" t="s">
        <v>383</v>
      </c>
      <c r="I87" s="6" t="s">
        <v>384</v>
      </c>
      <c r="J87" s="6">
        <v>1</v>
      </c>
      <c r="K87" s="6" t="s">
        <v>19</v>
      </c>
      <c r="L87" s="10">
        <v>22.307670000000002</v>
      </c>
      <c r="M87" s="6" t="s">
        <v>33</v>
      </c>
      <c r="N87" s="12">
        <f>Tabla4[[#This Row],[Price]]*Tabla4[[#This Row],[QTY Adjusted]]</f>
        <v>22.307670000000002</v>
      </c>
      <c r="O87" s="10">
        <v>22.307670000000002</v>
      </c>
      <c r="P87" s="20" t="s">
        <v>4225</v>
      </c>
      <c r="Q87" s="6">
        <v>0</v>
      </c>
    </row>
    <row r="88" spans="1:17" ht="42" customHeight="1" x14ac:dyDescent="0.3">
      <c r="A88" s="6">
        <v>918</v>
      </c>
      <c r="B88" s="6" t="s">
        <v>1600</v>
      </c>
      <c r="C88" s="6" t="s">
        <v>329</v>
      </c>
      <c r="D88" s="6" t="s">
        <v>199</v>
      </c>
      <c r="E88" s="6" t="s">
        <v>1680</v>
      </c>
      <c r="F88" s="6" t="s">
        <v>4059</v>
      </c>
      <c r="G88" s="6" t="s">
        <v>366</v>
      </c>
      <c r="H88" s="6" t="s">
        <v>367</v>
      </c>
      <c r="I88" s="6" t="s">
        <v>368</v>
      </c>
      <c r="J88" s="6">
        <v>3</v>
      </c>
      <c r="K88" s="6" t="s">
        <v>19</v>
      </c>
      <c r="L88" s="10">
        <v>7.3993499999999992</v>
      </c>
      <c r="M88" s="6" t="s">
        <v>33</v>
      </c>
      <c r="N88" s="12">
        <f>Tabla4[[#This Row],[Price]]*Tabla4[[#This Row],[QTY Adjusted]]</f>
        <v>22.198049999999999</v>
      </c>
      <c r="O88" s="10">
        <v>22.198049999999999</v>
      </c>
      <c r="P88" s="20" t="s">
        <v>4225</v>
      </c>
      <c r="Q88" s="6">
        <v>0</v>
      </c>
    </row>
    <row r="89" spans="1:17" ht="42" customHeight="1" x14ac:dyDescent="0.3">
      <c r="A89" s="6">
        <v>913</v>
      </c>
      <c r="B89" s="6" t="s">
        <v>1600</v>
      </c>
      <c r="C89" s="6" t="s">
        <v>228</v>
      </c>
      <c r="D89" s="6" t="s">
        <v>44</v>
      </c>
      <c r="E89" s="6" t="s">
        <v>1680</v>
      </c>
      <c r="F89" s="6" t="s">
        <v>4059</v>
      </c>
      <c r="G89" s="6" t="s">
        <v>349</v>
      </c>
      <c r="H89" s="6" t="s">
        <v>350</v>
      </c>
      <c r="I89" s="6" t="s">
        <v>351</v>
      </c>
      <c r="J89" s="6">
        <v>2</v>
      </c>
      <c r="K89" s="6" t="s">
        <v>19</v>
      </c>
      <c r="L89" s="10">
        <v>9.8800000000000008</v>
      </c>
      <c r="M89" s="6" t="s">
        <v>33</v>
      </c>
      <c r="N89" s="12">
        <f>Tabla4[[#This Row],[Price]]*Tabla4[[#This Row],[QTY Adjusted]]</f>
        <v>19.760000000000002</v>
      </c>
      <c r="O89" s="10">
        <v>19.760000000000002</v>
      </c>
      <c r="P89" s="20" t="s">
        <v>4218</v>
      </c>
      <c r="Q89" s="6" t="s">
        <v>4245</v>
      </c>
    </row>
    <row r="90" spans="1:17" ht="42" customHeight="1" x14ac:dyDescent="0.3">
      <c r="A90" s="6">
        <v>922</v>
      </c>
      <c r="B90" s="6" t="s">
        <v>1600</v>
      </c>
      <c r="C90" s="6" t="s">
        <v>92</v>
      </c>
      <c r="D90" s="6" t="s">
        <v>93</v>
      </c>
      <c r="E90" s="6" t="s">
        <v>1680</v>
      </c>
      <c r="F90" s="6" t="s">
        <v>4059</v>
      </c>
      <c r="G90" s="6" t="s">
        <v>377</v>
      </c>
      <c r="H90" s="6" t="s">
        <v>373</v>
      </c>
      <c r="I90" s="6" t="s">
        <v>378</v>
      </c>
      <c r="J90" s="6">
        <v>2</v>
      </c>
      <c r="K90" s="6" t="s">
        <v>19</v>
      </c>
      <c r="L90" s="10">
        <v>9.2200000000000006</v>
      </c>
      <c r="M90" s="6" t="s">
        <v>33</v>
      </c>
      <c r="N90" s="12">
        <f>Tabla4[[#This Row],[Price]]*Tabla4[[#This Row],[QTY Adjusted]]</f>
        <v>18.440000000000001</v>
      </c>
      <c r="O90" s="10">
        <v>18.440000000000001</v>
      </c>
      <c r="P90" s="20" t="s">
        <v>4228</v>
      </c>
      <c r="Q90" s="6" t="s">
        <v>4245</v>
      </c>
    </row>
    <row r="91" spans="1:17" ht="42" customHeight="1" x14ac:dyDescent="0.3">
      <c r="A91" s="6">
        <v>897</v>
      </c>
      <c r="B91" s="6" t="s">
        <v>1600</v>
      </c>
      <c r="C91" s="6" t="s">
        <v>228</v>
      </c>
      <c r="D91" s="6" t="s">
        <v>44</v>
      </c>
      <c r="E91" s="6" t="s">
        <v>1680</v>
      </c>
      <c r="F91" s="6" t="s">
        <v>4059</v>
      </c>
      <c r="G91" s="6" t="s">
        <v>297</v>
      </c>
      <c r="H91" s="6" t="s">
        <v>298</v>
      </c>
      <c r="I91" s="6" t="s">
        <v>299</v>
      </c>
      <c r="J91" s="6">
        <v>2</v>
      </c>
      <c r="K91" s="6" t="s">
        <v>19</v>
      </c>
      <c r="L91" s="10">
        <v>9.07</v>
      </c>
      <c r="M91" s="6" t="s">
        <v>33</v>
      </c>
      <c r="N91" s="12">
        <f>Tabla4[[#This Row],[Price]]*Tabla4[[#This Row],[QTY Adjusted]]</f>
        <v>18.14</v>
      </c>
      <c r="O91" s="10">
        <v>18.14</v>
      </c>
      <c r="P91" s="24" t="s">
        <v>4225</v>
      </c>
      <c r="Q91" s="6">
        <v>0</v>
      </c>
    </row>
    <row r="92" spans="1:17" ht="42" customHeight="1" x14ac:dyDescent="0.3">
      <c r="A92" s="6">
        <v>898</v>
      </c>
      <c r="B92" s="6" t="s">
        <v>1600</v>
      </c>
      <c r="C92" s="6" t="s">
        <v>228</v>
      </c>
      <c r="D92" s="6" t="s">
        <v>44</v>
      </c>
      <c r="E92" s="6" t="s">
        <v>1680</v>
      </c>
      <c r="F92" s="6" t="s">
        <v>4059</v>
      </c>
      <c r="G92" s="6" t="s">
        <v>300</v>
      </c>
      <c r="H92" s="6" t="s">
        <v>301</v>
      </c>
      <c r="I92" s="6" t="s">
        <v>302</v>
      </c>
      <c r="J92" s="6">
        <v>4</v>
      </c>
      <c r="K92" s="6" t="s">
        <v>19</v>
      </c>
      <c r="L92" s="10">
        <v>3.99</v>
      </c>
      <c r="M92" s="6" t="s">
        <v>33</v>
      </c>
      <c r="N92" s="12">
        <f>Tabla4[[#This Row],[Price]]*Tabla4[[#This Row],[QTY Adjusted]]</f>
        <v>15.96</v>
      </c>
      <c r="O92" s="10">
        <v>15.96</v>
      </c>
      <c r="P92" s="24" t="s">
        <v>4225</v>
      </c>
      <c r="Q92" s="6">
        <v>0</v>
      </c>
    </row>
    <row r="93" spans="1:17" ht="42" customHeight="1" x14ac:dyDescent="0.3">
      <c r="A93" s="6">
        <v>914</v>
      </c>
      <c r="B93" s="6" t="s">
        <v>1600</v>
      </c>
      <c r="C93" s="6" t="s">
        <v>329</v>
      </c>
      <c r="D93" s="6" t="s">
        <v>199</v>
      </c>
      <c r="E93" s="6" t="s">
        <v>1680</v>
      </c>
      <c r="F93" s="6" t="s">
        <v>4059</v>
      </c>
      <c r="G93" s="6" t="s">
        <v>352</v>
      </c>
      <c r="H93" s="6" t="s">
        <v>353</v>
      </c>
      <c r="I93" s="6" t="s">
        <v>354</v>
      </c>
      <c r="J93" s="6">
        <v>1</v>
      </c>
      <c r="K93" s="6" t="s">
        <v>19</v>
      </c>
      <c r="L93" s="10">
        <v>14.935724999999998</v>
      </c>
      <c r="M93" s="6" t="s">
        <v>33</v>
      </c>
      <c r="N93" s="12">
        <f>Tabla4[[#This Row],[Price]]*Tabla4[[#This Row],[QTY Adjusted]]</f>
        <v>14.935724999999998</v>
      </c>
      <c r="O93" s="10">
        <v>14.935724999999998</v>
      </c>
      <c r="P93" s="20" t="s">
        <v>4225</v>
      </c>
      <c r="Q93" s="6">
        <v>0</v>
      </c>
    </row>
    <row r="94" spans="1:17" ht="42" customHeight="1" x14ac:dyDescent="0.3">
      <c r="A94" s="6">
        <v>920</v>
      </c>
      <c r="B94" s="6" t="s">
        <v>1600</v>
      </c>
      <c r="C94" s="6" t="s">
        <v>371</v>
      </c>
      <c r="D94" s="6" t="str">
        <f>Tabla4[[#This Row],[Vendor]]</f>
        <v>Franmara</v>
      </c>
      <c r="E94" s="6" t="s">
        <v>1680</v>
      </c>
      <c r="F94" s="6" t="s">
        <v>4059</v>
      </c>
      <c r="G94" s="6" t="s">
        <v>372</v>
      </c>
      <c r="H94" s="6" t="s">
        <v>373</v>
      </c>
      <c r="I94" s="6" t="s">
        <v>374</v>
      </c>
      <c r="J94" s="6">
        <v>2</v>
      </c>
      <c r="K94" s="6" t="s">
        <v>19</v>
      </c>
      <c r="L94" s="10">
        <v>6.5</v>
      </c>
      <c r="M94" s="6" t="s">
        <v>33</v>
      </c>
      <c r="N94" s="12">
        <f>Tabla4[[#This Row],[Price]]*Tabla4[[#This Row],[QTY Adjusted]]</f>
        <v>13</v>
      </c>
      <c r="O94" s="10">
        <v>13</v>
      </c>
      <c r="P94" s="20" t="s">
        <v>4239</v>
      </c>
      <c r="Q94" s="6">
        <v>0</v>
      </c>
    </row>
    <row r="95" spans="1:17" ht="42" customHeight="1" x14ac:dyDescent="0.3">
      <c r="A95" s="6">
        <v>916</v>
      </c>
      <c r="B95" s="6" t="s">
        <v>1600</v>
      </c>
      <c r="C95" s="6" t="s">
        <v>357</v>
      </c>
      <c r="D95" s="6" t="s">
        <v>93</v>
      </c>
      <c r="E95" s="6" t="s">
        <v>1680</v>
      </c>
      <c r="F95" s="6" t="s">
        <v>4059</v>
      </c>
      <c r="G95" s="6" t="s">
        <v>358</v>
      </c>
      <c r="H95" s="6" t="s">
        <v>359</v>
      </c>
      <c r="I95" s="6" t="s">
        <v>360</v>
      </c>
      <c r="J95" s="6">
        <v>1</v>
      </c>
      <c r="K95" s="6" t="s">
        <v>19</v>
      </c>
      <c r="L95" s="10">
        <v>9.5299999999999994</v>
      </c>
      <c r="M95" s="6" t="s">
        <v>33</v>
      </c>
      <c r="N95" s="12">
        <f>Tabla4[[#This Row],[Price]]*Tabla4[[#This Row],[QTY Adjusted]]</f>
        <v>9.5299999999999994</v>
      </c>
      <c r="O95" s="10">
        <v>9.5299999999999994</v>
      </c>
      <c r="P95" s="20" t="s">
        <v>4225</v>
      </c>
      <c r="Q95" s="6">
        <v>0</v>
      </c>
    </row>
    <row r="96" spans="1:17" ht="42" customHeight="1" x14ac:dyDescent="0.3">
      <c r="A96" s="6">
        <v>874</v>
      </c>
      <c r="B96" s="6" t="s">
        <v>1600</v>
      </c>
      <c r="C96" s="6" t="s">
        <v>232</v>
      </c>
      <c r="D96" s="6" t="s">
        <v>233</v>
      </c>
      <c r="E96" s="6" t="s">
        <v>1680</v>
      </c>
      <c r="F96" s="6" t="s">
        <v>4059</v>
      </c>
      <c r="G96" s="6" t="s">
        <v>234</v>
      </c>
      <c r="H96" s="6" t="s">
        <v>742</v>
      </c>
      <c r="I96" s="6" t="s">
        <v>236</v>
      </c>
      <c r="J96" s="6">
        <v>2</v>
      </c>
      <c r="K96" s="6" t="s">
        <v>19</v>
      </c>
      <c r="L96" s="10">
        <v>4.71</v>
      </c>
      <c r="M96" s="6" t="s">
        <v>33</v>
      </c>
      <c r="N96" s="12">
        <f>Tabla4[[#This Row],[Price]]*Tabla4[[#This Row],[QTY Adjusted]]</f>
        <v>9.42</v>
      </c>
      <c r="O96" s="10">
        <v>9.42</v>
      </c>
      <c r="P96" s="20" t="s">
        <v>4239</v>
      </c>
      <c r="Q96" s="6">
        <v>0</v>
      </c>
    </row>
    <row r="97" spans="1:17" ht="42" customHeight="1" x14ac:dyDescent="0.3">
      <c r="A97" s="6">
        <v>923</v>
      </c>
      <c r="B97" s="6" t="s">
        <v>1600</v>
      </c>
      <c r="C97" s="6" t="s">
        <v>314</v>
      </c>
      <c r="D97" s="6" t="s">
        <v>93</v>
      </c>
      <c r="E97" s="6" t="s">
        <v>1680</v>
      </c>
      <c r="F97" s="6" t="s">
        <v>4059</v>
      </c>
      <c r="G97" s="6" t="s">
        <v>379</v>
      </c>
      <c r="H97" s="6" t="s">
        <v>380</v>
      </c>
      <c r="I97" s="20" t="s">
        <v>381</v>
      </c>
      <c r="J97" s="6">
        <v>2</v>
      </c>
      <c r="K97" s="6" t="s">
        <v>19</v>
      </c>
      <c r="L97" s="10">
        <v>4.4000000000000004</v>
      </c>
      <c r="M97" s="6" t="s">
        <v>33</v>
      </c>
      <c r="N97" s="12">
        <f>Tabla4[[#This Row],[Price]]*Tabla4[[#This Row],[QTY Adjusted]]</f>
        <v>8.8000000000000007</v>
      </c>
      <c r="O97" s="10">
        <v>8.8000000000000007</v>
      </c>
      <c r="P97" s="20" t="s">
        <v>4228</v>
      </c>
      <c r="Q97" s="6" t="s">
        <v>4245</v>
      </c>
    </row>
    <row r="98" spans="1:17" ht="42" customHeight="1" x14ac:dyDescent="0.3">
      <c r="A98" s="6">
        <v>899</v>
      </c>
      <c r="B98" s="6" t="s">
        <v>1600</v>
      </c>
      <c r="C98" s="6" t="s">
        <v>321</v>
      </c>
      <c r="D98" s="6" t="s">
        <v>199</v>
      </c>
      <c r="E98" s="6" t="s">
        <v>1680</v>
      </c>
      <c r="F98" s="6" t="s">
        <v>4059</v>
      </c>
      <c r="G98" s="6" t="s">
        <v>766</v>
      </c>
      <c r="H98" s="6" t="s">
        <v>304</v>
      </c>
      <c r="I98" s="6" t="s">
        <v>1367</v>
      </c>
      <c r="J98" s="6">
        <v>1</v>
      </c>
      <c r="K98" s="6" t="s">
        <v>19</v>
      </c>
      <c r="L98" s="10">
        <v>6.3079458750000006</v>
      </c>
      <c r="M98" s="6" t="s">
        <v>33</v>
      </c>
      <c r="N98" s="12">
        <f>Tabla4[[#This Row],[Price]]*Tabla4[[#This Row],[QTY Adjusted]]</f>
        <v>6.3079458750000006</v>
      </c>
      <c r="O98" s="10">
        <v>6.3079458750000006</v>
      </c>
      <c r="P98" s="20" t="s">
        <v>4225</v>
      </c>
      <c r="Q98" s="6">
        <v>0</v>
      </c>
    </row>
    <row r="99" spans="1:17" ht="42" customHeight="1" x14ac:dyDescent="0.3">
      <c r="A99" s="6">
        <v>921</v>
      </c>
      <c r="B99" s="6" t="s">
        <v>1600</v>
      </c>
      <c r="C99" s="6" t="s">
        <v>371</v>
      </c>
      <c r="D99" s="6" t="str">
        <f>Tabla4[[#This Row],[Vendor]]</f>
        <v>Franmara</v>
      </c>
      <c r="E99" s="6" t="s">
        <v>1680</v>
      </c>
      <c r="F99" s="6" t="s">
        <v>4059</v>
      </c>
      <c r="G99" s="6" t="s">
        <v>375</v>
      </c>
      <c r="H99" s="6" t="s">
        <v>373</v>
      </c>
      <c r="I99" s="6" t="s">
        <v>376</v>
      </c>
      <c r="J99" s="6">
        <v>2</v>
      </c>
      <c r="K99" s="6" t="s">
        <v>19</v>
      </c>
      <c r="L99" s="10">
        <v>3</v>
      </c>
      <c r="M99" s="6" t="s">
        <v>33</v>
      </c>
      <c r="N99" s="12">
        <f>Tabla4[[#This Row],[Price]]*Tabla4[[#This Row],[QTY Adjusted]]</f>
        <v>6</v>
      </c>
      <c r="O99" s="10">
        <v>6</v>
      </c>
      <c r="P99" s="20" t="s">
        <v>4239</v>
      </c>
      <c r="Q99" s="6">
        <v>0</v>
      </c>
    </row>
    <row r="100" spans="1:17" ht="42" customHeight="1" x14ac:dyDescent="0.3">
      <c r="A100" s="6">
        <v>925</v>
      </c>
      <c r="B100" s="6" t="s">
        <v>1600</v>
      </c>
      <c r="C100" s="6" t="s">
        <v>92</v>
      </c>
      <c r="D100" s="6" t="s">
        <v>93</v>
      </c>
      <c r="E100" s="6" t="s">
        <v>1680</v>
      </c>
      <c r="F100" s="6" t="s">
        <v>4059</v>
      </c>
      <c r="G100" s="6" t="s">
        <v>385</v>
      </c>
      <c r="H100" s="6" t="s">
        <v>386</v>
      </c>
      <c r="I100" s="6" t="s">
        <v>387</v>
      </c>
      <c r="J100" s="6">
        <v>2</v>
      </c>
      <c r="K100" s="6" t="s">
        <v>19</v>
      </c>
      <c r="L100" s="10">
        <v>2.85</v>
      </c>
      <c r="M100" s="6" t="s">
        <v>33</v>
      </c>
      <c r="N100" s="12">
        <f>Tabla4[[#This Row],[Price]]*Tabla4[[#This Row],[QTY Adjusted]]</f>
        <v>5.7</v>
      </c>
      <c r="O100" s="10">
        <v>5.7</v>
      </c>
      <c r="P100" s="20" t="s">
        <v>4228</v>
      </c>
      <c r="Q100" s="6" t="s">
        <v>4245</v>
      </c>
    </row>
    <row r="101" spans="1:17" ht="42" customHeight="1" x14ac:dyDescent="0.3">
      <c r="A101" s="6">
        <v>906</v>
      </c>
      <c r="B101" s="6" t="s">
        <v>1600</v>
      </c>
      <c r="C101" s="6" t="s">
        <v>329</v>
      </c>
      <c r="D101" s="6" t="s">
        <v>199</v>
      </c>
      <c r="E101" s="6" t="s">
        <v>1680</v>
      </c>
      <c r="F101" s="6" t="s">
        <v>4059</v>
      </c>
      <c r="G101" s="6" t="s">
        <v>330</v>
      </c>
      <c r="H101" s="6" t="s">
        <v>331</v>
      </c>
      <c r="I101" s="6" t="s">
        <v>332</v>
      </c>
      <c r="J101" s="6">
        <v>1</v>
      </c>
      <c r="K101" s="6" t="s">
        <v>19</v>
      </c>
      <c r="L101" s="10">
        <v>3.34341</v>
      </c>
      <c r="M101" s="6" t="s">
        <v>33</v>
      </c>
      <c r="N101" s="12">
        <f>Tabla4[[#This Row],[Price]]*Tabla4[[#This Row],[QTY Adjusted]]</f>
        <v>3.34341</v>
      </c>
      <c r="O101" s="10">
        <v>3.34341</v>
      </c>
      <c r="P101" s="20" t="s">
        <v>4225</v>
      </c>
      <c r="Q101" s="6">
        <v>0</v>
      </c>
    </row>
    <row r="103" spans="1:17" x14ac:dyDescent="0.3">
      <c r="A103">
        <f>COUNT(Tabla4[Code])</f>
        <v>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1D03-7D0D-46BA-8F61-81F7B77A3D91}">
  <dimension ref="A1:Q143"/>
  <sheetViews>
    <sheetView showGridLines="0" topLeftCell="G2" zoomScale="70" zoomScaleNormal="70" workbookViewId="0">
      <selection activeCell="P2" sqref="P2"/>
    </sheetView>
  </sheetViews>
  <sheetFormatPr baseColWidth="10" defaultColWidth="11.44140625" defaultRowHeight="14.4" outlineLevelRow="1" x14ac:dyDescent="0.3"/>
  <cols>
    <col min="2" max="3" width="11.44140625" customWidth="1"/>
    <col min="4" max="4" width="19.44140625" customWidth="1"/>
    <col min="5" max="5" width="19.5546875" customWidth="1"/>
    <col min="6" max="6" width="24" bestFit="1" customWidth="1"/>
    <col min="7" max="7" width="27.33203125" bestFit="1" customWidth="1"/>
    <col min="8" max="8" width="52.44140625" customWidth="1"/>
    <col min="9" max="9" width="47.109375" style="8" customWidth="1"/>
    <col min="10" max="10" width="14.33203125" customWidth="1"/>
    <col min="11" max="13" width="11.44140625" customWidth="1"/>
    <col min="14" max="14" width="15.5546875" customWidth="1"/>
    <col min="15" max="15" width="20.6640625" customWidth="1"/>
    <col min="16" max="16" width="42" customWidth="1"/>
  </cols>
  <sheetData>
    <row r="1" spans="1:17" x14ac:dyDescent="0.3">
      <c r="J1" s="13">
        <v>70</v>
      </c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s="8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4217</v>
      </c>
      <c r="Q2" t="s">
        <v>4247</v>
      </c>
    </row>
    <row r="3" spans="1:17" s="9" customFormat="1" ht="58.2" customHeight="1" x14ac:dyDescent="0.3">
      <c r="A3" s="5">
        <v>657</v>
      </c>
      <c r="B3" s="5" t="s">
        <v>1184</v>
      </c>
      <c r="C3" s="5" t="s">
        <v>223</v>
      </c>
      <c r="D3" s="17" t="s">
        <v>44</v>
      </c>
      <c r="E3" s="5" t="s">
        <v>1201</v>
      </c>
      <c r="F3" s="5" t="s">
        <v>4059</v>
      </c>
      <c r="G3" s="5" t="s">
        <v>1339</v>
      </c>
      <c r="H3" s="5" t="s">
        <v>4070</v>
      </c>
      <c r="I3" s="7" t="s">
        <v>1340</v>
      </c>
      <c r="J3" s="5">
        <v>24</v>
      </c>
      <c r="K3" s="5" t="s">
        <v>19</v>
      </c>
      <c r="L3" s="11">
        <v>827.56857749999995</v>
      </c>
      <c r="M3" s="5" t="s">
        <v>33</v>
      </c>
      <c r="N3" s="11">
        <f>Tabla52[[#This Row],[Price]]*Tabla52[[#This Row],[QTY Adjusted]]</f>
        <v>19861.645859999997</v>
      </c>
      <c r="O3" s="15">
        <v>2778.2400000000002</v>
      </c>
      <c r="P3" s="25">
        <v>46116</v>
      </c>
      <c r="Q3" s="6">
        <v>0</v>
      </c>
    </row>
    <row r="4" spans="1:17" s="9" customFormat="1" ht="58.2" customHeight="1" x14ac:dyDescent="0.3">
      <c r="A4" s="5">
        <v>607</v>
      </c>
      <c r="B4" s="5" t="s">
        <v>1184</v>
      </c>
      <c r="C4" s="5" t="s">
        <v>130</v>
      </c>
      <c r="D4" s="17" t="s">
        <v>44</v>
      </c>
      <c r="E4" s="5" t="s">
        <v>1201</v>
      </c>
      <c r="F4" s="5" t="s">
        <v>4059</v>
      </c>
      <c r="G4" s="5" t="s">
        <v>1250</v>
      </c>
      <c r="H4" s="5" t="s">
        <v>4071</v>
      </c>
      <c r="I4" s="7" t="s">
        <v>1251</v>
      </c>
      <c r="J4" s="5">
        <v>12</v>
      </c>
      <c r="K4" s="5" t="s">
        <v>19</v>
      </c>
      <c r="L4" s="11">
        <v>767.88633866082796</v>
      </c>
      <c r="M4" s="5" t="s">
        <v>33</v>
      </c>
      <c r="N4" s="11">
        <f>Tabla52[[#This Row],[Price]]*Tabla52[[#This Row],[QTY Adjusted]]</f>
        <v>9214.6360639299346</v>
      </c>
      <c r="O4" s="15">
        <v>3430.92</v>
      </c>
      <c r="P4" s="25" t="s">
        <v>4225</v>
      </c>
      <c r="Q4" s="6">
        <v>0</v>
      </c>
    </row>
    <row r="5" spans="1:17" s="9" customFormat="1" ht="58.2" customHeight="1" x14ac:dyDescent="0.3">
      <c r="A5" s="5">
        <v>579</v>
      </c>
      <c r="B5" s="5" t="s">
        <v>1184</v>
      </c>
      <c r="C5" s="5" t="s">
        <v>488</v>
      </c>
      <c r="D5" s="17" t="s">
        <v>44</v>
      </c>
      <c r="E5" s="5" t="s">
        <v>1188</v>
      </c>
      <c r="F5" s="5" t="s">
        <v>4059</v>
      </c>
      <c r="G5" s="5" t="s">
        <v>1193</v>
      </c>
      <c r="H5" s="29" t="s">
        <v>4072</v>
      </c>
      <c r="I5" s="7" t="s">
        <v>1194</v>
      </c>
      <c r="J5" s="5">
        <v>18</v>
      </c>
      <c r="K5" s="5" t="s">
        <v>19</v>
      </c>
      <c r="L5" s="11">
        <v>274.05</v>
      </c>
      <c r="M5" s="5" t="s">
        <v>33</v>
      </c>
      <c r="N5" s="11">
        <f>Tabla52[[#This Row],[Price]]*Tabla52[[#This Row],[QTY Adjusted]]</f>
        <v>4932.9000000000005</v>
      </c>
      <c r="O5" s="15">
        <v>993.6</v>
      </c>
      <c r="P5" s="6" t="s">
        <v>4242</v>
      </c>
      <c r="Q5" s="6">
        <v>0</v>
      </c>
    </row>
    <row r="6" spans="1:17" s="9" customFormat="1" ht="58.2" customHeight="1" x14ac:dyDescent="0.3">
      <c r="A6" s="5">
        <v>580</v>
      </c>
      <c r="B6" s="5" t="s">
        <v>1184</v>
      </c>
      <c r="C6" s="5" t="s">
        <v>488</v>
      </c>
      <c r="D6" s="17" t="s">
        <v>44</v>
      </c>
      <c r="E6" s="5" t="s">
        <v>1188</v>
      </c>
      <c r="F6" s="5" t="s">
        <v>4059</v>
      </c>
      <c r="G6" s="5" t="s">
        <v>1195</v>
      </c>
      <c r="H6" s="29" t="s">
        <v>4073</v>
      </c>
      <c r="I6" s="7" t="s">
        <v>1196</v>
      </c>
      <c r="J6" s="5">
        <v>18</v>
      </c>
      <c r="K6" s="5" t="s">
        <v>19</v>
      </c>
      <c r="L6" s="11">
        <v>274.05</v>
      </c>
      <c r="M6" s="5" t="s">
        <v>33</v>
      </c>
      <c r="N6" s="11">
        <f>Tabla52[[#This Row],[Price]]*Tabla52[[#This Row],[QTY Adjusted]]</f>
        <v>4932.9000000000005</v>
      </c>
      <c r="O6" s="15">
        <v>0</v>
      </c>
      <c r="P6" s="6" t="s">
        <v>4242</v>
      </c>
      <c r="Q6" s="6">
        <v>0</v>
      </c>
    </row>
    <row r="7" spans="1:17" s="9" customFormat="1" ht="58.2" customHeight="1" x14ac:dyDescent="0.3">
      <c r="A7" s="5">
        <v>656</v>
      </c>
      <c r="B7" s="5" t="s">
        <v>1184</v>
      </c>
      <c r="C7" s="5" t="s">
        <v>223</v>
      </c>
      <c r="D7" s="17" t="s">
        <v>44</v>
      </c>
      <c r="E7" s="5" t="s">
        <v>1201</v>
      </c>
      <c r="F7" s="5" t="s">
        <v>4059</v>
      </c>
      <c r="G7" s="5" t="s">
        <v>1337</v>
      </c>
      <c r="H7" s="5" t="s">
        <v>4074</v>
      </c>
      <c r="I7" s="7" t="s">
        <v>1338</v>
      </c>
      <c r="J7" s="5">
        <v>24</v>
      </c>
      <c r="K7" s="5" t="s">
        <v>19</v>
      </c>
      <c r="L7" s="11">
        <v>186.50320499999998</v>
      </c>
      <c r="M7" s="5" t="s">
        <v>33</v>
      </c>
      <c r="N7" s="11">
        <f>Tabla52[[#This Row],[Price]]*Tabla52[[#This Row],[QTY Adjusted]]</f>
        <v>4476.0769199999995</v>
      </c>
      <c r="O7" s="15">
        <v>1292.1600000000001</v>
      </c>
      <c r="P7" s="25">
        <v>46116</v>
      </c>
      <c r="Q7" s="6">
        <v>0</v>
      </c>
    </row>
    <row r="8" spans="1:17" s="9" customFormat="1" ht="58.2" customHeight="1" x14ac:dyDescent="0.3">
      <c r="A8" s="5">
        <v>577</v>
      </c>
      <c r="B8" s="5" t="s">
        <v>1184</v>
      </c>
      <c r="C8" s="5" t="s">
        <v>488</v>
      </c>
      <c r="D8" s="17" t="s">
        <v>44</v>
      </c>
      <c r="E8" s="5" t="s">
        <v>1188</v>
      </c>
      <c r="F8" s="5" t="s">
        <v>4059</v>
      </c>
      <c r="G8" s="5" t="s">
        <v>1189</v>
      </c>
      <c r="H8" s="29" t="s">
        <v>4075</v>
      </c>
      <c r="I8" s="7" t="s">
        <v>1190</v>
      </c>
      <c r="J8" s="5">
        <v>18</v>
      </c>
      <c r="K8" s="5" t="s">
        <v>19</v>
      </c>
      <c r="L8" s="11">
        <v>159.86250000000001</v>
      </c>
      <c r="M8" s="5" t="s">
        <v>33</v>
      </c>
      <c r="N8" s="11">
        <f>Tabla52[[#This Row],[Price]]*Tabla52[[#This Row],[QTY Adjusted]]</f>
        <v>2877.5250000000001</v>
      </c>
      <c r="O8" s="15">
        <v>993.6</v>
      </c>
      <c r="P8" s="6" t="s">
        <v>4242</v>
      </c>
      <c r="Q8" s="6">
        <v>0</v>
      </c>
    </row>
    <row r="9" spans="1:17" s="9" customFormat="1" ht="58.2" customHeight="1" x14ac:dyDescent="0.3">
      <c r="A9" s="5">
        <v>578</v>
      </c>
      <c r="B9" s="5" t="s">
        <v>1184</v>
      </c>
      <c r="C9" s="5" t="s">
        <v>488</v>
      </c>
      <c r="D9" s="17" t="s">
        <v>44</v>
      </c>
      <c r="E9" s="5" t="s">
        <v>1188</v>
      </c>
      <c r="F9" s="5" t="s">
        <v>4059</v>
      </c>
      <c r="G9" s="5" t="s">
        <v>1191</v>
      </c>
      <c r="H9" s="29" t="s">
        <v>4076</v>
      </c>
      <c r="I9" s="7" t="s">
        <v>1192</v>
      </c>
      <c r="J9" s="5">
        <v>18</v>
      </c>
      <c r="K9" s="5" t="s">
        <v>19</v>
      </c>
      <c r="L9" s="11">
        <v>159.86250000000001</v>
      </c>
      <c r="M9" s="5" t="s">
        <v>33</v>
      </c>
      <c r="N9" s="11">
        <f>Tabla52[[#This Row],[Price]]*Tabla52[[#This Row],[QTY Adjusted]]</f>
        <v>2877.5250000000001</v>
      </c>
      <c r="O9" s="15">
        <v>0</v>
      </c>
      <c r="P9" s="6" t="s">
        <v>4242</v>
      </c>
      <c r="Q9" s="6">
        <v>0</v>
      </c>
    </row>
    <row r="10" spans="1:17" s="9" customFormat="1" ht="58.2" customHeight="1" x14ac:dyDescent="0.3">
      <c r="A10" s="5">
        <v>710</v>
      </c>
      <c r="B10" s="5" t="s">
        <v>1184</v>
      </c>
      <c r="C10" s="5" t="s">
        <v>361</v>
      </c>
      <c r="D10" s="5" t="s">
        <v>362</v>
      </c>
      <c r="E10" s="5" t="s">
        <v>1345</v>
      </c>
      <c r="F10" s="5" t="s">
        <v>4059</v>
      </c>
      <c r="G10" s="5" t="s">
        <v>369</v>
      </c>
      <c r="H10" s="5" t="s">
        <v>4077</v>
      </c>
      <c r="I10" s="7" t="s">
        <v>370</v>
      </c>
      <c r="J10" s="5">
        <v>36</v>
      </c>
      <c r="K10" s="5" t="s">
        <v>19</v>
      </c>
      <c r="L10" s="11">
        <v>65.73294117647059</v>
      </c>
      <c r="M10" s="5" t="s">
        <v>33</v>
      </c>
      <c r="N10" s="11">
        <f>Tabla52[[#This Row],[Price]]*Tabla52[[#This Row],[QTY Adjusted]]</f>
        <v>2366.3858823529413</v>
      </c>
      <c r="O10" s="11">
        <v>2366.3858823529413</v>
      </c>
      <c r="P10" s="6" t="s">
        <v>4225</v>
      </c>
      <c r="Q10" s="6">
        <v>0</v>
      </c>
    </row>
    <row r="11" spans="1:17" s="9" customFormat="1" ht="58.2" customHeight="1" x14ac:dyDescent="0.3">
      <c r="A11" s="5">
        <v>597</v>
      </c>
      <c r="B11" s="5" t="s">
        <v>1184</v>
      </c>
      <c r="C11" s="5" t="s">
        <v>130</v>
      </c>
      <c r="D11" s="5" t="s">
        <v>130</v>
      </c>
      <c r="E11" s="5" t="s">
        <v>1188</v>
      </c>
      <c r="F11" s="5" t="s">
        <v>4060</v>
      </c>
      <c r="G11" s="5" t="s">
        <v>1228</v>
      </c>
      <c r="H11" s="5" t="s">
        <v>4078</v>
      </c>
      <c r="I11" s="7" t="s">
        <v>1229</v>
      </c>
      <c r="J11" s="5">
        <v>141</v>
      </c>
      <c r="K11" s="5" t="s">
        <v>19</v>
      </c>
      <c r="L11" s="11">
        <v>13.9325135325136</v>
      </c>
      <c r="M11" s="5" t="s">
        <v>33</v>
      </c>
      <c r="N11" s="11">
        <f>Tabla52[[#This Row],[Price]]*Tabla52[[#This Row],[QTY Adjusted]]</f>
        <v>1964.4844080844175</v>
      </c>
      <c r="O11" s="11">
        <v>1964.4844080844175</v>
      </c>
      <c r="P11" s="6" t="s">
        <v>4225</v>
      </c>
      <c r="Q11" s="6">
        <v>0</v>
      </c>
    </row>
    <row r="12" spans="1:17" s="9" customFormat="1" ht="58.2" customHeight="1" x14ac:dyDescent="0.3">
      <c r="A12" s="5">
        <v>584</v>
      </c>
      <c r="B12" s="5" t="s">
        <v>1184</v>
      </c>
      <c r="C12" s="5" t="s">
        <v>34</v>
      </c>
      <c r="D12" s="5" t="str">
        <f>Tabla52[[#This Row],[Vendor]]</f>
        <v>Casa Rovea</v>
      </c>
      <c r="E12" s="5" t="s">
        <v>1201</v>
      </c>
      <c r="F12" s="5" t="s">
        <v>4061</v>
      </c>
      <c r="G12" s="5" t="s">
        <v>1202</v>
      </c>
      <c r="H12" s="5" t="s">
        <v>4079</v>
      </c>
      <c r="I12" s="7" t="s">
        <v>1203</v>
      </c>
      <c r="J12" s="5">
        <v>353</v>
      </c>
      <c r="K12" s="5" t="s">
        <v>19</v>
      </c>
      <c r="L12" s="11">
        <v>4.4800000000000004</v>
      </c>
      <c r="M12" s="5" t="s">
        <v>28</v>
      </c>
      <c r="N12" s="11">
        <f>Tabla52[[#This Row],[Price]]*Tabla52[[#This Row],[QTY Adjusted]]</f>
        <v>1581.44</v>
      </c>
      <c r="O12" s="11">
        <v>1834.4703999999999</v>
      </c>
      <c r="P12" s="6" t="s">
        <v>4224</v>
      </c>
      <c r="Q12" s="6">
        <v>0</v>
      </c>
    </row>
    <row r="13" spans="1:17" s="9" customFormat="1" ht="58.2" customHeight="1" x14ac:dyDescent="0.3">
      <c r="A13" s="5">
        <v>655</v>
      </c>
      <c r="B13" s="5" t="s">
        <v>1184</v>
      </c>
      <c r="C13" s="5" t="s">
        <v>1256</v>
      </c>
      <c r="D13" s="5" t="str">
        <f>Tabla52[[#This Row],[Vendor]]</f>
        <v>Monica Calderon</v>
      </c>
      <c r="E13" s="5" t="s">
        <v>1201</v>
      </c>
      <c r="F13" s="5" t="s">
        <v>4059</v>
      </c>
      <c r="G13" s="5" t="s">
        <v>1334</v>
      </c>
      <c r="H13" s="5" t="s">
        <v>4080</v>
      </c>
      <c r="I13" s="7" t="s">
        <v>1336</v>
      </c>
      <c r="J13" s="5">
        <v>18</v>
      </c>
      <c r="K13" s="5" t="s">
        <v>19</v>
      </c>
      <c r="L13" s="11">
        <v>116.34</v>
      </c>
      <c r="M13" s="5" t="s">
        <v>33</v>
      </c>
      <c r="N13" s="11">
        <f>Tabla52[[#This Row],[Price]]*Tabla52[[#This Row],[QTY Adjusted]]</f>
        <v>2094.12</v>
      </c>
      <c r="O13" s="11">
        <v>2094.12</v>
      </c>
      <c r="P13" s="6" t="s">
        <v>4225</v>
      </c>
      <c r="Q13" s="6">
        <v>0</v>
      </c>
    </row>
    <row r="14" spans="1:17" s="9" customFormat="1" ht="58.2" customHeight="1" x14ac:dyDescent="0.3">
      <c r="A14" s="5">
        <v>660</v>
      </c>
      <c r="B14" s="5" t="s">
        <v>1184</v>
      </c>
      <c r="C14" s="5" t="s">
        <v>14</v>
      </c>
      <c r="D14" s="5" t="str">
        <f>Tabla52[[#This Row],[Vendor]]</f>
        <v>Oaxifornia</v>
      </c>
      <c r="E14" s="5" t="s">
        <v>1201</v>
      </c>
      <c r="F14" s="5" t="s">
        <v>4059</v>
      </c>
      <c r="G14" s="5" t="s">
        <v>127</v>
      </c>
      <c r="H14" s="5" t="s">
        <v>4081</v>
      </c>
      <c r="I14" s="7" t="s">
        <v>129</v>
      </c>
      <c r="J14" s="5">
        <v>24</v>
      </c>
      <c r="K14" s="5" t="s">
        <v>19</v>
      </c>
      <c r="L14" s="11">
        <v>1608</v>
      </c>
      <c r="M14" s="5" t="s">
        <v>20</v>
      </c>
      <c r="N14" s="11">
        <f>Tabla52[[#This Row],[Price]]*Tabla52[[#This Row],[QTY Adjusted]]</f>
        <v>38592</v>
      </c>
      <c r="O14" s="11">
        <v>1979.0769230769231</v>
      </c>
      <c r="P14" s="6" t="s">
        <v>4232</v>
      </c>
      <c r="Q14" s="6">
        <v>0</v>
      </c>
    </row>
    <row r="15" spans="1:17" s="9" customFormat="1" ht="58.2" customHeight="1" x14ac:dyDescent="0.3">
      <c r="A15" s="5">
        <v>608</v>
      </c>
      <c r="B15" s="5" t="s">
        <v>1184</v>
      </c>
      <c r="C15" s="5" t="s">
        <v>232</v>
      </c>
      <c r="D15" s="5" t="s">
        <v>233</v>
      </c>
      <c r="E15" s="5" t="s">
        <v>1201</v>
      </c>
      <c r="F15" s="5" t="s">
        <v>4059</v>
      </c>
      <c r="G15" s="5" t="s">
        <v>1252</v>
      </c>
      <c r="H15" s="5" t="s">
        <v>4082</v>
      </c>
      <c r="I15" s="7" t="s">
        <v>1253</v>
      </c>
      <c r="J15" s="5">
        <v>22</v>
      </c>
      <c r="K15" s="5" t="s">
        <v>19</v>
      </c>
      <c r="L15" s="11">
        <v>61.43</v>
      </c>
      <c r="M15" s="5" t="s">
        <v>33</v>
      </c>
      <c r="N15" s="11">
        <f>Tabla52[[#This Row],[Price]]*Tabla52[[#This Row],[QTY Adjusted]]</f>
        <v>1351.46</v>
      </c>
      <c r="O15" s="11">
        <v>1351.46</v>
      </c>
      <c r="P15" s="6" t="s">
        <v>4239</v>
      </c>
      <c r="Q15" s="6">
        <v>0</v>
      </c>
    </row>
    <row r="16" spans="1:17" s="9" customFormat="1" ht="58.2" customHeight="1" x14ac:dyDescent="0.3">
      <c r="A16" s="5">
        <v>596</v>
      </c>
      <c r="B16" s="5" t="s">
        <v>1184</v>
      </c>
      <c r="C16" s="5" t="s">
        <v>130</v>
      </c>
      <c r="D16" s="5" t="s">
        <v>130</v>
      </c>
      <c r="E16" s="5" t="s">
        <v>1188</v>
      </c>
      <c r="F16" s="5" t="s">
        <v>4060</v>
      </c>
      <c r="G16" s="5" t="s">
        <v>1225</v>
      </c>
      <c r="H16" s="5" t="s">
        <v>4083</v>
      </c>
      <c r="I16" s="7" t="s">
        <v>1227</v>
      </c>
      <c r="J16" s="5">
        <v>141</v>
      </c>
      <c r="K16" s="5" t="s">
        <v>19</v>
      </c>
      <c r="L16" s="11">
        <v>8.93697414092156</v>
      </c>
      <c r="M16" s="5" t="s">
        <v>33</v>
      </c>
      <c r="N16" s="11">
        <f>Tabla52[[#This Row],[Price]]*Tabla52[[#This Row],[QTY Adjusted]]</f>
        <v>1260.1133538699401</v>
      </c>
      <c r="O16" s="11">
        <v>1260.1133538699401</v>
      </c>
      <c r="P16" s="6" t="s">
        <v>4225</v>
      </c>
      <c r="Q16" s="6">
        <v>0</v>
      </c>
    </row>
    <row r="17" spans="1:17" s="9" customFormat="1" ht="58.2" customHeight="1" x14ac:dyDescent="0.3">
      <c r="A17" s="5">
        <v>581</v>
      </c>
      <c r="B17" s="5" t="s">
        <v>1184</v>
      </c>
      <c r="C17" s="5" t="s">
        <v>488</v>
      </c>
      <c r="D17" s="17" t="s">
        <v>44</v>
      </c>
      <c r="E17" s="5" t="s">
        <v>1188</v>
      </c>
      <c r="F17" s="5" t="s">
        <v>4059</v>
      </c>
      <c r="G17" s="5" t="s">
        <v>1197</v>
      </c>
      <c r="H17" s="29" t="s">
        <v>4084</v>
      </c>
      <c r="I17" s="7" t="s">
        <v>1198</v>
      </c>
      <c r="J17" s="5">
        <v>8</v>
      </c>
      <c r="K17" s="5" t="s">
        <v>19</v>
      </c>
      <c r="L17" s="11">
        <v>182.7</v>
      </c>
      <c r="M17" s="5" t="s">
        <v>33</v>
      </c>
      <c r="N17" s="11">
        <f>Tabla52[[#This Row],[Price]]*Tabla52[[#This Row],[QTY Adjusted]]</f>
        <v>1461.6</v>
      </c>
      <c r="O17" s="15">
        <v>1262.24</v>
      </c>
      <c r="P17" s="6" t="s">
        <v>4242</v>
      </c>
      <c r="Q17" s="6">
        <v>0</v>
      </c>
    </row>
    <row r="18" spans="1:17" s="9" customFormat="1" ht="58.2" customHeight="1" x14ac:dyDescent="0.3">
      <c r="A18" s="5">
        <v>598</v>
      </c>
      <c r="B18" s="5" t="s">
        <v>1184</v>
      </c>
      <c r="C18" s="5" t="s">
        <v>130</v>
      </c>
      <c r="D18" s="5" t="s">
        <v>130</v>
      </c>
      <c r="E18" s="5" t="s">
        <v>1188</v>
      </c>
      <c r="F18" s="5" t="s">
        <v>4060</v>
      </c>
      <c r="G18" s="5" t="s">
        <v>1230</v>
      </c>
      <c r="H18" s="5" t="s">
        <v>4085</v>
      </c>
      <c r="I18" s="7" t="s">
        <v>1232</v>
      </c>
      <c r="J18" s="5">
        <v>47</v>
      </c>
      <c r="K18" s="5" t="s">
        <v>19</v>
      </c>
      <c r="L18" s="11">
        <v>20.7765552677835</v>
      </c>
      <c r="M18" s="5" t="s">
        <v>33</v>
      </c>
      <c r="N18" s="11">
        <f>Tabla52[[#This Row],[Price]]*Tabla52[[#This Row],[QTY Adjusted]]</f>
        <v>976.49809758582455</v>
      </c>
      <c r="O18" s="11">
        <v>976.49809758582455</v>
      </c>
      <c r="P18" s="6" t="s">
        <v>4225</v>
      </c>
      <c r="Q18" s="6">
        <v>0</v>
      </c>
    </row>
    <row r="19" spans="1:17" s="9" customFormat="1" ht="58.2" customHeight="1" x14ac:dyDescent="0.3">
      <c r="A19" s="5">
        <v>599</v>
      </c>
      <c r="B19" s="5" t="s">
        <v>1184</v>
      </c>
      <c r="C19" s="5" t="s">
        <v>130</v>
      </c>
      <c r="D19" s="5" t="s">
        <v>130</v>
      </c>
      <c r="E19" s="5" t="s">
        <v>1188</v>
      </c>
      <c r="F19" s="5" t="s">
        <v>4060</v>
      </c>
      <c r="G19" s="5" t="s">
        <v>1233</v>
      </c>
      <c r="H19" s="5" t="s">
        <v>4086</v>
      </c>
      <c r="I19" s="7" t="s">
        <v>1235</v>
      </c>
      <c r="J19" s="5">
        <v>47</v>
      </c>
      <c r="K19" s="5" t="s">
        <v>19</v>
      </c>
      <c r="L19" s="11">
        <v>20.776555267783451</v>
      </c>
      <c r="M19" s="5" t="s">
        <v>33</v>
      </c>
      <c r="N19" s="11">
        <f>Tabla52[[#This Row],[Price]]*Tabla52[[#This Row],[QTY Adjusted]]</f>
        <v>976.49809758582217</v>
      </c>
      <c r="O19" s="11">
        <v>976.49809758582217</v>
      </c>
      <c r="P19" s="6" t="s">
        <v>4225</v>
      </c>
      <c r="Q19" s="6">
        <v>0</v>
      </c>
    </row>
    <row r="20" spans="1:17" s="9" customFormat="1" ht="58.2" customHeight="1" x14ac:dyDescent="0.3">
      <c r="A20" s="5">
        <v>610</v>
      </c>
      <c r="B20" s="5" t="s">
        <v>1184</v>
      </c>
      <c r="C20" s="5" t="s">
        <v>1256</v>
      </c>
      <c r="D20" s="5" t="str">
        <f>Tabla52[[#This Row],[Vendor]]</f>
        <v>Monica Calderon</v>
      </c>
      <c r="E20" s="5" t="s">
        <v>1201</v>
      </c>
      <c r="F20" s="5" t="s">
        <v>4059</v>
      </c>
      <c r="G20" s="5" t="s">
        <v>1257</v>
      </c>
      <c r="H20" s="5" t="s">
        <v>4087</v>
      </c>
      <c r="I20" s="7" t="s">
        <v>1258</v>
      </c>
      <c r="J20" s="5">
        <v>12</v>
      </c>
      <c r="K20" s="5" t="s">
        <v>19</v>
      </c>
      <c r="L20" s="11">
        <v>93.49</v>
      </c>
      <c r="M20" s="5" t="s">
        <v>33</v>
      </c>
      <c r="N20" s="11">
        <f>Tabla52[[#This Row],[Price]]*Tabla52[[#This Row],[QTY Adjusted]]</f>
        <v>1121.8799999999999</v>
      </c>
      <c r="O20" s="11">
        <v>1121.8799999999999</v>
      </c>
      <c r="P20" s="6" t="s">
        <v>4225</v>
      </c>
      <c r="Q20" s="6">
        <v>0</v>
      </c>
    </row>
    <row r="21" spans="1:17" s="9" customFormat="1" ht="58.2" customHeight="1" x14ac:dyDescent="0.3">
      <c r="A21" s="5">
        <v>626</v>
      </c>
      <c r="B21" s="5" t="s">
        <v>1184</v>
      </c>
      <c r="C21" s="5" t="s">
        <v>134</v>
      </c>
      <c r="D21" s="5" t="s">
        <v>44</v>
      </c>
      <c r="E21" s="5" t="s">
        <v>1188</v>
      </c>
      <c r="F21" s="5" t="s">
        <v>4062</v>
      </c>
      <c r="G21" s="5" t="s">
        <v>952</v>
      </c>
      <c r="H21" s="5" t="s">
        <v>4088</v>
      </c>
      <c r="I21" s="7" t="s">
        <v>953</v>
      </c>
      <c r="J21" s="5">
        <v>72</v>
      </c>
      <c r="K21" s="5" t="s">
        <v>19</v>
      </c>
      <c r="L21" s="11">
        <v>12.1225</v>
      </c>
      <c r="M21" s="5" t="s">
        <v>33</v>
      </c>
      <c r="N21" s="11">
        <f>Tabla52[[#This Row],[Price]]*Tabla52[[#This Row],[QTY Adjusted]]</f>
        <v>872.82</v>
      </c>
      <c r="O21" s="11">
        <v>872.82</v>
      </c>
      <c r="P21" s="25">
        <v>46096</v>
      </c>
      <c r="Q21" s="6">
        <v>0</v>
      </c>
    </row>
    <row r="22" spans="1:17" s="9" customFormat="1" ht="58.2" customHeight="1" x14ac:dyDescent="0.3">
      <c r="A22" s="5">
        <v>696</v>
      </c>
      <c r="B22" s="5" t="s">
        <v>1184</v>
      </c>
      <c r="C22" s="5" t="s">
        <v>325</v>
      </c>
      <c r="D22" s="5" t="str">
        <f>Tabla52[[#This Row],[Vendor]]</f>
        <v>John Boos</v>
      </c>
      <c r="E22" s="5" t="s">
        <v>1345</v>
      </c>
      <c r="F22" s="5" t="s">
        <v>4059</v>
      </c>
      <c r="G22" s="5" t="s">
        <v>326</v>
      </c>
      <c r="H22" s="29" t="s">
        <v>4089</v>
      </c>
      <c r="I22" s="7" t="s">
        <v>328</v>
      </c>
      <c r="J22" s="5">
        <v>4</v>
      </c>
      <c r="K22" s="5" t="s">
        <v>19</v>
      </c>
      <c r="L22" s="11">
        <v>250</v>
      </c>
      <c r="M22" s="5" t="s">
        <v>33</v>
      </c>
      <c r="N22" s="11">
        <f>Tabla52[[#This Row],[Price]]*Tabla52[[#This Row],[QTY Adjusted]]</f>
        <v>1000</v>
      </c>
      <c r="O22" s="11">
        <v>1000</v>
      </c>
      <c r="P22" s="6" t="s">
        <v>4218</v>
      </c>
      <c r="Q22" s="6" t="s">
        <v>4245</v>
      </c>
    </row>
    <row r="23" spans="1:17" s="9" customFormat="1" ht="58.2" customHeight="1" x14ac:dyDescent="0.3">
      <c r="A23" s="5">
        <v>613</v>
      </c>
      <c r="B23" s="5" t="s">
        <v>1184</v>
      </c>
      <c r="C23" s="5" t="s">
        <v>1256</v>
      </c>
      <c r="D23" s="5" t="str">
        <f>Tabla52[[#This Row],[Vendor]]</f>
        <v>Monica Calderon</v>
      </c>
      <c r="E23" s="5" t="s">
        <v>1201</v>
      </c>
      <c r="F23" s="5" t="s">
        <v>4059</v>
      </c>
      <c r="G23" s="5" t="s">
        <v>1264</v>
      </c>
      <c r="H23" s="5" t="s">
        <v>4090</v>
      </c>
      <c r="I23" s="7" t="s">
        <v>1265</v>
      </c>
      <c r="J23" s="5">
        <v>12</v>
      </c>
      <c r="K23" s="5" t="s">
        <v>19</v>
      </c>
      <c r="L23" s="11">
        <v>83.1</v>
      </c>
      <c r="M23" s="5" t="s">
        <v>33</v>
      </c>
      <c r="N23" s="11">
        <f>Tabla52[[#This Row],[Price]]*Tabla52[[#This Row],[QTY Adjusted]]</f>
        <v>997.19999999999993</v>
      </c>
      <c r="O23" s="11">
        <v>997.19999999999993</v>
      </c>
      <c r="P23" s="6" t="s">
        <v>4225</v>
      </c>
      <c r="Q23" s="6">
        <v>0</v>
      </c>
    </row>
    <row r="24" spans="1:17" s="9" customFormat="1" ht="58.2" customHeight="1" x14ac:dyDescent="0.3">
      <c r="A24" s="5">
        <v>614</v>
      </c>
      <c r="B24" s="5" t="s">
        <v>1184</v>
      </c>
      <c r="C24" s="5" t="s">
        <v>1256</v>
      </c>
      <c r="D24" s="5" t="str">
        <f>Tabla52[[#This Row],[Vendor]]</f>
        <v>Monica Calderon</v>
      </c>
      <c r="E24" s="5" t="s">
        <v>1201</v>
      </c>
      <c r="F24" s="5" t="s">
        <v>4059</v>
      </c>
      <c r="G24" s="5" t="s">
        <v>1264</v>
      </c>
      <c r="H24" s="5" t="s">
        <v>4091</v>
      </c>
      <c r="I24" s="7" t="s">
        <v>1266</v>
      </c>
      <c r="J24" s="5">
        <v>12</v>
      </c>
      <c r="K24" s="5" t="s">
        <v>19</v>
      </c>
      <c r="L24" s="11">
        <v>83.1</v>
      </c>
      <c r="M24" s="5" t="s">
        <v>33</v>
      </c>
      <c r="N24" s="11">
        <f>Tabla52[[#This Row],[Price]]*Tabla52[[#This Row],[QTY Adjusted]]</f>
        <v>997.19999999999993</v>
      </c>
      <c r="O24" s="11">
        <v>997.19999999999993</v>
      </c>
      <c r="P24" s="6" t="s">
        <v>4225</v>
      </c>
      <c r="Q24" s="6">
        <v>0</v>
      </c>
    </row>
    <row r="25" spans="1:17" s="9" customFormat="1" ht="58.2" customHeight="1" x14ac:dyDescent="0.3">
      <c r="A25" s="5">
        <v>623</v>
      </c>
      <c r="B25" s="5" t="s">
        <v>1184</v>
      </c>
      <c r="C25" s="5" t="s">
        <v>232</v>
      </c>
      <c r="D25" s="5" t="s">
        <v>233</v>
      </c>
      <c r="E25" s="5" t="s">
        <v>1188</v>
      </c>
      <c r="F25" s="5" t="s">
        <v>4062</v>
      </c>
      <c r="G25" s="5">
        <v>26.112411999999999</v>
      </c>
      <c r="H25" s="5" t="s">
        <v>4092</v>
      </c>
      <c r="I25" s="7" t="s">
        <v>948</v>
      </c>
      <c r="J25" s="5">
        <v>94</v>
      </c>
      <c r="K25" s="5" t="s">
        <v>19</v>
      </c>
      <c r="L25" s="11">
        <v>8.9499999999999993</v>
      </c>
      <c r="M25" s="5" t="s">
        <v>33</v>
      </c>
      <c r="N25" s="11">
        <f>Tabla52[[#This Row],[Price]]*Tabla52[[#This Row],[QTY Adjusted]]</f>
        <v>841.3</v>
      </c>
      <c r="O25" s="11">
        <v>841.3</v>
      </c>
      <c r="P25" s="6" t="s">
        <v>4239</v>
      </c>
      <c r="Q25" s="6">
        <v>0</v>
      </c>
    </row>
    <row r="26" spans="1:17" s="9" customFormat="1" ht="58.2" customHeight="1" x14ac:dyDescent="0.3">
      <c r="A26" s="5">
        <v>646</v>
      </c>
      <c r="B26" s="5" t="s">
        <v>1184</v>
      </c>
      <c r="C26" s="5" t="s">
        <v>1256</v>
      </c>
      <c r="D26" s="5" t="str">
        <f>Tabla52[[#This Row],[Vendor]]</f>
        <v>Monica Calderon</v>
      </c>
      <c r="E26" s="5" t="s">
        <v>1285</v>
      </c>
      <c r="F26" s="5" t="s">
        <v>4059</v>
      </c>
      <c r="G26" s="5" t="s">
        <v>178</v>
      </c>
      <c r="H26" s="5" t="s">
        <v>4093</v>
      </c>
      <c r="I26" s="7" t="s">
        <v>1313</v>
      </c>
      <c r="J26" s="5">
        <v>6</v>
      </c>
      <c r="K26" s="5" t="s">
        <v>19</v>
      </c>
      <c r="L26" s="11">
        <v>163.08000000000001</v>
      </c>
      <c r="M26" s="5" t="s">
        <v>33</v>
      </c>
      <c r="N26" s="11">
        <f>Tabla52[[#This Row],[Price]]*Tabla52[[#This Row],[QTY Adjusted]]</f>
        <v>978.48</v>
      </c>
      <c r="O26" s="11">
        <v>978.48</v>
      </c>
      <c r="P26" s="6" t="s">
        <v>4225</v>
      </c>
      <c r="Q26" s="6">
        <v>0</v>
      </c>
    </row>
    <row r="27" spans="1:17" s="9" customFormat="1" ht="58.2" customHeight="1" x14ac:dyDescent="0.3">
      <c r="A27" s="5">
        <v>587</v>
      </c>
      <c r="B27" s="5" t="s">
        <v>1184</v>
      </c>
      <c r="C27" s="5" t="s">
        <v>47</v>
      </c>
      <c r="D27" s="5" t="s">
        <v>44</v>
      </c>
      <c r="E27" s="5" t="s">
        <v>1201</v>
      </c>
      <c r="F27" s="5" t="s">
        <v>4063</v>
      </c>
      <c r="G27" s="5" t="s">
        <v>1208</v>
      </c>
      <c r="H27" s="5" t="s">
        <v>4094</v>
      </c>
      <c r="I27" s="7" t="s">
        <v>1209</v>
      </c>
      <c r="J27" s="5">
        <v>177</v>
      </c>
      <c r="K27" s="5" t="s">
        <v>19</v>
      </c>
      <c r="L27" s="11">
        <v>4.6139999999999999</v>
      </c>
      <c r="M27" s="5" t="s">
        <v>33</v>
      </c>
      <c r="N27" s="11">
        <f>Tabla52[[#This Row],[Price]]*Tabla52[[#This Row],[QTY Adjusted]]</f>
        <v>816.678</v>
      </c>
      <c r="O27" s="11">
        <v>816.678</v>
      </c>
      <c r="P27" s="6" t="s">
        <v>4225</v>
      </c>
      <c r="Q27" s="6">
        <v>0</v>
      </c>
    </row>
    <row r="28" spans="1:17" s="9" customFormat="1" ht="58.2" customHeight="1" x14ac:dyDescent="0.3">
      <c r="A28" s="5">
        <v>589</v>
      </c>
      <c r="B28" s="5" t="s">
        <v>1184</v>
      </c>
      <c r="C28" s="5" t="s">
        <v>47</v>
      </c>
      <c r="D28" s="5" t="s">
        <v>44</v>
      </c>
      <c r="E28" s="5" t="s">
        <v>1201</v>
      </c>
      <c r="F28" s="5" t="s">
        <v>4063</v>
      </c>
      <c r="G28" s="5" t="s">
        <v>1212</v>
      </c>
      <c r="H28" s="5" t="s">
        <v>4095</v>
      </c>
      <c r="I28" s="7" t="s">
        <v>1213</v>
      </c>
      <c r="J28" s="5">
        <v>177</v>
      </c>
      <c r="K28" s="5" t="s">
        <v>19</v>
      </c>
      <c r="L28" s="11">
        <v>4.5659999999999998</v>
      </c>
      <c r="M28" s="5" t="s">
        <v>33</v>
      </c>
      <c r="N28" s="11">
        <f>Tabla52[[#This Row],[Price]]*Tabla52[[#This Row],[QTY Adjusted]]</f>
        <v>808.18200000000002</v>
      </c>
      <c r="O28" s="11">
        <v>808.18200000000002</v>
      </c>
      <c r="P28" s="6" t="s">
        <v>4225</v>
      </c>
      <c r="Q28" s="6">
        <v>0</v>
      </c>
    </row>
    <row r="29" spans="1:17" s="9" customFormat="1" ht="58.2" customHeight="1" x14ac:dyDescent="0.3">
      <c r="A29" s="5">
        <v>659</v>
      </c>
      <c r="B29" s="5" t="s">
        <v>1184</v>
      </c>
      <c r="C29" s="5" t="s">
        <v>684</v>
      </c>
      <c r="D29" s="5" t="str">
        <f>Tabla52[[#This Row],[Vendor]]</f>
        <v>Pantheon</v>
      </c>
      <c r="E29" s="5" t="s">
        <v>1201</v>
      </c>
      <c r="F29" s="5" t="s">
        <v>4059</v>
      </c>
      <c r="G29" s="5" t="s">
        <v>685</v>
      </c>
      <c r="H29" s="5" t="s">
        <v>4096</v>
      </c>
      <c r="I29" s="7" t="s">
        <v>687</v>
      </c>
      <c r="J29" s="5">
        <v>8</v>
      </c>
      <c r="K29" s="5" t="s">
        <v>19</v>
      </c>
      <c r="L29" s="11">
        <v>110.07</v>
      </c>
      <c r="M29" s="5" t="s">
        <v>33</v>
      </c>
      <c r="N29" s="11">
        <f>Tabla52[[#This Row],[Price]]*Tabla52[[#This Row],[QTY Adjusted]]</f>
        <v>880.56</v>
      </c>
      <c r="O29" s="11">
        <v>880.56</v>
      </c>
      <c r="P29" s="6" t="s">
        <v>4234</v>
      </c>
      <c r="Q29" s="6" t="s">
        <v>4245</v>
      </c>
    </row>
    <row r="30" spans="1:17" s="9" customFormat="1" ht="58.2" customHeight="1" x14ac:dyDescent="0.3">
      <c r="A30" s="5">
        <v>601</v>
      </c>
      <c r="B30" s="5" t="s">
        <v>1184</v>
      </c>
      <c r="C30" s="5" t="s">
        <v>130</v>
      </c>
      <c r="D30" s="5" t="s">
        <v>130</v>
      </c>
      <c r="E30" s="5" t="s">
        <v>1188</v>
      </c>
      <c r="F30" s="5" t="s">
        <v>4060</v>
      </c>
      <c r="G30" s="5" t="s">
        <v>1238</v>
      </c>
      <c r="H30" s="5" t="s">
        <v>4097</v>
      </c>
      <c r="I30" s="7" t="s">
        <v>1239</v>
      </c>
      <c r="J30" s="5">
        <v>47</v>
      </c>
      <c r="K30" s="5" t="s">
        <v>19</v>
      </c>
      <c r="L30" s="11">
        <v>14.619973081815299</v>
      </c>
      <c r="M30" s="5" t="s">
        <v>33</v>
      </c>
      <c r="N30" s="11">
        <f>Tabla52[[#This Row],[Price]]*Tabla52[[#This Row],[QTY Adjusted]]</f>
        <v>687.13873484531905</v>
      </c>
      <c r="O30" s="11">
        <v>687.13873484531905</v>
      </c>
      <c r="P30" s="6" t="s">
        <v>4225</v>
      </c>
      <c r="Q30" s="6">
        <v>0</v>
      </c>
    </row>
    <row r="31" spans="1:17" s="9" customFormat="1" ht="58.2" customHeight="1" x14ac:dyDescent="0.3">
      <c r="A31" s="5">
        <v>576</v>
      </c>
      <c r="B31" s="5" t="s">
        <v>1184</v>
      </c>
      <c r="C31" s="5" t="s">
        <v>124</v>
      </c>
      <c r="D31" s="5" t="str">
        <f>Tabla52[[#This Row],[Vendor]]</f>
        <v>Impulse</v>
      </c>
      <c r="E31" s="5" t="s">
        <v>1185</v>
      </c>
      <c r="F31" s="5" t="s">
        <v>4059</v>
      </c>
      <c r="G31" s="5" t="s">
        <v>1186</v>
      </c>
      <c r="H31" s="5" t="s">
        <v>4098</v>
      </c>
      <c r="I31" s="7" t="s">
        <v>1187</v>
      </c>
      <c r="J31" s="5">
        <v>30</v>
      </c>
      <c r="K31" s="5" t="s">
        <v>19</v>
      </c>
      <c r="L31" s="11">
        <v>26.5</v>
      </c>
      <c r="M31" s="5" t="s">
        <v>33</v>
      </c>
      <c r="N31" s="11">
        <f>Tabla52[[#This Row],[Price]]*Tabla52[[#This Row],[QTY Adjusted]]</f>
        <v>795</v>
      </c>
      <c r="O31" s="11">
        <v>795</v>
      </c>
      <c r="P31" s="6" t="s">
        <v>4224</v>
      </c>
      <c r="Q31" s="6">
        <v>0</v>
      </c>
    </row>
    <row r="32" spans="1:17" s="9" customFormat="1" ht="58.2" customHeight="1" x14ac:dyDescent="0.3">
      <c r="A32" s="5">
        <v>622</v>
      </c>
      <c r="B32" s="5" t="s">
        <v>1184</v>
      </c>
      <c r="C32" s="5" t="s">
        <v>232</v>
      </c>
      <c r="D32" s="5" t="s">
        <v>233</v>
      </c>
      <c r="E32" s="5" t="s">
        <v>1188</v>
      </c>
      <c r="F32" s="5" t="s">
        <v>4062</v>
      </c>
      <c r="G32" s="5" t="s">
        <v>1282</v>
      </c>
      <c r="H32" s="5" t="s">
        <v>4099</v>
      </c>
      <c r="I32" s="7" t="s">
        <v>1283</v>
      </c>
      <c r="J32" s="5">
        <v>141</v>
      </c>
      <c r="K32" s="5" t="s">
        <v>19</v>
      </c>
      <c r="L32" s="11">
        <v>4.6399999999999997</v>
      </c>
      <c r="M32" s="5" t="s">
        <v>33</v>
      </c>
      <c r="N32" s="11">
        <f>Tabla52[[#This Row],[Price]]*Tabla52[[#This Row],[QTY Adjusted]]</f>
        <v>654.24</v>
      </c>
      <c r="O32" s="11">
        <v>654.24</v>
      </c>
      <c r="P32" s="6" t="s">
        <v>4239</v>
      </c>
      <c r="Q32" s="6">
        <v>0</v>
      </c>
    </row>
    <row r="33" spans="1:17" s="9" customFormat="1" ht="58.2" customHeight="1" x14ac:dyDescent="0.3">
      <c r="A33" s="5">
        <v>611</v>
      </c>
      <c r="B33" s="5" t="s">
        <v>1184</v>
      </c>
      <c r="C33" s="5" t="s">
        <v>1256</v>
      </c>
      <c r="D33" s="5" t="str">
        <f>Tabla52[[#This Row],[Vendor]]</f>
        <v>Monica Calderon</v>
      </c>
      <c r="E33" s="5" t="s">
        <v>1201</v>
      </c>
      <c r="F33" s="5" t="s">
        <v>4059</v>
      </c>
      <c r="G33" s="5" t="s">
        <v>1259</v>
      </c>
      <c r="H33" s="5" t="s">
        <v>4100</v>
      </c>
      <c r="I33" s="7" t="s">
        <v>1260</v>
      </c>
      <c r="J33" s="5">
        <v>12</v>
      </c>
      <c r="K33" s="5" t="s">
        <v>19</v>
      </c>
      <c r="L33" s="11">
        <v>62.32</v>
      </c>
      <c r="M33" s="5" t="s">
        <v>33</v>
      </c>
      <c r="N33" s="11">
        <f>Tabla52[[#This Row],[Price]]*Tabla52[[#This Row],[QTY Adjusted]]</f>
        <v>747.84</v>
      </c>
      <c r="O33" s="11">
        <v>747.84</v>
      </c>
      <c r="P33" s="6" t="s">
        <v>4225</v>
      </c>
      <c r="Q33" s="6">
        <v>0</v>
      </c>
    </row>
    <row r="34" spans="1:17" s="9" customFormat="1" ht="58.2" customHeight="1" x14ac:dyDescent="0.3">
      <c r="A34" s="5">
        <v>585</v>
      </c>
      <c r="B34" s="5" t="s">
        <v>1184</v>
      </c>
      <c r="C34" s="5" t="s">
        <v>47</v>
      </c>
      <c r="D34" s="5" t="s">
        <v>44</v>
      </c>
      <c r="E34" s="5" t="s">
        <v>1201</v>
      </c>
      <c r="F34" s="5" t="s">
        <v>4063</v>
      </c>
      <c r="G34" s="5" t="s">
        <v>1204</v>
      </c>
      <c r="H34" s="5" t="s">
        <v>4101</v>
      </c>
      <c r="I34" s="7" t="s">
        <v>1205</v>
      </c>
      <c r="J34" s="5">
        <v>177</v>
      </c>
      <c r="K34" s="5" t="s">
        <v>19</v>
      </c>
      <c r="L34" s="11">
        <v>3.6059999999999999</v>
      </c>
      <c r="M34" s="5" t="s">
        <v>33</v>
      </c>
      <c r="N34" s="11">
        <f>Tabla52[[#This Row],[Price]]*Tabla52[[#This Row],[QTY Adjusted]]</f>
        <v>638.26199999999994</v>
      </c>
      <c r="O34" s="11">
        <v>638.26199999999994</v>
      </c>
      <c r="P34" s="6" t="s">
        <v>4225</v>
      </c>
      <c r="Q34" s="6">
        <v>0</v>
      </c>
    </row>
    <row r="35" spans="1:17" s="9" customFormat="1" ht="58.2" customHeight="1" x14ac:dyDescent="0.3">
      <c r="A35" s="5">
        <v>586</v>
      </c>
      <c r="B35" s="5" t="s">
        <v>1184</v>
      </c>
      <c r="C35" s="5" t="s">
        <v>47</v>
      </c>
      <c r="D35" s="5" t="s">
        <v>44</v>
      </c>
      <c r="E35" s="5" t="s">
        <v>1201</v>
      </c>
      <c r="F35" s="5" t="s">
        <v>4063</v>
      </c>
      <c r="G35" s="5" t="s">
        <v>1206</v>
      </c>
      <c r="H35" s="5" t="s">
        <v>4102</v>
      </c>
      <c r="I35" s="7" t="s">
        <v>1207</v>
      </c>
      <c r="J35" s="5">
        <v>177</v>
      </c>
      <c r="K35" s="5" t="s">
        <v>19</v>
      </c>
      <c r="L35" s="11">
        <v>3.6059999999999999</v>
      </c>
      <c r="M35" s="5" t="s">
        <v>33</v>
      </c>
      <c r="N35" s="11">
        <f>Tabla52[[#This Row],[Price]]*Tabla52[[#This Row],[QTY Adjusted]]</f>
        <v>638.26199999999994</v>
      </c>
      <c r="O35" s="11">
        <v>638.26199999999994</v>
      </c>
      <c r="P35" s="6" t="s">
        <v>4225</v>
      </c>
      <c r="Q35" s="6">
        <v>0</v>
      </c>
    </row>
    <row r="36" spans="1:17" s="9" customFormat="1" ht="58.2" customHeight="1" x14ac:dyDescent="0.3">
      <c r="A36" s="5">
        <v>595</v>
      </c>
      <c r="B36" s="5" t="s">
        <v>1184</v>
      </c>
      <c r="C36" s="5" t="s">
        <v>43</v>
      </c>
      <c r="D36" s="5" t="s">
        <v>44</v>
      </c>
      <c r="E36" s="5" t="s">
        <v>1201</v>
      </c>
      <c r="F36" s="5" t="s">
        <v>4059</v>
      </c>
      <c r="G36" s="5">
        <v>650932</v>
      </c>
      <c r="H36" s="5" t="s">
        <v>4103</v>
      </c>
      <c r="I36" s="7" t="s">
        <v>1224</v>
      </c>
      <c r="J36" s="5">
        <v>33</v>
      </c>
      <c r="K36" s="5" t="s">
        <v>19</v>
      </c>
      <c r="L36" s="11">
        <v>19.335000000000001</v>
      </c>
      <c r="M36" s="5" t="s">
        <v>33</v>
      </c>
      <c r="N36" s="11">
        <f>Tabla52[[#This Row],[Price]]*Tabla52[[#This Row],[QTY Adjusted]]</f>
        <v>638.05500000000006</v>
      </c>
      <c r="O36" s="11">
        <v>638.05500000000006</v>
      </c>
      <c r="P36" s="25">
        <v>46101</v>
      </c>
      <c r="Q36" s="6">
        <v>0</v>
      </c>
    </row>
    <row r="37" spans="1:17" s="9" customFormat="1" ht="58.2" customHeight="1" x14ac:dyDescent="0.3">
      <c r="A37" s="5">
        <v>588</v>
      </c>
      <c r="B37" s="5" t="s">
        <v>1184</v>
      </c>
      <c r="C37" s="5" t="s">
        <v>47</v>
      </c>
      <c r="D37" s="5" t="s">
        <v>44</v>
      </c>
      <c r="E37" s="5" t="s">
        <v>1201</v>
      </c>
      <c r="F37" s="5" t="s">
        <v>4063</v>
      </c>
      <c r="G37" s="5" t="s">
        <v>1210</v>
      </c>
      <c r="H37" s="5" t="s">
        <v>4104</v>
      </c>
      <c r="I37" s="7" t="s">
        <v>1211</v>
      </c>
      <c r="J37" s="5">
        <v>177</v>
      </c>
      <c r="K37" s="5" t="s">
        <v>19</v>
      </c>
      <c r="L37" s="11">
        <v>3.5579999999999998</v>
      </c>
      <c r="M37" s="5" t="s">
        <v>33</v>
      </c>
      <c r="N37" s="11">
        <f>Tabla52[[#This Row],[Price]]*Tabla52[[#This Row],[QTY Adjusted]]</f>
        <v>629.76599999999996</v>
      </c>
      <c r="O37" s="11">
        <v>629.76599999999996</v>
      </c>
      <c r="P37" s="6" t="s">
        <v>4225</v>
      </c>
      <c r="Q37" s="6">
        <v>0</v>
      </c>
    </row>
    <row r="38" spans="1:17" s="9" customFormat="1" ht="58.2" customHeight="1" x14ac:dyDescent="0.3">
      <c r="A38" s="5">
        <v>590</v>
      </c>
      <c r="B38" s="5" t="s">
        <v>1184</v>
      </c>
      <c r="C38" s="5" t="s">
        <v>47</v>
      </c>
      <c r="D38" s="5" t="s">
        <v>44</v>
      </c>
      <c r="E38" s="5" t="s">
        <v>1201</v>
      </c>
      <c r="F38" s="5" t="s">
        <v>4063</v>
      </c>
      <c r="G38" s="5" t="s">
        <v>1214</v>
      </c>
      <c r="H38" s="5" t="s">
        <v>4105</v>
      </c>
      <c r="I38" s="7" t="s">
        <v>1215</v>
      </c>
      <c r="J38" s="5">
        <v>177</v>
      </c>
      <c r="K38" s="5" t="s">
        <v>19</v>
      </c>
      <c r="L38" s="11">
        <v>3.5579999999999998</v>
      </c>
      <c r="M38" s="5" t="s">
        <v>33</v>
      </c>
      <c r="N38" s="11">
        <f>Tabla52[[#This Row],[Price]]*Tabla52[[#This Row],[QTY Adjusted]]</f>
        <v>629.76599999999996</v>
      </c>
      <c r="O38" s="11">
        <v>629.76599999999996</v>
      </c>
      <c r="P38" s="6" t="s">
        <v>4225</v>
      </c>
      <c r="Q38" s="6">
        <v>0</v>
      </c>
    </row>
    <row r="39" spans="1:17" s="9" customFormat="1" ht="58.2" customHeight="1" outlineLevel="1" x14ac:dyDescent="0.3">
      <c r="A39" s="5">
        <v>669</v>
      </c>
      <c r="B39" s="5" t="s">
        <v>1184</v>
      </c>
      <c r="C39" s="5" t="s">
        <v>228</v>
      </c>
      <c r="D39" s="5" t="s">
        <v>44</v>
      </c>
      <c r="E39" s="5" t="s">
        <v>1345</v>
      </c>
      <c r="F39" s="5" t="s">
        <v>4059</v>
      </c>
      <c r="G39" s="5" t="s">
        <v>247</v>
      </c>
      <c r="H39" s="5" t="s">
        <v>4106</v>
      </c>
      <c r="I39" s="7" t="s">
        <v>249</v>
      </c>
      <c r="J39" s="5">
        <v>1</v>
      </c>
      <c r="K39" s="5" t="s">
        <v>748</v>
      </c>
      <c r="L39" s="11">
        <v>364.5</v>
      </c>
      <c r="M39" s="5" t="s">
        <v>33</v>
      </c>
      <c r="N39" s="11">
        <f>Tabla52[[#This Row],[Price]]*Tabla52[[#This Row],[QTY Adjusted]]</f>
        <v>364.5</v>
      </c>
      <c r="O39" s="11">
        <v>364.5</v>
      </c>
      <c r="P39" s="6" t="s">
        <v>4240</v>
      </c>
      <c r="Q39" s="6">
        <v>0</v>
      </c>
    </row>
    <row r="40" spans="1:17" s="9" customFormat="1" ht="58.2" customHeight="1" outlineLevel="1" x14ac:dyDescent="0.3">
      <c r="A40" s="5">
        <v>670</v>
      </c>
      <c r="B40" s="5" t="s">
        <v>1184</v>
      </c>
      <c r="C40" s="5" t="s">
        <v>228</v>
      </c>
      <c r="D40" s="5" t="s">
        <v>44</v>
      </c>
      <c r="E40" s="5" t="s">
        <v>1345</v>
      </c>
      <c r="F40" s="5" t="s">
        <v>4059</v>
      </c>
      <c r="G40" s="5" t="s">
        <v>250</v>
      </c>
      <c r="H40" s="5" t="s">
        <v>4107</v>
      </c>
      <c r="I40" s="7" t="s">
        <v>251</v>
      </c>
      <c r="J40" s="5">
        <v>1</v>
      </c>
      <c r="K40" s="5" t="s">
        <v>748</v>
      </c>
      <c r="L40" s="11">
        <v>364.5</v>
      </c>
      <c r="M40" s="5" t="s">
        <v>33</v>
      </c>
      <c r="N40" s="11">
        <f>Tabla52[[#This Row],[Price]]*Tabla52[[#This Row],[QTY Adjusted]]</f>
        <v>364.5</v>
      </c>
      <c r="O40" s="11">
        <v>364.5</v>
      </c>
      <c r="P40" s="6" t="s">
        <v>4240</v>
      </c>
      <c r="Q40" s="6">
        <v>0</v>
      </c>
    </row>
    <row r="41" spans="1:17" s="9" customFormat="1" ht="58.2" customHeight="1" outlineLevel="1" x14ac:dyDescent="0.3">
      <c r="A41" s="5">
        <v>671</v>
      </c>
      <c r="B41" s="5" t="s">
        <v>1184</v>
      </c>
      <c r="C41" s="5" t="s">
        <v>228</v>
      </c>
      <c r="D41" s="5" t="s">
        <v>44</v>
      </c>
      <c r="E41" s="5" t="s">
        <v>1345</v>
      </c>
      <c r="F41" s="5" t="s">
        <v>4059</v>
      </c>
      <c r="G41" s="5" t="s">
        <v>252</v>
      </c>
      <c r="H41" s="5" t="s">
        <v>4108</v>
      </c>
      <c r="I41" s="7" t="s">
        <v>253</v>
      </c>
      <c r="J41" s="5">
        <v>1</v>
      </c>
      <c r="K41" s="5" t="s">
        <v>748</v>
      </c>
      <c r="L41" s="11">
        <v>364.5</v>
      </c>
      <c r="M41" s="5" t="s">
        <v>33</v>
      </c>
      <c r="N41" s="11">
        <f>Tabla52[[#This Row],[Price]]*Tabla52[[#This Row],[QTY Adjusted]]</f>
        <v>364.5</v>
      </c>
      <c r="O41" s="11">
        <v>364.5</v>
      </c>
      <c r="P41" s="6" t="s">
        <v>4240</v>
      </c>
      <c r="Q41" s="6">
        <v>0</v>
      </c>
    </row>
    <row r="42" spans="1:17" s="9" customFormat="1" ht="58.2" customHeight="1" outlineLevel="1" x14ac:dyDescent="0.3">
      <c r="A42" s="5">
        <v>672</v>
      </c>
      <c r="B42" s="5" t="s">
        <v>1184</v>
      </c>
      <c r="C42" s="5" t="s">
        <v>228</v>
      </c>
      <c r="D42" s="5" t="s">
        <v>44</v>
      </c>
      <c r="E42" s="5" t="s">
        <v>1345</v>
      </c>
      <c r="F42" s="5" t="s">
        <v>4059</v>
      </c>
      <c r="G42" s="5" t="s">
        <v>254</v>
      </c>
      <c r="H42" s="5" t="s">
        <v>4109</v>
      </c>
      <c r="I42" s="7" t="s">
        <v>255</v>
      </c>
      <c r="J42" s="5">
        <v>1</v>
      </c>
      <c r="K42" s="5" t="s">
        <v>748</v>
      </c>
      <c r="L42" s="11">
        <v>364.5</v>
      </c>
      <c r="M42" s="5" t="s">
        <v>33</v>
      </c>
      <c r="N42" s="11">
        <f>Tabla52[[#This Row],[Price]]*Tabla52[[#This Row],[QTY Adjusted]]</f>
        <v>364.5</v>
      </c>
      <c r="O42" s="11">
        <v>364.5</v>
      </c>
      <c r="P42" s="6" t="s">
        <v>4240</v>
      </c>
      <c r="Q42" s="6">
        <v>0</v>
      </c>
    </row>
    <row r="43" spans="1:17" s="9" customFormat="1" ht="58.2" customHeight="1" outlineLevel="1" x14ac:dyDescent="0.3">
      <c r="A43" s="5">
        <v>673</v>
      </c>
      <c r="B43" s="5" t="s">
        <v>1184</v>
      </c>
      <c r="C43" s="5" t="s">
        <v>228</v>
      </c>
      <c r="D43" s="5" t="s">
        <v>44</v>
      </c>
      <c r="E43" s="5" t="s">
        <v>1345</v>
      </c>
      <c r="F43" s="5" t="s">
        <v>4059</v>
      </c>
      <c r="G43" s="5" t="s">
        <v>256</v>
      </c>
      <c r="H43" s="5" t="s">
        <v>4110</v>
      </c>
      <c r="I43" s="7" t="s">
        <v>257</v>
      </c>
      <c r="J43" s="5">
        <v>1</v>
      </c>
      <c r="K43" s="5" t="s">
        <v>748</v>
      </c>
      <c r="L43" s="11">
        <v>364.5</v>
      </c>
      <c r="M43" s="5" t="s">
        <v>33</v>
      </c>
      <c r="N43" s="11">
        <f>Tabla52[[#This Row],[Price]]*Tabla52[[#This Row],[QTY Adjusted]]</f>
        <v>364.5</v>
      </c>
      <c r="O43" s="11">
        <v>364.5</v>
      </c>
      <c r="P43" s="6" t="s">
        <v>4240</v>
      </c>
      <c r="Q43" s="6">
        <v>0</v>
      </c>
    </row>
    <row r="44" spans="1:17" s="9" customFormat="1" ht="58.2" customHeight="1" outlineLevel="1" x14ac:dyDescent="0.3">
      <c r="A44" s="5">
        <v>674</v>
      </c>
      <c r="B44" s="5" t="s">
        <v>1184</v>
      </c>
      <c r="C44" s="5" t="s">
        <v>228</v>
      </c>
      <c r="D44" s="5" t="s">
        <v>44</v>
      </c>
      <c r="E44" s="5" t="s">
        <v>1345</v>
      </c>
      <c r="F44" s="5" t="s">
        <v>4059</v>
      </c>
      <c r="G44" s="5" t="s">
        <v>258</v>
      </c>
      <c r="H44" s="5" t="s">
        <v>4111</v>
      </c>
      <c r="I44" s="7" t="s">
        <v>259</v>
      </c>
      <c r="J44" s="5">
        <v>1</v>
      </c>
      <c r="K44" s="5" t="s">
        <v>748</v>
      </c>
      <c r="L44" s="11">
        <v>364.5</v>
      </c>
      <c r="M44" s="5" t="s">
        <v>33</v>
      </c>
      <c r="N44" s="11">
        <f>Tabla52[[#This Row],[Price]]*Tabla52[[#This Row],[QTY Adjusted]]</f>
        <v>364.5</v>
      </c>
      <c r="O44" s="11">
        <v>364.5</v>
      </c>
      <c r="P44" s="6" t="s">
        <v>4240</v>
      </c>
      <c r="Q44" s="6">
        <v>0</v>
      </c>
    </row>
    <row r="45" spans="1:17" s="9" customFormat="1" ht="58.2" customHeight="1" outlineLevel="1" x14ac:dyDescent="0.3">
      <c r="A45" s="5">
        <v>675</v>
      </c>
      <c r="B45" s="5" t="s">
        <v>1184</v>
      </c>
      <c r="C45" s="5" t="s">
        <v>228</v>
      </c>
      <c r="D45" s="5" t="s">
        <v>44</v>
      </c>
      <c r="E45" s="5" t="s">
        <v>1345</v>
      </c>
      <c r="F45" s="5" t="s">
        <v>4059</v>
      </c>
      <c r="G45" s="5" t="s">
        <v>260</v>
      </c>
      <c r="H45" s="5" t="s">
        <v>4112</v>
      </c>
      <c r="I45" s="7" t="s">
        <v>261</v>
      </c>
      <c r="J45" s="5">
        <v>1</v>
      </c>
      <c r="K45" s="5" t="s">
        <v>748</v>
      </c>
      <c r="L45" s="11">
        <v>364.5</v>
      </c>
      <c r="M45" s="5" t="s">
        <v>33</v>
      </c>
      <c r="N45" s="11">
        <f>Tabla52[[#This Row],[Price]]*Tabla52[[#This Row],[QTY Adjusted]]</f>
        <v>364.5</v>
      </c>
      <c r="O45" s="11">
        <v>364.5</v>
      </c>
      <c r="P45" s="6" t="s">
        <v>4240</v>
      </c>
      <c r="Q45" s="6">
        <v>0</v>
      </c>
    </row>
    <row r="46" spans="1:17" s="9" customFormat="1" ht="58.2" customHeight="1" outlineLevel="1" x14ac:dyDescent="0.3">
      <c r="A46" s="5">
        <v>676</v>
      </c>
      <c r="B46" s="5" t="s">
        <v>1184</v>
      </c>
      <c r="C46" s="5" t="s">
        <v>228</v>
      </c>
      <c r="D46" s="5" t="s">
        <v>44</v>
      </c>
      <c r="E46" s="5" t="s">
        <v>1345</v>
      </c>
      <c r="F46" s="5" t="s">
        <v>4059</v>
      </c>
      <c r="G46" s="5" t="s">
        <v>262</v>
      </c>
      <c r="H46" s="5" t="s">
        <v>4113</v>
      </c>
      <c r="I46" s="7" t="s">
        <v>263</v>
      </c>
      <c r="J46" s="5">
        <v>1</v>
      </c>
      <c r="K46" s="5" t="s">
        <v>748</v>
      </c>
      <c r="L46" s="11">
        <v>364.5</v>
      </c>
      <c r="M46" s="5" t="s">
        <v>33</v>
      </c>
      <c r="N46" s="11">
        <f>Tabla52[[#This Row],[Price]]*Tabla52[[#This Row],[QTY Adjusted]]</f>
        <v>364.5</v>
      </c>
      <c r="O46" s="11">
        <v>364.5</v>
      </c>
      <c r="P46" s="6" t="s">
        <v>4240</v>
      </c>
      <c r="Q46" s="6">
        <v>0</v>
      </c>
    </row>
    <row r="47" spans="1:17" s="9" customFormat="1" ht="58.2" customHeight="1" outlineLevel="1" x14ac:dyDescent="0.3">
      <c r="A47" s="5">
        <v>677</v>
      </c>
      <c r="B47" s="5" t="s">
        <v>1184</v>
      </c>
      <c r="C47" s="5" t="s">
        <v>228</v>
      </c>
      <c r="D47" s="5" t="s">
        <v>44</v>
      </c>
      <c r="E47" s="5" t="s">
        <v>1345</v>
      </c>
      <c r="F47" s="5" t="s">
        <v>4059</v>
      </c>
      <c r="G47" s="5" t="s">
        <v>264</v>
      </c>
      <c r="H47" s="5" t="s">
        <v>4114</v>
      </c>
      <c r="I47" s="7" t="s">
        <v>265</v>
      </c>
      <c r="J47" s="5">
        <v>1</v>
      </c>
      <c r="K47" s="5" t="s">
        <v>748</v>
      </c>
      <c r="L47" s="11">
        <v>364.5</v>
      </c>
      <c r="M47" s="5" t="s">
        <v>33</v>
      </c>
      <c r="N47" s="11">
        <f>Tabla52[[#This Row],[Price]]*Tabla52[[#This Row],[QTY Adjusted]]</f>
        <v>364.5</v>
      </c>
      <c r="O47" s="11">
        <v>364.5</v>
      </c>
      <c r="P47" s="6" t="s">
        <v>4240</v>
      </c>
      <c r="Q47" s="6">
        <v>0</v>
      </c>
    </row>
    <row r="48" spans="1:17" ht="58.2" customHeight="1" x14ac:dyDescent="0.3">
      <c r="A48" s="6">
        <v>591</v>
      </c>
      <c r="B48" s="6" t="s">
        <v>1184</v>
      </c>
      <c r="C48" s="6" t="s">
        <v>47</v>
      </c>
      <c r="D48" s="6" t="s">
        <v>44</v>
      </c>
      <c r="E48" s="6" t="s">
        <v>1201</v>
      </c>
      <c r="F48" s="6" t="s">
        <v>4063</v>
      </c>
      <c r="G48" s="6" t="s">
        <v>1216</v>
      </c>
      <c r="H48" s="6" t="s">
        <v>4115</v>
      </c>
      <c r="I48" s="14" t="s">
        <v>1217</v>
      </c>
      <c r="J48" s="6">
        <v>296</v>
      </c>
      <c r="K48" s="6" t="s">
        <v>19</v>
      </c>
      <c r="L48" s="10">
        <v>2.0219999999999998</v>
      </c>
      <c r="M48" s="6" t="s">
        <v>33</v>
      </c>
      <c r="N48" s="10">
        <f>Tabla52[[#This Row],[Price]]*Tabla52[[#This Row],[QTY Adjusted]]</f>
        <v>598.51199999999994</v>
      </c>
      <c r="O48" s="10">
        <v>598.51199999999994</v>
      </c>
      <c r="P48" s="6" t="s">
        <v>4225</v>
      </c>
      <c r="Q48" s="6">
        <v>0</v>
      </c>
    </row>
    <row r="49" spans="1:17" ht="58.2" customHeight="1" x14ac:dyDescent="0.3">
      <c r="A49" s="6">
        <v>633</v>
      </c>
      <c r="B49" s="6" t="s">
        <v>1184</v>
      </c>
      <c r="C49" s="6" t="s">
        <v>92</v>
      </c>
      <c r="D49" s="6" t="s">
        <v>93</v>
      </c>
      <c r="E49" s="6" t="s">
        <v>1188</v>
      </c>
      <c r="F49" s="6" t="s">
        <v>4059</v>
      </c>
      <c r="G49" s="6" t="s">
        <v>969</v>
      </c>
      <c r="H49" s="6" t="s">
        <v>4116</v>
      </c>
      <c r="I49" s="14" t="s">
        <v>970</v>
      </c>
      <c r="J49" s="6">
        <v>26</v>
      </c>
      <c r="K49" s="6" t="s">
        <v>19</v>
      </c>
      <c r="L49" s="10">
        <v>20.2</v>
      </c>
      <c r="M49" s="6" t="s">
        <v>33</v>
      </c>
      <c r="N49" s="10">
        <f>Tabla52[[#This Row],[Price]]*Tabla52[[#This Row],[QTY Adjusted]]</f>
        <v>525.19999999999993</v>
      </c>
      <c r="O49" s="10">
        <v>525.19999999999993</v>
      </c>
      <c r="P49" s="6" t="s">
        <v>4228</v>
      </c>
      <c r="Q49" s="6" t="s">
        <v>4246</v>
      </c>
    </row>
    <row r="50" spans="1:17" ht="58.2" customHeight="1" x14ac:dyDescent="0.3">
      <c r="A50" s="6">
        <v>658</v>
      </c>
      <c r="B50" s="6" t="s">
        <v>1184</v>
      </c>
      <c r="C50" s="6" t="s">
        <v>357</v>
      </c>
      <c r="D50" s="6" t="s">
        <v>93</v>
      </c>
      <c r="E50" s="6" t="s">
        <v>1201</v>
      </c>
      <c r="F50" s="6" t="s">
        <v>4059</v>
      </c>
      <c r="G50" s="6" t="s">
        <v>679</v>
      </c>
      <c r="H50" s="6" t="s">
        <v>4117</v>
      </c>
      <c r="I50" s="14" t="s">
        <v>680</v>
      </c>
      <c r="J50" s="6">
        <v>12</v>
      </c>
      <c r="K50" s="6" t="s">
        <v>19</v>
      </c>
      <c r="L50" s="10">
        <v>48.49</v>
      </c>
      <c r="M50" s="6" t="s">
        <v>33</v>
      </c>
      <c r="N50" s="10">
        <f>Tabla52[[#This Row],[Price]]*Tabla52[[#This Row],[QTY Adjusted]]</f>
        <v>581.88</v>
      </c>
      <c r="O50" s="10">
        <v>581.88</v>
      </c>
      <c r="P50" s="6" t="s">
        <v>4225</v>
      </c>
      <c r="Q50" s="6">
        <v>0</v>
      </c>
    </row>
    <row r="51" spans="1:17" ht="58.2" customHeight="1" x14ac:dyDescent="0.3">
      <c r="A51" s="6">
        <v>603</v>
      </c>
      <c r="B51" s="6" t="s">
        <v>1184</v>
      </c>
      <c r="C51" s="6" t="s">
        <v>130</v>
      </c>
      <c r="D51" s="6" t="s">
        <v>130</v>
      </c>
      <c r="E51" s="6" t="s">
        <v>1188</v>
      </c>
      <c r="F51" s="6" t="s">
        <v>4059</v>
      </c>
      <c r="G51" s="6" t="s">
        <v>1242</v>
      </c>
      <c r="H51" s="6" t="s">
        <v>4118</v>
      </c>
      <c r="I51" s="14" t="s">
        <v>1243</v>
      </c>
      <c r="J51" s="6">
        <v>36</v>
      </c>
      <c r="K51" s="6" t="s">
        <v>19</v>
      </c>
      <c r="L51" s="10">
        <v>12.740916980390701</v>
      </c>
      <c r="M51" s="6" t="s">
        <v>33</v>
      </c>
      <c r="N51" s="10">
        <f>Tabla52[[#This Row],[Price]]*Tabla52[[#This Row],[QTY Adjusted]]</f>
        <v>458.67301129406519</v>
      </c>
      <c r="O51" s="10">
        <v>458.67301129406519</v>
      </c>
      <c r="P51" s="6" t="s">
        <v>4225</v>
      </c>
      <c r="Q51" s="6">
        <v>0</v>
      </c>
    </row>
    <row r="52" spans="1:17" ht="58.2" customHeight="1" x14ac:dyDescent="0.3">
      <c r="A52" s="6">
        <v>661</v>
      </c>
      <c r="B52" s="6" t="s">
        <v>1184</v>
      </c>
      <c r="C52" s="6" t="s">
        <v>1148</v>
      </c>
      <c r="D52" s="6" t="s">
        <v>1490</v>
      </c>
      <c r="E52" s="6" t="s">
        <v>1201</v>
      </c>
      <c r="F52" s="6" t="s">
        <v>4059</v>
      </c>
      <c r="G52" s="6" t="s">
        <v>1150</v>
      </c>
      <c r="H52" s="6" t="s">
        <v>4119</v>
      </c>
      <c r="I52" s="14" t="s">
        <v>1151</v>
      </c>
      <c r="J52" s="6">
        <v>4</v>
      </c>
      <c r="K52" s="6" t="s">
        <v>19</v>
      </c>
      <c r="L52" s="10">
        <v>128.57</v>
      </c>
      <c r="M52" s="6" t="s">
        <v>33</v>
      </c>
      <c r="N52" s="10">
        <f>Tabla52[[#This Row],[Price]]*Tabla52[[#This Row],[QTY Adjusted]]</f>
        <v>514.28</v>
      </c>
      <c r="O52" s="10">
        <v>514.28</v>
      </c>
      <c r="P52" s="6" t="s">
        <v>4225</v>
      </c>
      <c r="Q52" s="6">
        <v>0</v>
      </c>
    </row>
    <row r="53" spans="1:17" ht="58.2" customHeight="1" x14ac:dyDescent="0.3">
      <c r="A53" s="6">
        <v>615</v>
      </c>
      <c r="B53" s="6" t="s">
        <v>1184</v>
      </c>
      <c r="C53" s="6" t="s">
        <v>1256</v>
      </c>
      <c r="D53" s="6" t="str">
        <f>Tabla52[[#This Row],[Vendor]]</f>
        <v>Monica Calderon</v>
      </c>
      <c r="E53" s="6" t="s">
        <v>1201</v>
      </c>
      <c r="F53" s="6" t="s">
        <v>4059</v>
      </c>
      <c r="G53" s="6" t="s">
        <v>178</v>
      </c>
      <c r="H53" s="6" t="s">
        <v>4120</v>
      </c>
      <c r="I53" s="14" t="s">
        <v>1267</v>
      </c>
      <c r="J53" s="6">
        <v>12</v>
      </c>
      <c r="K53" s="6" t="s">
        <v>19</v>
      </c>
      <c r="L53" s="10">
        <v>41.55</v>
      </c>
      <c r="M53" s="6" t="s">
        <v>33</v>
      </c>
      <c r="N53" s="10">
        <f>Tabla52[[#This Row],[Price]]*Tabla52[[#This Row],[QTY Adjusted]]</f>
        <v>498.59999999999997</v>
      </c>
      <c r="O53" s="10">
        <v>498.59999999999997</v>
      </c>
      <c r="P53" s="6" t="s">
        <v>4225</v>
      </c>
      <c r="Q53" s="6">
        <v>0</v>
      </c>
    </row>
    <row r="54" spans="1:17" ht="58.2" customHeight="1" x14ac:dyDescent="0.3">
      <c r="A54" s="6">
        <v>625</v>
      </c>
      <c r="B54" s="6" t="s">
        <v>1184</v>
      </c>
      <c r="C54" s="6" t="s">
        <v>232</v>
      </c>
      <c r="D54" s="6" t="s">
        <v>233</v>
      </c>
      <c r="E54" s="6" t="s">
        <v>1188</v>
      </c>
      <c r="F54" s="6" t="s">
        <v>4062</v>
      </c>
      <c r="G54" s="6">
        <v>26.112414999999999</v>
      </c>
      <c r="H54" s="6" t="s">
        <v>4121</v>
      </c>
      <c r="I54" s="14" t="s">
        <v>951</v>
      </c>
      <c r="J54" s="6">
        <v>47</v>
      </c>
      <c r="K54" s="6" t="s">
        <v>19</v>
      </c>
      <c r="L54" s="10">
        <v>8.9499999999999993</v>
      </c>
      <c r="M54" s="6" t="s">
        <v>33</v>
      </c>
      <c r="N54" s="10">
        <f>Tabla52[[#This Row],[Price]]*Tabla52[[#This Row],[QTY Adjusted]]</f>
        <v>420.65</v>
      </c>
      <c r="O54" s="10">
        <v>420.65</v>
      </c>
      <c r="P54" s="6" t="s">
        <v>4239</v>
      </c>
      <c r="Q54" s="6">
        <v>0</v>
      </c>
    </row>
    <row r="55" spans="1:17" ht="58.2" customHeight="1" x14ac:dyDescent="0.3">
      <c r="A55" s="6">
        <v>694</v>
      </c>
      <c r="B55" s="6" t="s">
        <v>1184</v>
      </c>
      <c r="C55" s="6" t="s">
        <v>29</v>
      </c>
      <c r="D55" s="6" t="str">
        <f>Tabla52[[#This Row],[Vendor]]</f>
        <v>Blue Pheasant</v>
      </c>
      <c r="E55" s="6" t="s">
        <v>1345</v>
      </c>
      <c r="F55" s="6" t="s">
        <v>4059</v>
      </c>
      <c r="G55" s="6" t="s">
        <v>1368</v>
      </c>
      <c r="H55" s="6" t="s">
        <v>4122</v>
      </c>
      <c r="I55" s="14" t="s">
        <v>1369</v>
      </c>
      <c r="J55" s="6">
        <v>6</v>
      </c>
      <c r="K55" s="6" t="s">
        <v>19</v>
      </c>
      <c r="L55" s="10">
        <v>81</v>
      </c>
      <c r="M55" s="6" t="s">
        <v>33</v>
      </c>
      <c r="N55" s="10">
        <f>Tabla52[[#This Row],[Price]]*Tabla52[[#This Row],[QTY Adjusted]]</f>
        <v>486</v>
      </c>
      <c r="O55" s="10">
        <v>486</v>
      </c>
      <c r="P55" s="6" t="s">
        <v>4218</v>
      </c>
      <c r="Q55" s="6" t="s">
        <v>4245</v>
      </c>
    </row>
    <row r="56" spans="1:17" ht="58.2" customHeight="1" x14ac:dyDescent="0.3">
      <c r="A56" s="6">
        <v>609</v>
      </c>
      <c r="B56" s="6" t="s">
        <v>1184</v>
      </c>
      <c r="C56" s="6" t="s">
        <v>232</v>
      </c>
      <c r="D56" s="6" t="s">
        <v>233</v>
      </c>
      <c r="E56" s="6" t="s">
        <v>1201</v>
      </c>
      <c r="F56" s="6" t="s">
        <v>4059</v>
      </c>
      <c r="G56" s="6" t="s">
        <v>1254</v>
      </c>
      <c r="H56" s="6" t="s">
        <v>4123</v>
      </c>
      <c r="I56" s="14" t="s">
        <v>1255</v>
      </c>
      <c r="J56" s="6">
        <v>22</v>
      </c>
      <c r="K56" s="6" t="s">
        <v>19</v>
      </c>
      <c r="L56" s="10">
        <v>17.170000000000002</v>
      </c>
      <c r="M56" s="6" t="s">
        <v>33</v>
      </c>
      <c r="N56" s="10">
        <f>Tabla52[[#This Row],[Price]]*Tabla52[[#This Row],[QTY Adjusted]]</f>
        <v>377.74</v>
      </c>
      <c r="O56" s="10">
        <v>377.74</v>
      </c>
      <c r="P56" s="6" t="s">
        <v>4239</v>
      </c>
      <c r="Q56" s="6">
        <v>0</v>
      </c>
    </row>
    <row r="57" spans="1:17" ht="58.2" customHeight="1" x14ac:dyDescent="0.3">
      <c r="A57" s="6">
        <v>612</v>
      </c>
      <c r="B57" s="6" t="s">
        <v>1184</v>
      </c>
      <c r="C57" s="6" t="s">
        <v>1256</v>
      </c>
      <c r="D57" s="6" t="str">
        <f>Tabla52[[#This Row],[Vendor]]</f>
        <v>Monica Calderon</v>
      </c>
      <c r="E57" s="6" t="s">
        <v>1201</v>
      </c>
      <c r="F57" s="6" t="s">
        <v>4059</v>
      </c>
      <c r="G57" s="6" t="s">
        <v>1261</v>
      </c>
      <c r="H57" s="6" t="s">
        <v>4124</v>
      </c>
      <c r="I57" s="14" t="s">
        <v>1263</v>
      </c>
      <c r="J57" s="6">
        <v>12</v>
      </c>
      <c r="K57" s="6" t="s">
        <v>19</v>
      </c>
      <c r="L57" s="10">
        <v>33.24</v>
      </c>
      <c r="M57" s="6" t="s">
        <v>33</v>
      </c>
      <c r="N57" s="10">
        <f>Tabla52[[#This Row],[Price]]*Tabla52[[#This Row],[QTY Adjusted]]</f>
        <v>398.88</v>
      </c>
      <c r="O57" s="10">
        <v>398.88</v>
      </c>
      <c r="P57" s="6" t="s">
        <v>4225</v>
      </c>
      <c r="Q57" s="6">
        <v>0</v>
      </c>
    </row>
    <row r="58" spans="1:17" ht="58.2" customHeight="1" x14ac:dyDescent="0.3">
      <c r="A58" s="6">
        <v>666</v>
      </c>
      <c r="B58" s="6" t="s">
        <v>1184</v>
      </c>
      <c r="C58" s="6" t="s">
        <v>237</v>
      </c>
      <c r="D58" s="6" t="s">
        <v>93</v>
      </c>
      <c r="E58" s="6" t="s">
        <v>1345</v>
      </c>
      <c r="F58" s="6" t="s">
        <v>4059</v>
      </c>
      <c r="G58" s="6" t="s">
        <v>743</v>
      </c>
      <c r="H58" s="6" t="s">
        <v>4125</v>
      </c>
      <c r="I58" s="14" t="s">
        <v>1348</v>
      </c>
      <c r="J58" s="6">
        <v>4</v>
      </c>
      <c r="K58" s="6" t="s">
        <v>19</v>
      </c>
      <c r="L58" s="10">
        <v>99.59</v>
      </c>
      <c r="M58" s="6" t="s">
        <v>33</v>
      </c>
      <c r="N58" s="10">
        <f>Tabla52[[#This Row],[Price]]*Tabla52[[#This Row],[QTY Adjusted]]</f>
        <v>398.36</v>
      </c>
      <c r="O58" s="10">
        <v>398.36</v>
      </c>
      <c r="P58" s="6" t="s">
        <v>4225</v>
      </c>
      <c r="Q58" s="6">
        <v>0</v>
      </c>
    </row>
    <row r="59" spans="1:17" ht="58.2" customHeight="1" x14ac:dyDescent="0.3">
      <c r="A59" s="6">
        <v>620</v>
      </c>
      <c r="B59" s="6" t="s">
        <v>1184</v>
      </c>
      <c r="C59" s="6" t="s">
        <v>130</v>
      </c>
      <c r="D59" s="6" t="s">
        <v>130</v>
      </c>
      <c r="E59" s="6" t="s">
        <v>1188</v>
      </c>
      <c r="F59" s="6" t="s">
        <v>4060</v>
      </c>
      <c r="G59" s="6" t="s">
        <v>1278</v>
      </c>
      <c r="H59" s="6" t="s">
        <v>4126</v>
      </c>
      <c r="I59" s="14" t="s">
        <v>1279</v>
      </c>
      <c r="J59" s="6">
        <v>36</v>
      </c>
      <c r="K59" s="6" t="s">
        <v>19</v>
      </c>
      <c r="L59" s="10">
        <v>9.3952805071226617</v>
      </c>
      <c r="M59" s="6" t="s">
        <v>33</v>
      </c>
      <c r="N59" s="10">
        <f>Tabla52[[#This Row],[Price]]*Tabla52[[#This Row],[QTY Adjusted]]</f>
        <v>338.23009825641583</v>
      </c>
      <c r="O59" s="10">
        <v>338.23009825641583</v>
      </c>
      <c r="P59" s="6" t="s">
        <v>4225</v>
      </c>
      <c r="Q59" s="6">
        <v>0</v>
      </c>
    </row>
    <row r="60" spans="1:17" ht="58.2" customHeight="1" x14ac:dyDescent="0.3">
      <c r="A60" s="6">
        <v>638</v>
      </c>
      <c r="B60" s="6" t="s">
        <v>1184</v>
      </c>
      <c r="C60" s="6" t="s">
        <v>130</v>
      </c>
      <c r="D60" s="6" t="s">
        <v>130</v>
      </c>
      <c r="E60" s="6" t="s">
        <v>1285</v>
      </c>
      <c r="F60" s="6" t="s">
        <v>4060</v>
      </c>
      <c r="G60" s="6" t="s">
        <v>1292</v>
      </c>
      <c r="H60" s="6" t="s">
        <v>4127</v>
      </c>
      <c r="I60" s="14" t="s">
        <v>1294</v>
      </c>
      <c r="J60" s="6">
        <v>24</v>
      </c>
      <c r="K60" s="6" t="s">
        <v>19</v>
      </c>
      <c r="L60" s="10">
        <v>15.735185239571289</v>
      </c>
      <c r="M60" s="6" t="s">
        <v>33</v>
      </c>
      <c r="N60" s="10">
        <f>Tabla52[[#This Row],[Price]]*Tabla52[[#This Row],[QTY Adjusted]]</f>
        <v>377.64444574971094</v>
      </c>
      <c r="O60" s="10">
        <v>377.64444574971094</v>
      </c>
      <c r="P60" s="6" t="s">
        <v>4241</v>
      </c>
      <c r="Q60" s="6" t="s">
        <v>4246</v>
      </c>
    </row>
    <row r="61" spans="1:17" ht="58.2" customHeight="1" x14ac:dyDescent="0.3">
      <c r="A61" s="6">
        <v>662</v>
      </c>
      <c r="B61" s="6" t="s">
        <v>1184</v>
      </c>
      <c r="C61" s="6" t="s">
        <v>29</v>
      </c>
      <c r="D61" s="6" t="str">
        <f>Tabla52[[#This Row],[Vendor]]</f>
        <v>Blue Pheasant</v>
      </c>
      <c r="E61" s="6" t="s">
        <v>1201</v>
      </c>
      <c r="F61" s="6" t="s">
        <v>4059</v>
      </c>
      <c r="G61" s="6" t="s">
        <v>1341</v>
      </c>
      <c r="H61" s="6" t="s">
        <v>4128</v>
      </c>
      <c r="I61" s="14" t="s">
        <v>1342</v>
      </c>
      <c r="J61" s="6">
        <v>3</v>
      </c>
      <c r="K61" s="6" t="s">
        <v>19</v>
      </c>
      <c r="L61" s="10">
        <v>124</v>
      </c>
      <c r="M61" s="6" t="s">
        <v>33</v>
      </c>
      <c r="N61" s="10">
        <f>Tabla52[[#This Row],[Price]]*Tabla52[[#This Row],[QTY Adjusted]]</f>
        <v>372</v>
      </c>
      <c r="O61" s="10">
        <v>372</v>
      </c>
      <c r="P61" s="6" t="s">
        <v>4218</v>
      </c>
      <c r="Q61" s="6" t="s">
        <v>4245</v>
      </c>
    </row>
    <row r="62" spans="1:17" ht="58.2" customHeight="1" x14ac:dyDescent="0.3">
      <c r="A62" s="6">
        <v>663</v>
      </c>
      <c r="B62" s="6" t="s">
        <v>1184</v>
      </c>
      <c r="C62" s="6" t="s">
        <v>29</v>
      </c>
      <c r="D62" s="6" t="str">
        <f>Tabla52[[#This Row],[Vendor]]</f>
        <v>Blue Pheasant</v>
      </c>
      <c r="E62" s="6" t="s">
        <v>1201</v>
      </c>
      <c r="F62" s="6" t="s">
        <v>4059</v>
      </c>
      <c r="G62" s="6" t="s">
        <v>1343</v>
      </c>
      <c r="H62" s="6" t="s">
        <v>4129</v>
      </c>
      <c r="I62" s="14" t="s">
        <v>1344</v>
      </c>
      <c r="J62" s="6">
        <v>3</v>
      </c>
      <c r="K62" s="6" t="s">
        <v>19</v>
      </c>
      <c r="L62" s="10">
        <v>124</v>
      </c>
      <c r="M62" s="6" t="s">
        <v>33</v>
      </c>
      <c r="N62" s="10">
        <f>Tabla52[[#This Row],[Price]]*Tabla52[[#This Row],[QTY Adjusted]]</f>
        <v>372</v>
      </c>
      <c r="O62" s="10">
        <v>372</v>
      </c>
      <c r="P62" s="6" t="s">
        <v>4218</v>
      </c>
      <c r="Q62" s="6" t="s">
        <v>4245</v>
      </c>
    </row>
    <row r="63" spans="1:17" ht="58.2" customHeight="1" x14ac:dyDescent="0.3">
      <c r="A63" s="6">
        <v>654</v>
      </c>
      <c r="B63" s="6" t="s">
        <v>1184</v>
      </c>
      <c r="C63" s="6" t="s">
        <v>1316</v>
      </c>
      <c r="D63" s="6" t="s">
        <v>718</v>
      </c>
      <c r="E63" s="6" t="s">
        <v>1285</v>
      </c>
      <c r="F63" s="6" t="s">
        <v>4062</v>
      </c>
      <c r="G63" s="6" t="s">
        <v>1332</v>
      </c>
      <c r="H63" s="6" t="s">
        <v>4130</v>
      </c>
      <c r="I63" s="14" t="s">
        <v>1333</v>
      </c>
      <c r="J63" s="6">
        <v>30</v>
      </c>
      <c r="K63" s="6" t="s">
        <v>19</v>
      </c>
      <c r="L63" s="10">
        <v>12.1</v>
      </c>
      <c r="M63" s="6" t="s">
        <v>33</v>
      </c>
      <c r="N63" s="10">
        <f>Tabla52[[#This Row],[Price]]*Tabla52[[#This Row],[QTY Adjusted]]</f>
        <v>363</v>
      </c>
      <c r="O63" s="10">
        <v>363</v>
      </c>
      <c r="P63" s="6" t="s">
        <v>4225</v>
      </c>
      <c r="Q63" s="6">
        <v>0</v>
      </c>
    </row>
    <row r="64" spans="1:17" ht="58.2" customHeight="1" x14ac:dyDescent="0.3">
      <c r="A64" s="6">
        <v>693</v>
      </c>
      <c r="B64" s="6" t="s">
        <v>1184</v>
      </c>
      <c r="C64" s="6" t="s">
        <v>314</v>
      </c>
      <c r="D64" s="6" t="s">
        <v>93</v>
      </c>
      <c r="E64" s="6" t="s">
        <v>1345</v>
      </c>
      <c r="F64" s="6" t="s">
        <v>4059</v>
      </c>
      <c r="G64" s="6" t="s">
        <v>315</v>
      </c>
      <c r="H64" s="6" t="s">
        <v>4131</v>
      </c>
      <c r="I64" s="14" t="s">
        <v>317</v>
      </c>
      <c r="J64" s="6">
        <v>2</v>
      </c>
      <c r="K64" s="6" t="s">
        <v>19</v>
      </c>
      <c r="L64" s="10">
        <v>175.87</v>
      </c>
      <c r="M64" s="6" t="s">
        <v>33</v>
      </c>
      <c r="N64" s="10">
        <f>Tabla52[[#This Row],[Price]]*Tabla52[[#This Row],[QTY Adjusted]]</f>
        <v>351.74</v>
      </c>
      <c r="O64" s="10">
        <v>351.74</v>
      </c>
      <c r="P64" s="6" t="s">
        <v>4225</v>
      </c>
      <c r="Q64" s="6">
        <v>0</v>
      </c>
    </row>
    <row r="65" spans="1:17" ht="58.2" customHeight="1" x14ac:dyDescent="0.3">
      <c r="A65" s="6">
        <v>594</v>
      </c>
      <c r="B65" s="6" t="s">
        <v>1184</v>
      </c>
      <c r="C65" s="6" t="s">
        <v>47</v>
      </c>
      <c r="D65" s="6" t="s">
        <v>44</v>
      </c>
      <c r="E65" s="6" t="s">
        <v>1201</v>
      </c>
      <c r="F65" s="6" t="s">
        <v>4063</v>
      </c>
      <c r="G65" s="6" t="s">
        <v>1222</v>
      </c>
      <c r="H65" s="6" t="s">
        <v>4132</v>
      </c>
      <c r="I65" s="14" t="s">
        <v>1223</v>
      </c>
      <c r="J65" s="6">
        <v>29</v>
      </c>
      <c r="K65" s="6" t="s">
        <v>19</v>
      </c>
      <c r="L65" s="10">
        <v>10.176</v>
      </c>
      <c r="M65" s="6" t="s">
        <v>33</v>
      </c>
      <c r="N65" s="10">
        <f>Tabla52[[#This Row],[Price]]*Tabla52[[#This Row],[QTY Adjusted]]</f>
        <v>295.10399999999998</v>
      </c>
      <c r="O65" s="10">
        <v>295.10399999999998</v>
      </c>
      <c r="P65" s="6" t="s">
        <v>4225</v>
      </c>
      <c r="Q65" s="6">
        <v>0</v>
      </c>
    </row>
    <row r="66" spans="1:17" ht="58.2" customHeight="1" x14ac:dyDescent="0.3">
      <c r="A66" s="6">
        <v>648</v>
      </c>
      <c r="B66" s="6" t="s">
        <v>1184</v>
      </c>
      <c r="C66" s="6" t="s">
        <v>1316</v>
      </c>
      <c r="D66" s="6" t="s">
        <v>718</v>
      </c>
      <c r="E66" s="6" t="s">
        <v>1285</v>
      </c>
      <c r="F66" s="6" t="s">
        <v>4062</v>
      </c>
      <c r="G66" s="6" t="s">
        <v>1317</v>
      </c>
      <c r="H66" s="6" t="s">
        <v>4133</v>
      </c>
      <c r="I66" s="14" t="s">
        <v>1319</v>
      </c>
      <c r="J66" s="6">
        <v>30</v>
      </c>
      <c r="K66" s="6" t="s">
        <v>19</v>
      </c>
      <c r="L66" s="10">
        <v>11.5</v>
      </c>
      <c r="M66" s="6" t="s">
        <v>33</v>
      </c>
      <c r="N66" s="10">
        <f>Tabla52[[#This Row],[Price]]*Tabla52[[#This Row],[QTY Adjusted]]</f>
        <v>345</v>
      </c>
      <c r="O66" s="10">
        <v>345</v>
      </c>
      <c r="P66" s="6" t="s">
        <v>4225</v>
      </c>
      <c r="Q66" s="6">
        <v>0</v>
      </c>
    </row>
    <row r="67" spans="1:17" ht="58.2" customHeight="1" x14ac:dyDescent="0.3">
      <c r="A67" s="6">
        <v>629</v>
      </c>
      <c r="B67" s="6" t="s">
        <v>1184</v>
      </c>
      <c r="C67" s="6" t="s">
        <v>228</v>
      </c>
      <c r="D67" s="6" t="s">
        <v>44</v>
      </c>
      <c r="E67" s="6" t="s">
        <v>1188</v>
      </c>
      <c r="F67" s="6" t="s">
        <v>4062</v>
      </c>
      <c r="G67" s="6" t="s">
        <v>960</v>
      </c>
      <c r="H67" s="6" t="s">
        <v>4134</v>
      </c>
      <c r="I67" s="14" t="s">
        <v>961</v>
      </c>
      <c r="J67" s="6">
        <v>26</v>
      </c>
      <c r="K67" s="6" t="s">
        <v>19</v>
      </c>
      <c r="L67" s="10">
        <v>11.214</v>
      </c>
      <c r="M67" s="6" t="s">
        <v>33</v>
      </c>
      <c r="N67" s="10">
        <f>Tabla52[[#This Row],[Price]]*Tabla52[[#This Row],[QTY Adjusted]]</f>
        <v>291.56400000000002</v>
      </c>
      <c r="O67" s="10">
        <v>291.56400000000002</v>
      </c>
      <c r="P67" s="25" t="s">
        <v>4225</v>
      </c>
      <c r="Q67" s="6">
        <v>0</v>
      </c>
    </row>
    <row r="68" spans="1:17" ht="58.2" customHeight="1" x14ac:dyDescent="0.3">
      <c r="A68" s="6">
        <v>600</v>
      </c>
      <c r="B68" s="6" t="s">
        <v>1184</v>
      </c>
      <c r="C68" s="6" t="s">
        <v>130</v>
      </c>
      <c r="D68" s="6" t="s">
        <v>130</v>
      </c>
      <c r="E68" s="6" t="s">
        <v>1188</v>
      </c>
      <c r="F68" s="6" t="s">
        <v>4059</v>
      </c>
      <c r="G68" s="6" t="s">
        <v>1236</v>
      </c>
      <c r="H68" s="6" t="s">
        <v>4135</v>
      </c>
      <c r="I68" s="14" t="s">
        <v>1237</v>
      </c>
      <c r="J68" s="6">
        <v>18</v>
      </c>
      <c r="K68" s="6" t="s">
        <v>19</v>
      </c>
      <c r="L68" s="10">
        <v>17.644795098742598</v>
      </c>
      <c r="M68" s="6" t="s">
        <v>33</v>
      </c>
      <c r="N68" s="10">
        <f>Tabla52[[#This Row],[Price]]*Tabla52[[#This Row],[QTY Adjusted]]</f>
        <v>317.60631177736678</v>
      </c>
      <c r="O68" s="10">
        <v>317.60631177736678</v>
      </c>
      <c r="P68" s="6" t="s">
        <v>4225</v>
      </c>
      <c r="Q68" s="6">
        <v>0</v>
      </c>
    </row>
    <row r="69" spans="1:17" ht="58.2" customHeight="1" x14ac:dyDescent="0.3">
      <c r="A69" s="6">
        <v>624</v>
      </c>
      <c r="B69" s="6" t="s">
        <v>1184</v>
      </c>
      <c r="C69" s="6" t="s">
        <v>232</v>
      </c>
      <c r="D69" s="6" t="s">
        <v>233</v>
      </c>
      <c r="E69" s="6" t="s">
        <v>1188</v>
      </c>
      <c r="F69" s="6" t="s">
        <v>4062</v>
      </c>
      <c r="G69" s="6">
        <v>26.11242</v>
      </c>
      <c r="H69" s="6" t="s">
        <v>4136</v>
      </c>
      <c r="I69" s="14" t="s">
        <v>950</v>
      </c>
      <c r="J69" s="6">
        <v>29</v>
      </c>
      <c r="K69" s="6" t="s">
        <v>19</v>
      </c>
      <c r="L69" s="10">
        <v>8.8699999999999992</v>
      </c>
      <c r="M69" s="6" t="s">
        <v>33</v>
      </c>
      <c r="N69" s="10">
        <f>Tabla52[[#This Row],[Price]]*Tabla52[[#This Row],[QTY Adjusted]]</f>
        <v>257.22999999999996</v>
      </c>
      <c r="O69" s="10">
        <v>257.22999999999996</v>
      </c>
      <c r="P69" s="6" t="s">
        <v>4239</v>
      </c>
      <c r="Q69" s="6">
        <v>0</v>
      </c>
    </row>
    <row r="70" spans="1:17" ht="58.2" customHeight="1" x14ac:dyDescent="0.3">
      <c r="A70" s="6">
        <v>628</v>
      </c>
      <c r="B70" s="6" t="s">
        <v>1184</v>
      </c>
      <c r="C70" s="6" t="s">
        <v>134</v>
      </c>
      <c r="D70" s="6" t="s">
        <v>44</v>
      </c>
      <c r="E70" s="6" t="s">
        <v>1188</v>
      </c>
      <c r="F70" s="6" t="s">
        <v>4062</v>
      </c>
      <c r="G70" s="6" t="s">
        <v>957</v>
      </c>
      <c r="H70" s="6" t="s">
        <v>4137</v>
      </c>
      <c r="I70" s="14" t="s">
        <v>958</v>
      </c>
      <c r="J70" s="6">
        <v>47</v>
      </c>
      <c r="K70" s="6" t="s">
        <v>19</v>
      </c>
      <c r="L70" s="10">
        <v>5.1479999999999997</v>
      </c>
      <c r="M70" s="6" t="s">
        <v>33</v>
      </c>
      <c r="N70" s="10">
        <f>Tabla52[[#This Row],[Price]]*Tabla52[[#This Row],[QTY Adjusted]]</f>
        <v>241.95599999999999</v>
      </c>
      <c r="O70" s="10">
        <v>241.95599999999999</v>
      </c>
      <c r="P70" s="6" t="s">
        <v>4225</v>
      </c>
      <c r="Q70" s="6">
        <v>0</v>
      </c>
    </row>
    <row r="71" spans="1:17" ht="58.2" customHeight="1" x14ac:dyDescent="0.3">
      <c r="A71" s="6">
        <v>664</v>
      </c>
      <c r="B71" s="6" t="s">
        <v>1184</v>
      </c>
      <c r="C71" s="6" t="s">
        <v>321</v>
      </c>
      <c r="D71" s="6" t="s">
        <v>199</v>
      </c>
      <c r="E71" s="6" t="s">
        <v>1345</v>
      </c>
      <c r="F71" s="6" t="s">
        <v>4059</v>
      </c>
      <c r="G71" s="6" t="s">
        <v>1346</v>
      </c>
      <c r="H71" s="6" t="s">
        <v>4138</v>
      </c>
      <c r="I71" s="14" t="s">
        <v>1347</v>
      </c>
      <c r="J71" s="6">
        <v>4</v>
      </c>
      <c r="K71" s="6" t="s">
        <v>19</v>
      </c>
      <c r="L71" s="10">
        <v>68.75661003750001</v>
      </c>
      <c r="M71" s="6" t="s">
        <v>33</v>
      </c>
      <c r="N71" s="10">
        <f>Tabla52[[#This Row],[Price]]*Tabla52[[#This Row],[QTY Adjusted]]</f>
        <v>275.02644015000004</v>
      </c>
      <c r="O71" s="10">
        <v>275.02644015000004</v>
      </c>
      <c r="P71" s="6" t="s">
        <v>4225</v>
      </c>
      <c r="Q71" s="6">
        <v>0</v>
      </c>
    </row>
    <row r="72" spans="1:17" ht="58.2" customHeight="1" x14ac:dyDescent="0.3">
      <c r="A72" s="6">
        <v>708</v>
      </c>
      <c r="B72" s="6" t="s">
        <v>1184</v>
      </c>
      <c r="C72" s="6" t="s">
        <v>361</v>
      </c>
      <c r="D72" s="6" t="s">
        <v>362</v>
      </c>
      <c r="E72" s="6" t="s">
        <v>1345</v>
      </c>
      <c r="F72" s="6" t="s">
        <v>4059</v>
      </c>
      <c r="G72" s="6" t="s">
        <v>363</v>
      </c>
      <c r="H72" s="6" t="s">
        <v>4139</v>
      </c>
      <c r="I72" s="14" t="s">
        <v>365</v>
      </c>
      <c r="J72" s="6">
        <v>6</v>
      </c>
      <c r="K72" s="6" t="s">
        <v>19</v>
      </c>
      <c r="L72" s="10">
        <v>44.937176470588234</v>
      </c>
      <c r="M72" s="6" t="s">
        <v>33</v>
      </c>
      <c r="N72" s="10">
        <f>Tabla52[[#This Row],[Price]]*Tabla52[[#This Row],[QTY Adjusted]]</f>
        <v>269.62305882352939</v>
      </c>
      <c r="O72" s="10">
        <v>269.62305882352939</v>
      </c>
      <c r="P72" s="6" t="s">
        <v>4225</v>
      </c>
      <c r="Q72" s="6">
        <v>0</v>
      </c>
    </row>
    <row r="73" spans="1:17" ht="58.2" customHeight="1" x14ac:dyDescent="0.3">
      <c r="A73" s="6">
        <v>617</v>
      </c>
      <c r="B73" s="6" t="s">
        <v>1184</v>
      </c>
      <c r="C73" s="6" t="s">
        <v>130</v>
      </c>
      <c r="D73" s="6" t="s">
        <v>130</v>
      </c>
      <c r="E73" s="6" t="s">
        <v>1188</v>
      </c>
      <c r="F73" s="6" t="s">
        <v>4060</v>
      </c>
      <c r="G73" s="6" t="s">
        <v>1270</v>
      </c>
      <c r="H73" s="20" t="s">
        <v>4140</v>
      </c>
      <c r="I73" s="14" t="s">
        <v>1272</v>
      </c>
      <c r="J73" s="6">
        <v>22</v>
      </c>
      <c r="K73" s="6" t="s">
        <v>19</v>
      </c>
      <c r="L73" s="10">
        <v>10.143847571917799</v>
      </c>
      <c r="M73" s="6" t="s">
        <v>33</v>
      </c>
      <c r="N73" s="10">
        <f>Tabla52[[#This Row],[Price]]*Tabla52[[#This Row],[QTY Adjusted]]</f>
        <v>223.16464658219158</v>
      </c>
      <c r="O73" s="10">
        <v>223.16464658219158</v>
      </c>
      <c r="P73" s="6" t="s">
        <v>4241</v>
      </c>
      <c r="Q73" s="6" t="s">
        <v>4246</v>
      </c>
    </row>
    <row r="74" spans="1:17" ht="58.2" customHeight="1" x14ac:dyDescent="0.3">
      <c r="A74" s="6">
        <v>687</v>
      </c>
      <c r="B74" s="6" t="s">
        <v>1184</v>
      </c>
      <c r="C74" s="6" t="s">
        <v>321</v>
      </c>
      <c r="D74" s="6" t="s">
        <v>199</v>
      </c>
      <c r="E74" s="6" t="s">
        <v>1345</v>
      </c>
      <c r="F74" s="6" t="s">
        <v>4059</v>
      </c>
      <c r="G74" s="6" t="s">
        <v>1365</v>
      </c>
      <c r="H74" s="6" t="s">
        <v>4141</v>
      </c>
      <c r="I74" s="14" t="s">
        <v>1366</v>
      </c>
      <c r="J74" s="6">
        <v>8</v>
      </c>
      <c r="K74" s="6" t="s">
        <v>19</v>
      </c>
      <c r="L74" s="10">
        <v>31.749994237500001</v>
      </c>
      <c r="M74" s="6" t="s">
        <v>33</v>
      </c>
      <c r="N74" s="10">
        <f>Tabla52[[#This Row],[Price]]*Tabla52[[#This Row],[QTY Adjusted]]</f>
        <v>253.99995390000001</v>
      </c>
      <c r="O74" s="10">
        <v>253.99995390000001</v>
      </c>
      <c r="P74" s="6" t="s">
        <v>4225</v>
      </c>
      <c r="Q74" s="6">
        <v>0</v>
      </c>
    </row>
    <row r="75" spans="1:17" ht="58.2" customHeight="1" x14ac:dyDescent="0.3">
      <c r="A75" s="6">
        <v>700</v>
      </c>
      <c r="B75" s="6" t="s">
        <v>1184</v>
      </c>
      <c r="C75" s="6" t="s">
        <v>237</v>
      </c>
      <c r="D75" s="6" t="s">
        <v>93</v>
      </c>
      <c r="E75" s="6" t="s">
        <v>1345</v>
      </c>
      <c r="F75" s="6" t="s">
        <v>4059</v>
      </c>
      <c r="G75" s="6" t="s">
        <v>339</v>
      </c>
      <c r="H75" s="6" t="s">
        <v>4142</v>
      </c>
      <c r="I75" s="14" t="s">
        <v>340</v>
      </c>
      <c r="J75" s="6">
        <v>6</v>
      </c>
      <c r="K75" s="6" t="s">
        <v>19</v>
      </c>
      <c r="L75" s="10">
        <v>41.19</v>
      </c>
      <c r="M75" s="6" t="s">
        <v>33</v>
      </c>
      <c r="N75" s="10">
        <f>Tabla52[[#This Row],[Price]]*Tabla52[[#This Row],[QTY Adjusted]]</f>
        <v>247.14</v>
      </c>
      <c r="O75" s="10">
        <v>247.14</v>
      </c>
      <c r="P75" s="6" t="s">
        <v>4225</v>
      </c>
      <c r="Q75" s="6">
        <v>0</v>
      </c>
    </row>
    <row r="76" spans="1:17" ht="58.2" customHeight="1" x14ac:dyDescent="0.3">
      <c r="A76" s="6">
        <v>637</v>
      </c>
      <c r="B76" s="6" t="s">
        <v>1184</v>
      </c>
      <c r="C76" s="6" t="s">
        <v>130</v>
      </c>
      <c r="D76" s="6" t="s">
        <v>130</v>
      </c>
      <c r="E76" s="6" t="s">
        <v>1285</v>
      </c>
      <c r="F76" s="6" t="s">
        <v>4060</v>
      </c>
      <c r="G76" s="6" t="s">
        <v>1290</v>
      </c>
      <c r="H76" s="6" t="s">
        <v>4143</v>
      </c>
      <c r="I76" s="14" t="s">
        <v>1291</v>
      </c>
      <c r="J76" s="6">
        <v>24</v>
      </c>
      <c r="K76" s="6" t="s">
        <v>19</v>
      </c>
      <c r="L76" s="10">
        <v>9.8230331155770294</v>
      </c>
      <c r="M76" s="6" t="s">
        <v>33</v>
      </c>
      <c r="N76" s="10">
        <f>Tabla52[[#This Row],[Price]]*Tabla52[[#This Row],[QTY Adjusted]]</f>
        <v>235.75279477384871</v>
      </c>
      <c r="O76" s="10">
        <v>235.75279477384871</v>
      </c>
      <c r="P76" s="6" t="s">
        <v>4225</v>
      </c>
      <c r="Q76" s="6">
        <v>0</v>
      </c>
    </row>
    <row r="77" spans="1:17" ht="58.2" customHeight="1" x14ac:dyDescent="0.3">
      <c r="A77" s="6">
        <v>641</v>
      </c>
      <c r="B77" s="6" t="s">
        <v>1184</v>
      </c>
      <c r="C77" s="6" t="s">
        <v>130</v>
      </c>
      <c r="D77" s="6" t="s">
        <v>130</v>
      </c>
      <c r="E77" s="6" t="s">
        <v>1285</v>
      </c>
      <c r="F77" s="6" t="s">
        <v>4060</v>
      </c>
      <c r="G77" s="6" t="s">
        <v>1301</v>
      </c>
      <c r="H77" s="6" t="s">
        <v>4144</v>
      </c>
      <c r="I77" s="14" t="s">
        <v>1302</v>
      </c>
      <c r="J77" s="6">
        <v>24</v>
      </c>
      <c r="K77" s="6" t="s">
        <v>19</v>
      </c>
      <c r="L77" s="10">
        <v>9.6855412057166959</v>
      </c>
      <c r="M77" s="6" t="s">
        <v>33</v>
      </c>
      <c r="N77" s="10">
        <f>Tabla52[[#This Row],[Price]]*Tabla52[[#This Row],[QTY Adjusted]]</f>
        <v>232.4529889372007</v>
      </c>
      <c r="O77" s="10">
        <v>232.4529889372007</v>
      </c>
      <c r="P77" s="6" t="s">
        <v>4225</v>
      </c>
      <c r="Q77" s="6">
        <v>0</v>
      </c>
    </row>
    <row r="78" spans="1:17" ht="58.2" customHeight="1" x14ac:dyDescent="0.3">
      <c r="A78" s="6">
        <v>616</v>
      </c>
      <c r="B78" s="6" t="s">
        <v>1184</v>
      </c>
      <c r="C78" s="6" t="s">
        <v>130</v>
      </c>
      <c r="D78" s="6" t="s">
        <v>130</v>
      </c>
      <c r="E78" s="6" t="s">
        <v>1188</v>
      </c>
      <c r="F78" s="6" t="s">
        <v>4060</v>
      </c>
      <c r="G78" s="6" t="s">
        <v>1268</v>
      </c>
      <c r="H78" s="6" t="s">
        <v>4145</v>
      </c>
      <c r="I78" s="14" t="s">
        <v>1269</v>
      </c>
      <c r="J78" s="6">
        <v>22</v>
      </c>
      <c r="K78" s="6" t="s">
        <v>19</v>
      </c>
      <c r="L78" s="10">
        <v>8.8605897465547105</v>
      </c>
      <c r="M78" s="6" t="s">
        <v>33</v>
      </c>
      <c r="N78" s="10">
        <f>Tabla52[[#This Row],[Price]]*Tabla52[[#This Row],[QTY Adjusted]]</f>
        <v>194.93297442420362</v>
      </c>
      <c r="O78" s="10">
        <v>194.93297442420362</v>
      </c>
      <c r="P78" s="6" t="s">
        <v>4241</v>
      </c>
      <c r="Q78" s="6" t="s">
        <v>4246</v>
      </c>
    </row>
    <row r="79" spans="1:17" ht="58.2" customHeight="1" x14ac:dyDescent="0.3">
      <c r="A79" s="6">
        <v>649</v>
      </c>
      <c r="B79" s="6" t="s">
        <v>1184</v>
      </c>
      <c r="C79" s="6" t="s">
        <v>1316</v>
      </c>
      <c r="D79" s="6" t="s">
        <v>718</v>
      </c>
      <c r="E79" s="6" t="s">
        <v>1285</v>
      </c>
      <c r="F79" s="6" t="s">
        <v>4062</v>
      </c>
      <c r="G79" s="6" t="s">
        <v>1320</v>
      </c>
      <c r="H79" s="6" t="s">
        <v>4146</v>
      </c>
      <c r="I79" s="14" t="s">
        <v>1321</v>
      </c>
      <c r="J79" s="6">
        <v>15</v>
      </c>
      <c r="K79" s="6" t="s">
        <v>19</v>
      </c>
      <c r="L79" s="10">
        <v>13.5</v>
      </c>
      <c r="M79" s="6" t="s">
        <v>33</v>
      </c>
      <c r="N79" s="10">
        <f>Tabla52[[#This Row],[Price]]*Tabla52[[#This Row],[QTY Adjusted]]</f>
        <v>202.5</v>
      </c>
      <c r="O79" s="10">
        <v>202.5</v>
      </c>
      <c r="P79" s="6" t="s">
        <v>4225</v>
      </c>
      <c r="Q79" s="6">
        <v>0</v>
      </c>
    </row>
    <row r="80" spans="1:17" ht="58.2" customHeight="1" x14ac:dyDescent="0.3">
      <c r="A80" s="6">
        <v>645</v>
      </c>
      <c r="B80" s="6" t="s">
        <v>1184</v>
      </c>
      <c r="C80" s="6" t="s">
        <v>130</v>
      </c>
      <c r="D80" s="6" t="s">
        <v>130</v>
      </c>
      <c r="E80" s="6" t="s">
        <v>1285</v>
      </c>
      <c r="F80" s="6" t="s">
        <v>4062</v>
      </c>
      <c r="G80" s="6" t="s">
        <v>1311</v>
      </c>
      <c r="H80" s="6" t="s">
        <v>4147</v>
      </c>
      <c r="I80" s="14" t="s">
        <v>1312</v>
      </c>
      <c r="J80" s="6">
        <v>24</v>
      </c>
      <c r="K80" s="6" t="s">
        <v>19</v>
      </c>
      <c r="L80" s="10">
        <v>9.4869417803628853</v>
      </c>
      <c r="M80" s="6" t="s">
        <v>33</v>
      </c>
      <c r="N80" s="10">
        <f>Tabla52[[#This Row],[Price]]*Tabla52[[#This Row],[QTY Adjusted]]</f>
        <v>227.68660272870926</v>
      </c>
      <c r="O80" s="10">
        <v>227.68660272870926</v>
      </c>
      <c r="P80" s="6" t="s">
        <v>4225</v>
      </c>
      <c r="Q80" s="6">
        <v>0</v>
      </c>
    </row>
    <row r="81" spans="1:17" ht="58.2" customHeight="1" x14ac:dyDescent="0.3">
      <c r="A81" s="6">
        <v>691</v>
      </c>
      <c r="B81" s="6" t="s">
        <v>1184</v>
      </c>
      <c r="C81" s="6" t="s">
        <v>272</v>
      </c>
      <c r="D81" s="6" t="str">
        <f>Tabla52[[#This Row],[Vendor]]</f>
        <v>Spill-Stop</v>
      </c>
      <c r="E81" s="6" t="s">
        <v>1345</v>
      </c>
      <c r="F81" s="6" t="s">
        <v>4059</v>
      </c>
      <c r="G81" s="6" t="s">
        <v>306</v>
      </c>
      <c r="H81" s="6" t="s">
        <v>4148</v>
      </c>
      <c r="I81" s="14" t="s">
        <v>308</v>
      </c>
      <c r="J81" s="6">
        <v>96</v>
      </c>
      <c r="K81" s="6" t="s">
        <v>19</v>
      </c>
      <c r="L81" s="10">
        <v>2.2799999999999998</v>
      </c>
      <c r="M81" s="6" t="s">
        <v>33</v>
      </c>
      <c r="N81" s="10">
        <f>Tabla52[[#This Row],[Price]]*Tabla52[[#This Row],[QTY Adjusted]]</f>
        <v>218.88</v>
      </c>
      <c r="O81" s="10">
        <v>218.88</v>
      </c>
      <c r="P81" s="6" t="s">
        <v>4230</v>
      </c>
      <c r="Q81" s="6">
        <v>0</v>
      </c>
    </row>
    <row r="82" spans="1:17" ht="58.2" customHeight="1" x14ac:dyDescent="0.3">
      <c r="A82" s="6">
        <v>631</v>
      </c>
      <c r="B82" s="6" t="s">
        <v>1184</v>
      </c>
      <c r="C82" s="6" t="s">
        <v>228</v>
      </c>
      <c r="D82" s="6" t="s">
        <v>44</v>
      </c>
      <c r="E82" s="6" t="s">
        <v>1188</v>
      </c>
      <c r="F82" s="6" t="s">
        <v>4062</v>
      </c>
      <c r="G82" s="6" t="s">
        <v>965</v>
      </c>
      <c r="H82" s="6" t="s">
        <v>4149</v>
      </c>
      <c r="I82" s="14" t="s">
        <v>966</v>
      </c>
      <c r="J82" s="6">
        <v>26</v>
      </c>
      <c r="K82" s="6" t="s">
        <v>19</v>
      </c>
      <c r="L82" s="10">
        <v>7.2539999999999996</v>
      </c>
      <c r="M82" s="6" t="s">
        <v>33</v>
      </c>
      <c r="N82" s="10">
        <f>Tabla52[[#This Row],[Price]]*Tabla52[[#This Row],[QTY Adjusted]]</f>
        <v>188.60399999999998</v>
      </c>
      <c r="O82" s="10">
        <v>188.60399999999998</v>
      </c>
      <c r="P82" s="25" t="s">
        <v>4225</v>
      </c>
      <c r="Q82" s="6">
        <v>0</v>
      </c>
    </row>
    <row r="83" spans="1:17" ht="58.2" customHeight="1" x14ac:dyDescent="0.3">
      <c r="A83" s="6">
        <v>692</v>
      </c>
      <c r="B83" s="6" t="s">
        <v>1184</v>
      </c>
      <c r="C83" s="6" t="s">
        <v>309</v>
      </c>
      <c r="D83" s="6" t="s">
        <v>44</v>
      </c>
      <c r="E83" s="6" t="s">
        <v>1345</v>
      </c>
      <c r="F83" s="6" t="s">
        <v>4059</v>
      </c>
      <c r="G83" s="6" t="s">
        <v>311</v>
      </c>
      <c r="H83" s="6" t="s">
        <v>4150</v>
      </c>
      <c r="I83" s="14" t="s">
        <v>313</v>
      </c>
      <c r="J83" s="6">
        <v>2</v>
      </c>
      <c r="K83" s="6" t="s">
        <v>19</v>
      </c>
      <c r="L83" s="10">
        <v>105.01</v>
      </c>
      <c r="M83" s="6" t="s">
        <v>33</v>
      </c>
      <c r="N83" s="10">
        <f>Tabla52[[#This Row],[Price]]*Tabla52[[#This Row],[QTY Adjusted]]</f>
        <v>210.02</v>
      </c>
      <c r="O83" s="10">
        <v>210.02</v>
      </c>
      <c r="P83" s="6" t="s">
        <v>4225</v>
      </c>
      <c r="Q83" s="6">
        <v>0</v>
      </c>
    </row>
    <row r="84" spans="1:17" ht="58.2" customHeight="1" x14ac:dyDescent="0.3">
      <c r="A84" s="6">
        <v>634</v>
      </c>
      <c r="B84" s="6" t="s">
        <v>1184</v>
      </c>
      <c r="C84" s="6" t="s">
        <v>232</v>
      </c>
      <c r="D84" s="6" t="s">
        <v>233</v>
      </c>
      <c r="E84" s="6" t="s">
        <v>1188</v>
      </c>
      <c r="F84" s="6" t="s">
        <v>4062</v>
      </c>
      <c r="G84" s="6">
        <v>115.124306</v>
      </c>
      <c r="H84" s="6" t="s">
        <v>4151</v>
      </c>
      <c r="I84" s="14" t="s">
        <v>1284</v>
      </c>
      <c r="J84" s="6">
        <v>26</v>
      </c>
      <c r="K84" s="6" t="s">
        <v>19</v>
      </c>
      <c r="L84" s="10">
        <v>6.79</v>
      </c>
      <c r="M84" s="6" t="s">
        <v>33</v>
      </c>
      <c r="N84" s="10">
        <f>Tabla52[[#This Row],[Price]]*Tabla52[[#This Row],[QTY Adjusted]]</f>
        <v>176.54</v>
      </c>
      <c r="O84" s="10">
        <v>176.54</v>
      </c>
      <c r="P84" s="6" t="s">
        <v>4239</v>
      </c>
      <c r="Q84" s="6">
        <v>0</v>
      </c>
    </row>
    <row r="85" spans="1:17" ht="58.2" customHeight="1" x14ac:dyDescent="0.3">
      <c r="A85" s="6">
        <v>592</v>
      </c>
      <c r="B85" s="6" t="s">
        <v>1184</v>
      </c>
      <c r="C85" s="6" t="s">
        <v>47</v>
      </c>
      <c r="D85" s="6" t="s">
        <v>44</v>
      </c>
      <c r="E85" s="6" t="s">
        <v>1201</v>
      </c>
      <c r="F85" s="6" t="s">
        <v>4063</v>
      </c>
      <c r="G85" s="6" t="s">
        <v>1218</v>
      </c>
      <c r="H85" s="6" t="s">
        <v>4152</v>
      </c>
      <c r="I85" s="14" t="s">
        <v>1219</v>
      </c>
      <c r="J85" s="6">
        <v>90</v>
      </c>
      <c r="K85" s="6" t="s">
        <v>19</v>
      </c>
      <c r="L85" s="10">
        <v>1.8240000000000001</v>
      </c>
      <c r="M85" s="6" t="s">
        <v>33</v>
      </c>
      <c r="N85" s="10">
        <f>Tabla52[[#This Row],[Price]]*Tabla52[[#This Row],[QTY Adjusted]]</f>
        <v>164.16</v>
      </c>
      <c r="O85" s="10">
        <v>164.16</v>
      </c>
      <c r="P85" s="6" t="s">
        <v>4225</v>
      </c>
      <c r="Q85" s="6">
        <v>0</v>
      </c>
    </row>
    <row r="86" spans="1:17" ht="58.2" customHeight="1" x14ac:dyDescent="0.3">
      <c r="A86" s="6">
        <v>698</v>
      </c>
      <c r="B86" s="6" t="s">
        <v>1184</v>
      </c>
      <c r="C86" s="6" t="s">
        <v>237</v>
      </c>
      <c r="D86" s="6" t="s">
        <v>93</v>
      </c>
      <c r="E86" s="6" t="s">
        <v>1345</v>
      </c>
      <c r="F86" s="6" t="s">
        <v>4059</v>
      </c>
      <c r="G86" s="6" t="s">
        <v>333</v>
      </c>
      <c r="H86" s="6" t="s">
        <v>4153</v>
      </c>
      <c r="I86" s="14" t="s">
        <v>335</v>
      </c>
      <c r="J86" s="6">
        <v>6</v>
      </c>
      <c r="K86" s="6" t="s">
        <v>19</v>
      </c>
      <c r="L86" s="10">
        <v>28.36</v>
      </c>
      <c r="M86" s="6" t="s">
        <v>33</v>
      </c>
      <c r="N86" s="10">
        <f>Tabla52[[#This Row],[Price]]*Tabla52[[#This Row],[QTY Adjusted]]</f>
        <v>170.16</v>
      </c>
      <c r="O86" s="10">
        <v>170.16</v>
      </c>
      <c r="P86" s="6" t="s">
        <v>4225</v>
      </c>
      <c r="Q86" s="6">
        <v>0</v>
      </c>
    </row>
    <row r="87" spans="1:17" ht="58.2" customHeight="1" x14ac:dyDescent="0.3">
      <c r="A87" s="6">
        <v>681</v>
      </c>
      <c r="B87" s="6" t="s">
        <v>1184</v>
      </c>
      <c r="C87" s="6" t="s">
        <v>321</v>
      </c>
      <c r="D87" s="6" t="s">
        <v>199</v>
      </c>
      <c r="E87" s="6" t="s">
        <v>1345</v>
      </c>
      <c r="F87" s="6" t="s">
        <v>4059</v>
      </c>
      <c r="G87" s="6" t="s">
        <v>1352</v>
      </c>
      <c r="H87" s="6" t="s">
        <v>4154</v>
      </c>
      <c r="I87" s="14" t="s">
        <v>1353</v>
      </c>
      <c r="J87" s="6">
        <v>6</v>
      </c>
      <c r="K87" s="6" t="s">
        <v>19</v>
      </c>
      <c r="L87" s="10">
        <v>27.439564556250009</v>
      </c>
      <c r="M87" s="6" t="s">
        <v>33</v>
      </c>
      <c r="N87" s="10">
        <f>Tabla52[[#This Row],[Price]]*Tabla52[[#This Row],[QTY Adjusted]]</f>
        <v>164.63738733750006</v>
      </c>
      <c r="O87" s="10">
        <v>164.63738733750006</v>
      </c>
      <c r="P87" s="6" t="s">
        <v>4225</v>
      </c>
      <c r="Q87" s="6">
        <v>0</v>
      </c>
    </row>
    <row r="88" spans="1:17" ht="58.2" customHeight="1" x14ac:dyDescent="0.3">
      <c r="A88" s="6">
        <v>703</v>
      </c>
      <c r="B88" s="6" t="s">
        <v>1184</v>
      </c>
      <c r="C88" s="6" t="s">
        <v>329</v>
      </c>
      <c r="D88" s="6" t="s">
        <v>199</v>
      </c>
      <c r="E88" s="6" t="s">
        <v>1345</v>
      </c>
      <c r="F88" s="6" t="s">
        <v>4059</v>
      </c>
      <c r="G88" s="6" t="s">
        <v>346</v>
      </c>
      <c r="H88" s="6" t="s">
        <v>4155</v>
      </c>
      <c r="I88" s="14" t="s">
        <v>348</v>
      </c>
      <c r="J88" s="6">
        <v>6</v>
      </c>
      <c r="K88" s="6" t="s">
        <v>19</v>
      </c>
      <c r="L88" s="10">
        <v>27.350190000000001</v>
      </c>
      <c r="M88" s="6" t="s">
        <v>33</v>
      </c>
      <c r="N88" s="10">
        <f>Tabla52[[#This Row],[Price]]*Tabla52[[#This Row],[QTY Adjusted]]</f>
        <v>164.10114000000002</v>
      </c>
      <c r="O88" s="10">
        <v>164.10114000000002</v>
      </c>
      <c r="P88" s="6" t="s">
        <v>4225</v>
      </c>
      <c r="Q88" s="6">
        <v>0</v>
      </c>
    </row>
    <row r="89" spans="1:17" ht="58.2" customHeight="1" x14ac:dyDescent="0.3">
      <c r="A89" s="6">
        <v>640</v>
      </c>
      <c r="B89" s="6" t="s">
        <v>1184</v>
      </c>
      <c r="C89" s="6" t="s">
        <v>130</v>
      </c>
      <c r="D89" s="6" t="s">
        <v>130</v>
      </c>
      <c r="E89" s="6" t="s">
        <v>1285</v>
      </c>
      <c r="F89" s="6" t="s">
        <v>4060</v>
      </c>
      <c r="G89" s="6" t="s">
        <v>1298</v>
      </c>
      <c r="H89" s="6" t="s">
        <v>4156</v>
      </c>
      <c r="I89" s="14" t="s">
        <v>1300</v>
      </c>
      <c r="J89" s="6">
        <v>24</v>
      </c>
      <c r="K89" s="6" t="s">
        <v>19</v>
      </c>
      <c r="L89" s="10">
        <v>6.767657340902991</v>
      </c>
      <c r="M89" s="6" t="s">
        <v>33</v>
      </c>
      <c r="N89" s="10">
        <f>Tabla52[[#This Row],[Price]]*Tabla52[[#This Row],[QTY Adjusted]]</f>
        <v>162.42377618167177</v>
      </c>
      <c r="O89" s="10">
        <v>162.42377618167177</v>
      </c>
      <c r="P89" s="6" t="s">
        <v>4225</v>
      </c>
      <c r="Q89" s="6">
        <v>0</v>
      </c>
    </row>
    <row r="90" spans="1:17" ht="58.2" customHeight="1" x14ac:dyDescent="0.3">
      <c r="A90" s="6">
        <v>602</v>
      </c>
      <c r="B90" s="6" t="s">
        <v>1184</v>
      </c>
      <c r="C90" s="6" t="s">
        <v>130</v>
      </c>
      <c r="D90" s="6" t="s">
        <v>130</v>
      </c>
      <c r="E90" s="6" t="s">
        <v>1188</v>
      </c>
      <c r="F90" s="6" t="s">
        <v>4060</v>
      </c>
      <c r="G90" s="6" t="s">
        <v>1240</v>
      </c>
      <c r="H90" s="6" t="s">
        <v>4157</v>
      </c>
      <c r="I90" s="14" t="s">
        <v>1241</v>
      </c>
      <c r="J90" s="6">
        <v>36</v>
      </c>
      <c r="K90" s="6" t="s">
        <v>19</v>
      </c>
      <c r="L90" s="10">
        <v>3.8039428394691801</v>
      </c>
      <c r="M90" s="6" t="s">
        <v>33</v>
      </c>
      <c r="N90" s="10">
        <f>Tabla52[[#This Row],[Price]]*Tabla52[[#This Row],[QTY Adjusted]]</f>
        <v>136.9419422208905</v>
      </c>
      <c r="O90" s="10">
        <v>136.9419422208905</v>
      </c>
      <c r="P90" s="6" t="s">
        <v>4225</v>
      </c>
      <c r="Q90" s="6">
        <v>0</v>
      </c>
    </row>
    <row r="91" spans="1:17" ht="58.2" customHeight="1" x14ac:dyDescent="0.3">
      <c r="A91" s="6">
        <v>667</v>
      </c>
      <c r="B91" s="6" t="s">
        <v>1184</v>
      </c>
      <c r="C91" s="6" t="s">
        <v>237</v>
      </c>
      <c r="D91" s="6" t="s">
        <v>93</v>
      </c>
      <c r="E91" s="6" t="s">
        <v>1345</v>
      </c>
      <c r="F91" s="6" t="s">
        <v>4059</v>
      </c>
      <c r="G91" s="6" t="s">
        <v>1349</v>
      </c>
      <c r="H91" s="6" t="s">
        <v>4158</v>
      </c>
      <c r="I91" s="14" t="s">
        <v>1350</v>
      </c>
      <c r="J91" s="6">
        <v>2</v>
      </c>
      <c r="K91" s="6" t="s">
        <v>19</v>
      </c>
      <c r="L91" s="10">
        <v>77.989999999999995</v>
      </c>
      <c r="M91" s="6" t="s">
        <v>33</v>
      </c>
      <c r="N91" s="10">
        <f>Tabla52[[#This Row],[Price]]*Tabla52[[#This Row],[QTY Adjusted]]</f>
        <v>155.97999999999999</v>
      </c>
      <c r="O91" s="10">
        <v>155.97999999999999</v>
      </c>
      <c r="P91" s="6" t="s">
        <v>4225</v>
      </c>
      <c r="Q91" s="6">
        <v>0</v>
      </c>
    </row>
    <row r="92" spans="1:17" ht="58.2" customHeight="1" x14ac:dyDescent="0.3">
      <c r="A92" s="6">
        <v>668</v>
      </c>
      <c r="B92" s="6" t="s">
        <v>1184</v>
      </c>
      <c r="C92" s="6" t="s">
        <v>237</v>
      </c>
      <c r="D92" s="6" t="s">
        <v>93</v>
      </c>
      <c r="E92" s="6" t="s">
        <v>1345</v>
      </c>
      <c r="F92" s="6" t="s">
        <v>4059</v>
      </c>
      <c r="G92" s="6" t="s">
        <v>1159</v>
      </c>
      <c r="H92" s="6" t="s">
        <v>4159</v>
      </c>
      <c r="I92" s="14" t="s">
        <v>1351</v>
      </c>
      <c r="J92" s="6">
        <v>2</v>
      </c>
      <c r="K92" s="6" t="s">
        <v>19</v>
      </c>
      <c r="L92" s="10">
        <v>77.989999999999995</v>
      </c>
      <c r="M92" s="6" t="s">
        <v>33</v>
      </c>
      <c r="N92" s="10">
        <f>Tabla52[[#This Row],[Price]]*Tabla52[[#This Row],[QTY Adjusted]]</f>
        <v>155.97999999999999</v>
      </c>
      <c r="O92" s="10">
        <v>155.97999999999999</v>
      </c>
      <c r="P92" s="6" t="s">
        <v>4225</v>
      </c>
      <c r="Q92" s="6">
        <v>0</v>
      </c>
    </row>
    <row r="93" spans="1:17" ht="58.2" customHeight="1" x14ac:dyDescent="0.3">
      <c r="A93" s="6">
        <v>605</v>
      </c>
      <c r="B93" s="6" t="s">
        <v>1184</v>
      </c>
      <c r="C93" s="6" t="s">
        <v>130</v>
      </c>
      <c r="D93" s="6" t="s">
        <v>130</v>
      </c>
      <c r="E93" s="6" t="s">
        <v>1188</v>
      </c>
      <c r="F93" s="6" t="s">
        <v>4062</v>
      </c>
      <c r="G93" s="6" t="s">
        <v>1246</v>
      </c>
      <c r="H93" s="6" t="s">
        <v>4160</v>
      </c>
      <c r="I93" s="14" t="s">
        <v>1247</v>
      </c>
      <c r="J93" s="6">
        <v>24</v>
      </c>
      <c r="K93" s="6" t="s">
        <v>19</v>
      </c>
      <c r="L93" s="10">
        <v>6.39304170244296</v>
      </c>
      <c r="M93" s="6" t="s">
        <v>33</v>
      </c>
      <c r="N93" s="10">
        <f>Tabla52[[#This Row],[Price]]*Tabla52[[#This Row],[QTY Adjusted]]</f>
        <v>153.43300085863103</v>
      </c>
      <c r="O93" s="10">
        <v>153.43300085863103</v>
      </c>
      <c r="P93" s="6" t="s">
        <v>4225</v>
      </c>
      <c r="Q93" s="6">
        <v>0</v>
      </c>
    </row>
    <row r="94" spans="1:17" ht="58.2" customHeight="1" x14ac:dyDescent="0.3">
      <c r="A94" s="6">
        <v>651</v>
      </c>
      <c r="B94" s="6" t="s">
        <v>1184</v>
      </c>
      <c r="C94" s="6" t="s">
        <v>1316</v>
      </c>
      <c r="D94" s="6" t="s">
        <v>718</v>
      </c>
      <c r="E94" s="6" t="s">
        <v>1285</v>
      </c>
      <c r="F94" s="6" t="s">
        <v>4062</v>
      </c>
      <c r="G94" s="6" t="s">
        <v>1324</v>
      </c>
      <c r="H94" s="6" t="s">
        <v>4161</v>
      </c>
      <c r="I94" s="14" t="s">
        <v>1326</v>
      </c>
      <c r="J94" s="6">
        <v>12</v>
      </c>
      <c r="K94" s="6" t="s">
        <v>19</v>
      </c>
      <c r="L94" s="10">
        <v>12.6</v>
      </c>
      <c r="M94" s="6" t="s">
        <v>33</v>
      </c>
      <c r="N94" s="10">
        <f>Tabla52[[#This Row],[Price]]*Tabla52[[#This Row],[QTY Adjusted]]</f>
        <v>151.19999999999999</v>
      </c>
      <c r="O94" s="10">
        <v>151.19999999999999</v>
      </c>
      <c r="P94" s="6" t="s">
        <v>4225</v>
      </c>
      <c r="Q94" s="6">
        <v>0</v>
      </c>
    </row>
    <row r="95" spans="1:17" ht="58.2" customHeight="1" x14ac:dyDescent="0.3">
      <c r="A95" s="6">
        <v>632</v>
      </c>
      <c r="B95" s="6" t="s">
        <v>1184</v>
      </c>
      <c r="C95" s="6" t="s">
        <v>228</v>
      </c>
      <c r="D95" s="6" t="s">
        <v>44</v>
      </c>
      <c r="E95" s="6" t="s">
        <v>1188</v>
      </c>
      <c r="F95" s="6" t="s">
        <v>4062</v>
      </c>
      <c r="G95" s="6" t="s">
        <v>967</v>
      </c>
      <c r="H95" s="6" t="s">
        <v>4162</v>
      </c>
      <c r="I95" s="14" t="s">
        <v>968</v>
      </c>
      <c r="J95" s="6">
        <v>26</v>
      </c>
      <c r="K95" s="6" t="s">
        <v>19</v>
      </c>
      <c r="L95" s="10">
        <v>4.8600000000000003</v>
      </c>
      <c r="M95" s="6" t="s">
        <v>33</v>
      </c>
      <c r="N95" s="10">
        <f>Tabla52[[#This Row],[Price]]*Tabla52[[#This Row],[QTY Adjusted]]</f>
        <v>126.36000000000001</v>
      </c>
      <c r="O95" s="10">
        <v>126.36000000000001</v>
      </c>
      <c r="P95" s="25" t="s">
        <v>4225</v>
      </c>
      <c r="Q95" s="6">
        <v>0</v>
      </c>
    </row>
    <row r="96" spans="1:17" ht="58.2" customHeight="1" x14ac:dyDescent="0.3">
      <c r="A96" s="6">
        <v>682</v>
      </c>
      <c r="B96" s="6" t="s">
        <v>1184</v>
      </c>
      <c r="C96" s="6" t="s">
        <v>321</v>
      </c>
      <c r="D96" s="6" t="s">
        <v>199</v>
      </c>
      <c r="E96" s="6" t="s">
        <v>1345</v>
      </c>
      <c r="F96" s="6" t="s">
        <v>4059</v>
      </c>
      <c r="G96" s="6" t="s">
        <v>1354</v>
      </c>
      <c r="H96" s="6" t="s">
        <v>4163</v>
      </c>
      <c r="I96" s="14" t="s">
        <v>1355</v>
      </c>
      <c r="J96" s="6">
        <v>4</v>
      </c>
      <c r="K96" s="6" t="s">
        <v>19</v>
      </c>
      <c r="L96" s="10">
        <v>36.165556350000003</v>
      </c>
      <c r="M96" s="6" t="s">
        <v>33</v>
      </c>
      <c r="N96" s="10">
        <f>Tabla52[[#This Row],[Price]]*Tabla52[[#This Row],[QTY Adjusted]]</f>
        <v>144.66222540000001</v>
      </c>
      <c r="O96" s="10">
        <v>144.66222540000001</v>
      </c>
      <c r="P96" s="6" t="s">
        <v>4225</v>
      </c>
      <c r="Q96" s="6">
        <v>0</v>
      </c>
    </row>
    <row r="97" spans="1:17" ht="58.2" customHeight="1" x14ac:dyDescent="0.3">
      <c r="A97" s="6">
        <v>627</v>
      </c>
      <c r="B97" s="6" t="s">
        <v>1184</v>
      </c>
      <c r="C97" s="6" t="s">
        <v>134</v>
      </c>
      <c r="D97" s="6" t="s">
        <v>44</v>
      </c>
      <c r="E97" s="6" t="s">
        <v>1188</v>
      </c>
      <c r="F97" s="6" t="s">
        <v>4062</v>
      </c>
      <c r="G97" s="6" t="s">
        <v>955</v>
      </c>
      <c r="H97" s="6" t="s">
        <v>4164</v>
      </c>
      <c r="I97" s="14" t="s">
        <v>956</v>
      </c>
      <c r="J97" s="6">
        <v>26</v>
      </c>
      <c r="K97" s="6" t="s">
        <v>19</v>
      </c>
      <c r="L97" s="10">
        <v>4.8099999999999996</v>
      </c>
      <c r="M97" s="6" t="s">
        <v>33</v>
      </c>
      <c r="N97" s="10">
        <f>Tabla52[[#This Row],[Price]]*Tabla52[[#This Row],[QTY Adjusted]]</f>
        <v>125.05999999999999</v>
      </c>
      <c r="O97" s="10">
        <v>125.05999999999999</v>
      </c>
      <c r="P97" s="6" t="s">
        <v>4225</v>
      </c>
      <c r="Q97" s="6">
        <v>0</v>
      </c>
    </row>
    <row r="98" spans="1:17" ht="58.2" customHeight="1" x14ac:dyDescent="0.3">
      <c r="A98" s="6">
        <v>684</v>
      </c>
      <c r="B98" s="6" t="s">
        <v>1184</v>
      </c>
      <c r="C98" s="6" t="s">
        <v>321</v>
      </c>
      <c r="D98" s="6" t="s">
        <v>199</v>
      </c>
      <c r="E98" s="6" t="s">
        <v>1345</v>
      </c>
      <c r="F98" s="6" t="s">
        <v>4059</v>
      </c>
      <c r="G98" s="6" t="s">
        <v>1359</v>
      </c>
      <c r="H98" s="6" t="s">
        <v>4165</v>
      </c>
      <c r="I98" s="14" t="s">
        <v>1360</v>
      </c>
      <c r="J98" s="6">
        <v>4</v>
      </c>
      <c r="K98" s="6" t="s">
        <v>19</v>
      </c>
      <c r="L98" s="10">
        <v>35.85015905625</v>
      </c>
      <c r="M98" s="6" t="s">
        <v>33</v>
      </c>
      <c r="N98" s="10">
        <f>Tabla52[[#This Row],[Price]]*Tabla52[[#This Row],[QTY Adjusted]]</f>
        <v>143.400636225</v>
      </c>
      <c r="O98" s="10">
        <v>143.400636225</v>
      </c>
      <c r="P98" s="6" t="s">
        <v>4225</v>
      </c>
      <c r="Q98" s="6">
        <v>0</v>
      </c>
    </row>
    <row r="99" spans="1:17" ht="58.2" customHeight="1" x14ac:dyDescent="0.3">
      <c r="A99" s="6">
        <v>621</v>
      </c>
      <c r="B99" s="6" t="s">
        <v>1184</v>
      </c>
      <c r="C99" s="6" t="s">
        <v>130</v>
      </c>
      <c r="D99" s="6" t="s">
        <v>130</v>
      </c>
      <c r="E99" s="6" t="s">
        <v>1188</v>
      </c>
      <c r="F99" s="6" t="s">
        <v>4060</v>
      </c>
      <c r="G99" s="6" t="s">
        <v>1280</v>
      </c>
      <c r="H99" s="6" t="s">
        <v>4166</v>
      </c>
      <c r="I99" s="14" t="s">
        <v>1281</v>
      </c>
      <c r="J99" s="6">
        <v>15</v>
      </c>
      <c r="K99" s="6" t="s">
        <v>19</v>
      </c>
      <c r="L99" s="10">
        <v>8.2189608338731599</v>
      </c>
      <c r="M99" s="6" t="s">
        <v>33</v>
      </c>
      <c r="N99" s="10">
        <f>Tabla52[[#This Row],[Price]]*Tabla52[[#This Row],[QTY Adjusted]]</f>
        <v>123.2844125080974</v>
      </c>
      <c r="O99" s="10">
        <v>123.2844125080974</v>
      </c>
      <c r="P99" s="6" t="s">
        <v>4225</v>
      </c>
      <c r="Q99" s="6">
        <v>0</v>
      </c>
    </row>
    <row r="100" spans="1:17" ht="58.2" customHeight="1" x14ac:dyDescent="0.3">
      <c r="A100" s="6">
        <v>630</v>
      </c>
      <c r="B100" s="6" t="s">
        <v>1184</v>
      </c>
      <c r="C100" s="6" t="s">
        <v>228</v>
      </c>
      <c r="D100" s="6" t="s">
        <v>44</v>
      </c>
      <c r="E100" s="6" t="s">
        <v>1188</v>
      </c>
      <c r="F100" s="6" t="s">
        <v>4062</v>
      </c>
      <c r="G100" s="6" t="s">
        <v>963</v>
      </c>
      <c r="H100" s="6" t="s">
        <v>4167</v>
      </c>
      <c r="I100" s="14" t="s">
        <v>964</v>
      </c>
      <c r="J100" s="6">
        <v>26</v>
      </c>
      <c r="K100" s="6" t="s">
        <v>19</v>
      </c>
      <c r="L100" s="10">
        <v>4.5810000000000004</v>
      </c>
      <c r="M100" s="6" t="s">
        <v>33</v>
      </c>
      <c r="N100" s="10">
        <f>Tabla52[[#This Row],[Price]]*Tabla52[[#This Row],[QTY Adjusted]]</f>
        <v>119.10600000000001</v>
      </c>
      <c r="O100" s="10">
        <v>119.10600000000001</v>
      </c>
      <c r="P100" s="25" t="s">
        <v>4225</v>
      </c>
      <c r="Q100" s="6">
        <v>0</v>
      </c>
    </row>
    <row r="101" spans="1:17" ht="58.2" customHeight="1" x14ac:dyDescent="0.3">
      <c r="A101" s="6">
        <v>618</v>
      </c>
      <c r="B101" s="6" t="s">
        <v>1184</v>
      </c>
      <c r="C101" s="6" t="s">
        <v>130</v>
      </c>
      <c r="D101" s="6" t="s">
        <v>130</v>
      </c>
      <c r="E101" s="6" t="s">
        <v>1188</v>
      </c>
      <c r="F101" s="6" t="s">
        <v>4060</v>
      </c>
      <c r="G101" s="6" t="s">
        <v>1273</v>
      </c>
      <c r="H101" s="6" t="s">
        <v>4168</v>
      </c>
      <c r="I101" s="14" t="s">
        <v>1274</v>
      </c>
      <c r="J101" s="6">
        <v>22</v>
      </c>
      <c r="K101" s="6" t="s">
        <v>19</v>
      </c>
      <c r="L101" s="10">
        <v>5.2705232113127138</v>
      </c>
      <c r="M101" s="6" t="s">
        <v>33</v>
      </c>
      <c r="N101" s="10">
        <f>Tabla52[[#This Row],[Price]]*Tabla52[[#This Row],[QTY Adjusted]]</f>
        <v>115.9515106488797</v>
      </c>
      <c r="O101" s="10">
        <v>115.9515106488797</v>
      </c>
      <c r="P101" s="6" t="s">
        <v>4225</v>
      </c>
      <c r="Q101" s="6">
        <v>0</v>
      </c>
    </row>
    <row r="102" spans="1:17" ht="58.2" customHeight="1" x14ac:dyDescent="0.3">
      <c r="A102" s="6">
        <v>642</v>
      </c>
      <c r="B102" s="6" t="s">
        <v>1184</v>
      </c>
      <c r="C102" s="6" t="s">
        <v>130</v>
      </c>
      <c r="D102" s="6" t="s">
        <v>130</v>
      </c>
      <c r="E102" s="6" t="s">
        <v>1285</v>
      </c>
      <c r="F102" s="6" t="s">
        <v>4060</v>
      </c>
      <c r="G102" s="6" t="s">
        <v>1303</v>
      </c>
      <c r="H102" s="6" t="s">
        <v>4169</v>
      </c>
      <c r="I102" s="14" t="s">
        <v>1305</v>
      </c>
      <c r="J102" s="6">
        <v>12</v>
      </c>
      <c r="K102" s="6" t="s">
        <v>19</v>
      </c>
      <c r="L102" s="10">
        <v>10.78547648459935</v>
      </c>
      <c r="M102" s="6" t="s">
        <v>33</v>
      </c>
      <c r="N102" s="10">
        <f>Tabla52[[#This Row],[Price]]*Tabla52[[#This Row],[QTY Adjusted]]</f>
        <v>129.4257178151922</v>
      </c>
      <c r="O102" s="10">
        <v>129.4257178151922</v>
      </c>
      <c r="P102" s="6" t="s">
        <v>4225</v>
      </c>
      <c r="Q102" s="6">
        <v>0</v>
      </c>
    </row>
    <row r="103" spans="1:17" ht="58.2" customHeight="1" x14ac:dyDescent="0.3">
      <c r="A103" s="6">
        <v>582</v>
      </c>
      <c r="B103" s="6" t="s">
        <v>1184</v>
      </c>
      <c r="C103" s="6" t="s">
        <v>38</v>
      </c>
      <c r="D103" s="6" t="str">
        <f>Tabla52[[#This Row],[Vendor]]</f>
        <v>Peugeot</v>
      </c>
      <c r="E103" s="6" t="s">
        <v>1188</v>
      </c>
      <c r="F103" s="6" t="s">
        <v>4059</v>
      </c>
      <c r="G103" s="6">
        <v>41366</v>
      </c>
      <c r="H103" s="6" t="s">
        <v>4170</v>
      </c>
      <c r="I103" s="14" t="s">
        <v>1199</v>
      </c>
      <c r="J103" s="6">
        <v>4</v>
      </c>
      <c r="K103" s="6" t="s">
        <v>19</v>
      </c>
      <c r="L103" s="10">
        <v>31.5</v>
      </c>
      <c r="M103" s="6" t="s">
        <v>33</v>
      </c>
      <c r="N103" s="10">
        <f>Tabla52[[#This Row],[Price]]*Tabla52[[#This Row],[QTY Adjusted]]</f>
        <v>126</v>
      </c>
      <c r="O103" s="10">
        <v>126</v>
      </c>
      <c r="P103" s="6" t="s">
        <v>4232</v>
      </c>
      <c r="Q103" s="6">
        <v>0</v>
      </c>
    </row>
    <row r="104" spans="1:17" ht="58.2" customHeight="1" x14ac:dyDescent="0.3">
      <c r="A104" s="6">
        <v>583</v>
      </c>
      <c r="B104" s="6" t="s">
        <v>1184</v>
      </c>
      <c r="C104" s="6" t="s">
        <v>38</v>
      </c>
      <c r="D104" s="6" t="str">
        <f>Tabla52[[#This Row],[Vendor]]</f>
        <v>Peugeot</v>
      </c>
      <c r="E104" s="6" t="s">
        <v>1188</v>
      </c>
      <c r="F104" s="6" t="s">
        <v>4059</v>
      </c>
      <c r="G104" s="6">
        <v>38151</v>
      </c>
      <c r="H104" s="6" t="s">
        <v>4171</v>
      </c>
      <c r="I104" s="14" t="s">
        <v>1200</v>
      </c>
      <c r="J104" s="6">
        <v>4</v>
      </c>
      <c r="K104" s="6" t="s">
        <v>19</v>
      </c>
      <c r="L104" s="10">
        <v>31.5</v>
      </c>
      <c r="M104" s="6" t="s">
        <v>33</v>
      </c>
      <c r="N104" s="10">
        <f>Tabla52[[#This Row],[Price]]*Tabla52[[#This Row],[QTY Adjusted]]</f>
        <v>126</v>
      </c>
      <c r="O104" s="10">
        <v>126</v>
      </c>
      <c r="P104" s="6" t="s">
        <v>4232</v>
      </c>
      <c r="Q104" s="6">
        <v>0</v>
      </c>
    </row>
    <row r="105" spans="1:17" ht="58.2" customHeight="1" x14ac:dyDescent="0.3">
      <c r="A105" s="6">
        <v>652</v>
      </c>
      <c r="B105" s="6" t="s">
        <v>1184</v>
      </c>
      <c r="C105" s="6" t="s">
        <v>1316</v>
      </c>
      <c r="D105" s="6" t="s">
        <v>718</v>
      </c>
      <c r="E105" s="6" t="s">
        <v>1285</v>
      </c>
      <c r="F105" s="6" t="s">
        <v>4062</v>
      </c>
      <c r="G105" s="6" t="s">
        <v>1327</v>
      </c>
      <c r="H105" s="6" t="s">
        <v>4172</v>
      </c>
      <c r="I105" s="14" t="s">
        <v>1329</v>
      </c>
      <c r="J105" s="6">
        <v>12</v>
      </c>
      <c r="K105" s="6" t="s">
        <v>19</v>
      </c>
      <c r="L105" s="10">
        <v>10.16</v>
      </c>
      <c r="M105" s="6" t="s">
        <v>33</v>
      </c>
      <c r="N105" s="10">
        <f>Tabla52[[#This Row],[Price]]*Tabla52[[#This Row],[QTY Adjusted]]</f>
        <v>121.92</v>
      </c>
      <c r="O105" s="10">
        <v>121.92</v>
      </c>
      <c r="P105" s="6" t="s">
        <v>4225</v>
      </c>
      <c r="Q105" s="6">
        <v>0</v>
      </c>
    </row>
    <row r="106" spans="1:17" ht="58.2" customHeight="1" x14ac:dyDescent="0.3">
      <c r="A106" s="6">
        <v>685</v>
      </c>
      <c r="B106" s="6" t="s">
        <v>1184</v>
      </c>
      <c r="C106" s="6" t="s">
        <v>321</v>
      </c>
      <c r="D106" s="6" t="s">
        <v>199</v>
      </c>
      <c r="E106" s="6" t="s">
        <v>1345</v>
      </c>
      <c r="F106" s="6" t="s">
        <v>4059</v>
      </c>
      <c r="G106" s="6" t="s">
        <v>1361</v>
      </c>
      <c r="H106" s="6" t="s">
        <v>4173</v>
      </c>
      <c r="I106" s="14" t="s">
        <v>1362</v>
      </c>
      <c r="J106" s="6">
        <v>4</v>
      </c>
      <c r="K106" s="6" t="s">
        <v>19</v>
      </c>
      <c r="L106" s="10">
        <v>29.647345612500001</v>
      </c>
      <c r="M106" s="6" t="s">
        <v>33</v>
      </c>
      <c r="N106" s="10">
        <f>Tabla52[[#This Row],[Price]]*Tabla52[[#This Row],[QTY Adjusted]]</f>
        <v>118.58938245</v>
      </c>
      <c r="O106" s="10">
        <v>118.58938245</v>
      </c>
      <c r="P106" s="6" t="s">
        <v>4225</v>
      </c>
      <c r="Q106" s="6">
        <v>0</v>
      </c>
    </row>
    <row r="107" spans="1:17" ht="58.2" customHeight="1" x14ac:dyDescent="0.3">
      <c r="A107" s="6">
        <v>604</v>
      </c>
      <c r="B107" s="6" t="s">
        <v>1184</v>
      </c>
      <c r="C107" s="6" t="s">
        <v>130</v>
      </c>
      <c r="D107" s="6" t="s">
        <v>130</v>
      </c>
      <c r="E107" s="6" t="s">
        <v>1188</v>
      </c>
      <c r="F107" s="6" t="s">
        <v>4062</v>
      </c>
      <c r="G107" s="6" t="s">
        <v>1244</v>
      </c>
      <c r="H107" s="6" t="s">
        <v>4174</v>
      </c>
      <c r="I107" s="14" t="s">
        <v>1245</v>
      </c>
      <c r="J107" s="6">
        <v>24</v>
      </c>
      <c r="K107" s="6" t="s">
        <v>19</v>
      </c>
      <c r="L107" s="10">
        <v>4.9317750275988503</v>
      </c>
      <c r="M107" s="6" t="s">
        <v>33</v>
      </c>
      <c r="N107" s="10">
        <f>Tabla52[[#This Row],[Price]]*Tabla52[[#This Row],[QTY Adjusted]]</f>
        <v>118.36260066237242</v>
      </c>
      <c r="O107" s="10">
        <v>118.36260066237242</v>
      </c>
      <c r="P107" s="6" t="s">
        <v>4225</v>
      </c>
      <c r="Q107" s="6">
        <v>0</v>
      </c>
    </row>
    <row r="108" spans="1:17" ht="58.2" customHeight="1" x14ac:dyDescent="0.3">
      <c r="A108" s="6">
        <v>683</v>
      </c>
      <c r="B108" s="6" t="s">
        <v>1184</v>
      </c>
      <c r="C108" s="6" t="s">
        <v>321</v>
      </c>
      <c r="D108" s="6" t="s">
        <v>199</v>
      </c>
      <c r="E108" s="6" t="s">
        <v>1345</v>
      </c>
      <c r="F108" s="6" t="s">
        <v>4059</v>
      </c>
      <c r="G108" s="6" t="s">
        <v>1356</v>
      </c>
      <c r="H108" s="6" t="s">
        <v>4175</v>
      </c>
      <c r="I108" s="14" t="s">
        <v>1358</v>
      </c>
      <c r="J108" s="6">
        <v>4</v>
      </c>
      <c r="K108" s="6" t="s">
        <v>19</v>
      </c>
      <c r="L108" s="10">
        <v>29.542213181250013</v>
      </c>
      <c r="M108" s="6" t="s">
        <v>33</v>
      </c>
      <c r="N108" s="10">
        <f>Tabla52[[#This Row],[Price]]*Tabla52[[#This Row],[QTY Adjusted]]</f>
        <v>118.16885272500005</v>
      </c>
      <c r="O108" s="10">
        <v>118.16885272500005</v>
      </c>
      <c r="P108" s="6" t="s">
        <v>4225</v>
      </c>
      <c r="Q108" s="6">
        <v>0</v>
      </c>
    </row>
    <row r="109" spans="1:17" ht="58.2" customHeight="1" x14ac:dyDescent="0.3">
      <c r="A109" s="6">
        <v>644</v>
      </c>
      <c r="B109" s="6" t="s">
        <v>1184</v>
      </c>
      <c r="C109" s="6" t="s">
        <v>130</v>
      </c>
      <c r="D109" s="6" t="s">
        <v>130</v>
      </c>
      <c r="E109" s="6" t="s">
        <v>1285</v>
      </c>
      <c r="F109" s="6" t="s">
        <v>4059</v>
      </c>
      <c r="G109" s="6" t="s">
        <v>1308</v>
      </c>
      <c r="H109" s="6" t="s">
        <v>4176</v>
      </c>
      <c r="I109" s="14" t="s">
        <v>1310</v>
      </c>
      <c r="J109" s="6">
        <v>36</v>
      </c>
      <c r="K109" s="6" t="s">
        <v>19</v>
      </c>
      <c r="L109" s="10">
        <v>2.8109457127001143</v>
      </c>
      <c r="M109" s="6" t="s">
        <v>33</v>
      </c>
      <c r="N109" s="10">
        <f>Tabla52[[#This Row],[Price]]*Tabla52[[#This Row],[QTY Adjusted]]</f>
        <v>101.19404565720411</v>
      </c>
      <c r="O109" s="10">
        <v>101.19404565720411</v>
      </c>
      <c r="P109" s="6" t="s">
        <v>4225</v>
      </c>
      <c r="Q109" s="6">
        <v>0</v>
      </c>
    </row>
    <row r="110" spans="1:17" ht="58.2" customHeight="1" x14ac:dyDescent="0.3">
      <c r="A110" s="6">
        <v>639</v>
      </c>
      <c r="B110" s="6" t="s">
        <v>1184</v>
      </c>
      <c r="C110" s="6" t="s">
        <v>130</v>
      </c>
      <c r="D110" s="6" t="s">
        <v>130</v>
      </c>
      <c r="E110" s="6" t="s">
        <v>1285</v>
      </c>
      <c r="F110" s="6" t="s">
        <v>4060</v>
      </c>
      <c r="G110" s="6" t="s">
        <v>1295</v>
      </c>
      <c r="H110" s="6" t="s">
        <v>4177</v>
      </c>
      <c r="I110" s="14" t="s">
        <v>1297</v>
      </c>
      <c r="J110" s="6">
        <v>24</v>
      </c>
      <c r="K110" s="6" t="s">
        <v>19</v>
      </c>
      <c r="L110" s="10">
        <v>4.5219561465175744</v>
      </c>
      <c r="M110" s="6" t="s">
        <v>33</v>
      </c>
      <c r="N110" s="10">
        <f>Tabla52[[#This Row],[Price]]*Tabla52[[#This Row],[QTY Adjusted]]</f>
        <v>108.52694751642179</v>
      </c>
      <c r="O110" s="10">
        <v>108.52694751642179</v>
      </c>
      <c r="P110" s="6" t="s">
        <v>4225</v>
      </c>
      <c r="Q110" s="6">
        <v>0</v>
      </c>
    </row>
    <row r="111" spans="1:17" ht="58.2" customHeight="1" x14ac:dyDescent="0.3">
      <c r="A111" s="6">
        <v>619</v>
      </c>
      <c r="B111" s="6" t="s">
        <v>1184</v>
      </c>
      <c r="C111" s="6" t="s">
        <v>130</v>
      </c>
      <c r="D111" s="6" t="s">
        <v>130</v>
      </c>
      <c r="E111" s="6" t="s">
        <v>1188</v>
      </c>
      <c r="F111" s="6" t="s">
        <v>4060</v>
      </c>
      <c r="G111" s="6" t="s">
        <v>1275</v>
      </c>
      <c r="H111" s="6" t="s">
        <v>4178</v>
      </c>
      <c r="I111" s="14" t="s">
        <v>1277</v>
      </c>
      <c r="J111" s="6">
        <v>22</v>
      </c>
      <c r="K111" s="6" t="s">
        <v>19</v>
      </c>
      <c r="L111" s="10">
        <v>4.1705879324300605</v>
      </c>
      <c r="M111" s="6" t="s">
        <v>33</v>
      </c>
      <c r="N111" s="10">
        <f>Tabla52[[#This Row],[Price]]*Tabla52[[#This Row],[QTY Adjusted]]</f>
        <v>91.752934513461327</v>
      </c>
      <c r="O111" s="10">
        <v>91.752934513461327</v>
      </c>
      <c r="P111" s="6" t="s">
        <v>4225</v>
      </c>
      <c r="Q111" s="6">
        <v>0</v>
      </c>
    </row>
    <row r="112" spans="1:17" ht="58.2" customHeight="1" x14ac:dyDescent="0.3">
      <c r="A112" s="6">
        <v>647</v>
      </c>
      <c r="B112" s="6" t="s">
        <v>1184</v>
      </c>
      <c r="C112" s="6" t="s">
        <v>232</v>
      </c>
      <c r="D112" s="6" t="s">
        <v>233</v>
      </c>
      <c r="E112" s="6" t="s">
        <v>1285</v>
      </c>
      <c r="F112" s="6" t="s">
        <v>4062</v>
      </c>
      <c r="G112" s="6" t="s">
        <v>1314</v>
      </c>
      <c r="H112" s="6" t="s">
        <v>4179</v>
      </c>
      <c r="I112" s="14" t="s">
        <v>1315</v>
      </c>
      <c r="J112" s="6">
        <v>26</v>
      </c>
      <c r="K112" s="6" t="s">
        <v>19</v>
      </c>
      <c r="L112" s="10">
        <v>3.55</v>
      </c>
      <c r="M112" s="6" t="s">
        <v>33</v>
      </c>
      <c r="N112" s="10">
        <f>Tabla52[[#This Row],[Price]]*Tabla52[[#This Row],[QTY Adjusted]]</f>
        <v>92.3</v>
      </c>
      <c r="O112" s="10">
        <v>92.3</v>
      </c>
      <c r="P112" s="6" t="s">
        <v>4239</v>
      </c>
      <c r="Q112" s="6">
        <v>0</v>
      </c>
    </row>
    <row r="113" spans="1:17" ht="58.2" customHeight="1" x14ac:dyDescent="0.3">
      <c r="A113" s="6">
        <v>606</v>
      </c>
      <c r="B113" s="6" t="s">
        <v>1184</v>
      </c>
      <c r="C113" s="6" t="s">
        <v>130</v>
      </c>
      <c r="D113" s="6" t="s">
        <v>130</v>
      </c>
      <c r="E113" s="6" t="s">
        <v>1188</v>
      </c>
      <c r="F113" s="6" t="s">
        <v>4062</v>
      </c>
      <c r="G113" s="6" t="s">
        <v>1248</v>
      </c>
      <c r="H113" s="6" t="s">
        <v>4180</v>
      </c>
      <c r="I113" s="14" t="s">
        <v>1249</v>
      </c>
      <c r="J113" s="6">
        <v>24</v>
      </c>
      <c r="K113" s="6" t="s">
        <v>19</v>
      </c>
      <c r="L113" s="10">
        <v>4.3505894182858604</v>
      </c>
      <c r="M113" s="6" t="s">
        <v>33</v>
      </c>
      <c r="N113" s="10">
        <f>Tabla52[[#This Row],[Price]]*Tabla52[[#This Row],[QTY Adjusted]]</f>
        <v>104.41414603886065</v>
      </c>
      <c r="O113" s="10">
        <v>104.41414603886065</v>
      </c>
      <c r="P113" s="6" t="s">
        <v>4241</v>
      </c>
      <c r="Q113" s="6" t="s">
        <v>4246</v>
      </c>
    </row>
    <row r="114" spans="1:17" ht="58.2" customHeight="1" x14ac:dyDescent="0.3">
      <c r="A114" s="6">
        <v>701</v>
      </c>
      <c r="B114" s="6" t="s">
        <v>1184</v>
      </c>
      <c r="C114" s="6" t="s">
        <v>237</v>
      </c>
      <c r="D114" s="6" t="s">
        <v>93</v>
      </c>
      <c r="E114" s="6" t="s">
        <v>1345</v>
      </c>
      <c r="F114" s="6" t="s">
        <v>4059</v>
      </c>
      <c r="G114" s="6" t="s">
        <v>341</v>
      </c>
      <c r="H114" s="6" t="s">
        <v>4181</v>
      </c>
      <c r="I114" s="14" t="s">
        <v>342</v>
      </c>
      <c r="J114" s="6">
        <v>6</v>
      </c>
      <c r="K114" s="6" t="s">
        <v>19</v>
      </c>
      <c r="L114" s="10">
        <v>16.690000000000001</v>
      </c>
      <c r="M114" s="6" t="s">
        <v>33</v>
      </c>
      <c r="N114" s="10">
        <f>Tabla52[[#This Row],[Price]]*Tabla52[[#This Row],[QTY Adjusted]]</f>
        <v>100.14000000000001</v>
      </c>
      <c r="O114" s="10">
        <v>100.14000000000001</v>
      </c>
      <c r="P114" s="6" t="s">
        <v>4225</v>
      </c>
      <c r="Q114" s="6">
        <v>0</v>
      </c>
    </row>
    <row r="115" spans="1:17" ht="58.2" customHeight="1" x14ac:dyDescent="0.3">
      <c r="A115" s="6">
        <v>653</v>
      </c>
      <c r="B115" s="6" t="s">
        <v>1184</v>
      </c>
      <c r="C115" s="6" t="s">
        <v>1316</v>
      </c>
      <c r="D115" s="6" t="s">
        <v>718</v>
      </c>
      <c r="E115" s="6" t="s">
        <v>1285</v>
      </c>
      <c r="F115" s="6" t="s">
        <v>4062</v>
      </c>
      <c r="G115" s="6" t="s">
        <v>1330</v>
      </c>
      <c r="H115" s="6" t="s">
        <v>4182</v>
      </c>
      <c r="I115" s="14" t="s">
        <v>1331</v>
      </c>
      <c r="J115" s="6">
        <v>12</v>
      </c>
      <c r="K115" s="6" t="s">
        <v>19</v>
      </c>
      <c r="L115" s="10">
        <v>8.24</v>
      </c>
      <c r="M115" s="6" t="s">
        <v>33</v>
      </c>
      <c r="N115" s="10">
        <f>Tabla52[[#This Row],[Price]]*Tabla52[[#This Row],[QTY Adjusted]]</f>
        <v>98.88</v>
      </c>
      <c r="O115" s="10">
        <v>98.88</v>
      </c>
      <c r="P115" s="6" t="s">
        <v>4225</v>
      </c>
      <c r="Q115" s="6">
        <v>0</v>
      </c>
    </row>
    <row r="116" spans="1:17" ht="58.2" customHeight="1" x14ac:dyDescent="0.3">
      <c r="A116" s="6">
        <v>650</v>
      </c>
      <c r="B116" s="6" t="s">
        <v>1184</v>
      </c>
      <c r="C116" s="6" t="s">
        <v>1316</v>
      </c>
      <c r="D116" s="6" t="s">
        <v>718</v>
      </c>
      <c r="E116" s="6" t="s">
        <v>1285</v>
      </c>
      <c r="F116" s="6" t="s">
        <v>4062</v>
      </c>
      <c r="G116" s="6" t="s">
        <v>1322</v>
      </c>
      <c r="H116" s="6" t="s">
        <v>4183</v>
      </c>
      <c r="I116" s="14" t="s">
        <v>1323</v>
      </c>
      <c r="J116" s="6">
        <v>12</v>
      </c>
      <c r="K116" s="6" t="s">
        <v>19</v>
      </c>
      <c r="L116" s="10">
        <v>8</v>
      </c>
      <c r="M116" s="6" t="s">
        <v>33</v>
      </c>
      <c r="N116" s="10">
        <f>Tabla52[[#This Row],[Price]]*Tabla52[[#This Row],[QTY Adjusted]]</f>
        <v>96</v>
      </c>
      <c r="O116" s="10">
        <v>96</v>
      </c>
      <c r="P116" s="6" t="s">
        <v>4225</v>
      </c>
      <c r="Q116" s="6">
        <v>0</v>
      </c>
    </row>
    <row r="117" spans="1:17" ht="58.2" customHeight="1" x14ac:dyDescent="0.3">
      <c r="A117" s="6">
        <v>593</v>
      </c>
      <c r="B117" s="6" t="s">
        <v>1184</v>
      </c>
      <c r="C117" s="6" t="s">
        <v>47</v>
      </c>
      <c r="D117" s="6" t="s">
        <v>44</v>
      </c>
      <c r="E117" s="6" t="s">
        <v>1201</v>
      </c>
      <c r="F117" s="6" t="s">
        <v>4063</v>
      </c>
      <c r="G117" s="6" t="s">
        <v>1220</v>
      </c>
      <c r="H117" s="6" t="s">
        <v>4184</v>
      </c>
      <c r="I117" s="14" t="s">
        <v>1221</v>
      </c>
      <c r="J117" s="6">
        <v>29</v>
      </c>
      <c r="K117" s="6" t="s">
        <v>19</v>
      </c>
      <c r="L117" s="10">
        <v>2.8079999999999998</v>
      </c>
      <c r="M117" s="6" t="s">
        <v>33</v>
      </c>
      <c r="N117" s="10">
        <f>Tabla52[[#This Row],[Price]]*Tabla52[[#This Row],[QTY Adjusted]]</f>
        <v>81.431999999999988</v>
      </c>
      <c r="O117" s="10">
        <v>81.431999999999988</v>
      </c>
      <c r="P117" s="6" t="s">
        <v>4225</v>
      </c>
      <c r="Q117" s="6">
        <v>0</v>
      </c>
    </row>
    <row r="118" spans="1:17" ht="58.2" customHeight="1" x14ac:dyDescent="0.3">
      <c r="A118" s="6">
        <v>695</v>
      </c>
      <c r="B118" s="6" t="s">
        <v>1184</v>
      </c>
      <c r="C118" s="6" t="s">
        <v>321</v>
      </c>
      <c r="D118" s="6" t="s">
        <v>199</v>
      </c>
      <c r="E118" s="6" t="s">
        <v>1345</v>
      </c>
      <c r="F118" s="6" t="s">
        <v>4059</v>
      </c>
      <c r="G118" s="6" t="s">
        <v>322</v>
      </c>
      <c r="H118" s="6" t="s">
        <v>4185</v>
      </c>
      <c r="I118" s="14" t="s">
        <v>324</v>
      </c>
      <c r="J118" s="6">
        <v>4</v>
      </c>
      <c r="K118" s="6" t="s">
        <v>19</v>
      </c>
      <c r="L118" s="10">
        <v>20.500824093750008</v>
      </c>
      <c r="M118" s="6" t="s">
        <v>33</v>
      </c>
      <c r="N118" s="10">
        <f>Tabla52[[#This Row],[Price]]*Tabla52[[#This Row],[QTY Adjusted]]</f>
        <v>82.003296375000033</v>
      </c>
      <c r="O118" s="10">
        <v>82.003296375000033</v>
      </c>
      <c r="P118" s="6" t="s">
        <v>4225</v>
      </c>
      <c r="Q118" s="6">
        <v>0</v>
      </c>
    </row>
    <row r="119" spans="1:17" ht="58.2" customHeight="1" x14ac:dyDescent="0.3">
      <c r="A119" s="6">
        <v>686</v>
      </c>
      <c r="B119" s="6" t="s">
        <v>1184</v>
      </c>
      <c r="C119" s="6" t="s">
        <v>321</v>
      </c>
      <c r="D119" s="6" t="s">
        <v>199</v>
      </c>
      <c r="E119" s="6" t="s">
        <v>1345</v>
      </c>
      <c r="F119" s="6" t="s">
        <v>4059</v>
      </c>
      <c r="G119" s="6" t="s">
        <v>1363</v>
      </c>
      <c r="H119" s="6" t="s">
        <v>4186</v>
      </c>
      <c r="I119" s="14" t="s">
        <v>1364</v>
      </c>
      <c r="J119" s="6">
        <v>4</v>
      </c>
      <c r="K119" s="6" t="s">
        <v>19</v>
      </c>
      <c r="L119" s="10">
        <v>19.975161937500005</v>
      </c>
      <c r="M119" s="6" t="s">
        <v>33</v>
      </c>
      <c r="N119" s="10">
        <f>Tabla52[[#This Row],[Price]]*Tabla52[[#This Row],[QTY Adjusted]]</f>
        <v>79.900647750000019</v>
      </c>
      <c r="O119" s="10">
        <v>79.900647750000019</v>
      </c>
      <c r="P119" s="6" t="s">
        <v>4225</v>
      </c>
      <c r="Q119" s="6">
        <v>0</v>
      </c>
    </row>
    <row r="120" spans="1:17" ht="58.2" customHeight="1" x14ac:dyDescent="0.3">
      <c r="A120" s="6">
        <v>636</v>
      </c>
      <c r="B120" s="6" t="s">
        <v>1184</v>
      </c>
      <c r="C120" s="6" t="s">
        <v>130</v>
      </c>
      <c r="D120" s="6" t="s">
        <v>130</v>
      </c>
      <c r="E120" s="6" t="s">
        <v>1285</v>
      </c>
      <c r="F120" s="6" t="s">
        <v>4060</v>
      </c>
      <c r="G120" s="6" t="s">
        <v>1288</v>
      </c>
      <c r="H120" s="6" t="s">
        <v>4187</v>
      </c>
      <c r="I120" s="14" t="s">
        <v>1289</v>
      </c>
      <c r="J120" s="6">
        <v>12</v>
      </c>
      <c r="K120" s="6" t="s">
        <v>19</v>
      </c>
      <c r="L120" s="10">
        <v>6.4773966423089586</v>
      </c>
      <c r="M120" s="6" t="s">
        <v>33</v>
      </c>
      <c r="N120" s="10">
        <f>Tabla52[[#This Row],[Price]]*Tabla52[[#This Row],[QTY Adjusted]]</f>
        <v>77.728759707707496</v>
      </c>
      <c r="O120" s="10">
        <v>77.728759707707496</v>
      </c>
      <c r="P120" s="6" t="s">
        <v>4225</v>
      </c>
      <c r="Q120" s="6">
        <v>0</v>
      </c>
    </row>
    <row r="121" spans="1:17" ht="58.2" customHeight="1" x14ac:dyDescent="0.3">
      <c r="A121" s="6">
        <v>706</v>
      </c>
      <c r="B121" s="6" t="s">
        <v>1184</v>
      </c>
      <c r="C121" s="6" t="s">
        <v>272</v>
      </c>
      <c r="D121" s="6" t="str">
        <f>Tabla52[[#This Row],[Vendor]]</f>
        <v>Spill-Stop</v>
      </c>
      <c r="E121" s="6" t="s">
        <v>1345</v>
      </c>
      <c r="F121" s="6" t="s">
        <v>4059</v>
      </c>
      <c r="G121" s="6" t="s">
        <v>355</v>
      </c>
      <c r="H121" s="6" t="s">
        <v>4188</v>
      </c>
      <c r="I121" s="14" t="s">
        <v>356</v>
      </c>
      <c r="J121" s="6">
        <v>8</v>
      </c>
      <c r="K121" s="6" t="s">
        <v>19</v>
      </c>
      <c r="L121" s="10">
        <v>9.08</v>
      </c>
      <c r="M121" s="6" t="s">
        <v>33</v>
      </c>
      <c r="N121" s="10">
        <f>Tabla52[[#This Row],[Price]]*Tabla52[[#This Row],[QTY Adjusted]]</f>
        <v>72.64</v>
      </c>
      <c r="O121" s="10">
        <v>72.64</v>
      </c>
      <c r="P121" s="6" t="s">
        <v>4230</v>
      </c>
      <c r="Q121" s="6">
        <v>0</v>
      </c>
    </row>
    <row r="122" spans="1:17" ht="58.2" customHeight="1" x14ac:dyDescent="0.3">
      <c r="A122" s="6">
        <v>699</v>
      </c>
      <c r="B122" s="6" t="s">
        <v>1184</v>
      </c>
      <c r="C122" s="6" t="s">
        <v>237</v>
      </c>
      <c r="D122" s="6" t="s">
        <v>93</v>
      </c>
      <c r="E122" s="6" t="s">
        <v>1345</v>
      </c>
      <c r="F122" s="6" t="s">
        <v>4059</v>
      </c>
      <c r="G122" s="6" t="s">
        <v>336</v>
      </c>
      <c r="H122" s="6" t="s">
        <v>4189</v>
      </c>
      <c r="I122" s="14" t="s">
        <v>338</v>
      </c>
      <c r="J122" s="6">
        <v>6</v>
      </c>
      <c r="K122" s="6" t="s">
        <v>19</v>
      </c>
      <c r="L122" s="10">
        <v>11.86</v>
      </c>
      <c r="M122" s="6" t="s">
        <v>33</v>
      </c>
      <c r="N122" s="10">
        <f>Tabla52[[#This Row],[Price]]*Tabla52[[#This Row],[QTY Adjusted]]</f>
        <v>71.16</v>
      </c>
      <c r="O122" s="10">
        <v>71.16</v>
      </c>
      <c r="P122" s="6" t="s">
        <v>4225</v>
      </c>
      <c r="Q122" s="6">
        <v>0</v>
      </c>
    </row>
    <row r="123" spans="1:17" ht="58.2" customHeight="1" x14ac:dyDescent="0.3">
      <c r="A123" s="6">
        <v>643</v>
      </c>
      <c r="B123" s="6" t="s">
        <v>1184</v>
      </c>
      <c r="C123" s="6" t="s">
        <v>130</v>
      </c>
      <c r="D123" s="6" t="s">
        <v>130</v>
      </c>
      <c r="E123" s="6" t="s">
        <v>1285</v>
      </c>
      <c r="F123" s="6" t="s">
        <v>4060</v>
      </c>
      <c r="G123" s="6" t="s">
        <v>1306</v>
      </c>
      <c r="H123" s="6" t="s">
        <v>4190</v>
      </c>
      <c r="I123" s="14" t="s">
        <v>1307</v>
      </c>
      <c r="J123" s="6">
        <v>12</v>
      </c>
      <c r="K123" s="6" t="s">
        <v>19</v>
      </c>
      <c r="L123" s="10">
        <v>5.4538457577931556</v>
      </c>
      <c r="M123" s="6" t="s">
        <v>33</v>
      </c>
      <c r="N123" s="10">
        <f>Tabla52[[#This Row],[Price]]*Tabla52[[#This Row],[QTY Adjusted]]</f>
        <v>65.446149093517874</v>
      </c>
      <c r="O123" s="10">
        <v>65.446149093517874</v>
      </c>
      <c r="P123" s="6" t="s">
        <v>4225</v>
      </c>
      <c r="Q123" s="6">
        <v>0</v>
      </c>
    </row>
    <row r="124" spans="1:17" ht="58.2" customHeight="1" x14ac:dyDescent="0.3">
      <c r="A124" s="6">
        <v>679</v>
      </c>
      <c r="B124" s="6" t="s">
        <v>1184</v>
      </c>
      <c r="C124" s="6" t="s">
        <v>266</v>
      </c>
      <c r="D124" s="6" t="s">
        <v>44</v>
      </c>
      <c r="E124" s="6" t="s">
        <v>1345</v>
      </c>
      <c r="F124" s="6" t="s">
        <v>4059</v>
      </c>
      <c r="G124" s="6" t="s">
        <v>270</v>
      </c>
      <c r="H124" s="6" t="s">
        <v>4191</v>
      </c>
      <c r="I124" s="14" t="s">
        <v>271</v>
      </c>
      <c r="J124" s="6">
        <v>6</v>
      </c>
      <c r="K124" s="6" t="s">
        <v>19</v>
      </c>
      <c r="L124" s="10">
        <v>9.984</v>
      </c>
      <c r="M124" s="6" t="s">
        <v>33</v>
      </c>
      <c r="N124" s="10">
        <f>Tabla52[[#This Row],[Price]]*Tabla52[[#This Row],[QTY Adjusted]]</f>
        <v>59.903999999999996</v>
      </c>
      <c r="O124" s="10">
        <v>59.903999999999996</v>
      </c>
      <c r="P124" s="6" t="s">
        <v>4225</v>
      </c>
      <c r="Q124" s="6">
        <v>0</v>
      </c>
    </row>
    <row r="125" spans="1:17" ht="58.2" customHeight="1" x14ac:dyDescent="0.3">
      <c r="A125" s="6">
        <v>678</v>
      </c>
      <c r="B125" s="6" t="s">
        <v>1184</v>
      </c>
      <c r="C125" s="6" t="s">
        <v>266</v>
      </c>
      <c r="D125" s="6" t="s">
        <v>44</v>
      </c>
      <c r="E125" s="6" t="s">
        <v>1345</v>
      </c>
      <c r="F125" s="6" t="s">
        <v>4059</v>
      </c>
      <c r="G125" s="6" t="s">
        <v>267</v>
      </c>
      <c r="H125" s="6" t="s">
        <v>4192</v>
      </c>
      <c r="I125" s="14" t="s">
        <v>269</v>
      </c>
      <c r="J125" s="6">
        <v>6</v>
      </c>
      <c r="K125" s="6" t="s">
        <v>19</v>
      </c>
      <c r="L125" s="10">
        <v>9.98</v>
      </c>
      <c r="M125" s="6" t="s">
        <v>33</v>
      </c>
      <c r="N125" s="10">
        <f>Tabla52[[#This Row],[Price]]*Tabla52[[#This Row],[QTY Adjusted]]</f>
        <v>59.88</v>
      </c>
      <c r="O125" s="10">
        <v>59.88</v>
      </c>
      <c r="P125" s="6" t="s">
        <v>4225</v>
      </c>
      <c r="Q125" s="6">
        <v>0</v>
      </c>
    </row>
    <row r="126" spans="1:17" ht="58.2" customHeight="1" x14ac:dyDescent="0.3">
      <c r="A126" s="6">
        <v>680</v>
      </c>
      <c r="B126" s="6" t="s">
        <v>1184</v>
      </c>
      <c r="C126" s="6" t="s">
        <v>272</v>
      </c>
      <c r="D126" s="6" t="str">
        <f>Tabla52[[#This Row],[Vendor]]</f>
        <v>Spill-Stop</v>
      </c>
      <c r="E126" s="6" t="s">
        <v>1345</v>
      </c>
      <c r="F126" s="6" t="s">
        <v>4059</v>
      </c>
      <c r="G126" s="6" t="s">
        <v>273</v>
      </c>
      <c r="H126" s="6" t="s">
        <v>4193</v>
      </c>
      <c r="I126" s="14" t="s">
        <v>275</v>
      </c>
      <c r="J126" s="6">
        <v>2</v>
      </c>
      <c r="K126" s="6" t="s">
        <v>748</v>
      </c>
      <c r="L126" s="10">
        <v>28.8</v>
      </c>
      <c r="M126" s="6" t="s">
        <v>33</v>
      </c>
      <c r="N126" s="10">
        <f>Tabla52[[#This Row],[Price]]*Tabla52[[#This Row],[QTY Adjusted]]</f>
        <v>57.6</v>
      </c>
      <c r="O126" s="10">
        <v>57.6</v>
      </c>
      <c r="P126" s="6" t="s">
        <v>4230</v>
      </c>
      <c r="Q126" s="6">
        <v>0</v>
      </c>
    </row>
    <row r="127" spans="1:17" ht="58.2" customHeight="1" x14ac:dyDescent="0.3">
      <c r="A127" s="6">
        <v>702</v>
      </c>
      <c r="B127" s="6" t="s">
        <v>1184</v>
      </c>
      <c r="C127" s="6" t="s">
        <v>321</v>
      </c>
      <c r="D127" s="6" t="s">
        <v>199</v>
      </c>
      <c r="E127" s="6" t="s">
        <v>1345</v>
      </c>
      <c r="F127" s="6" t="s">
        <v>4059</v>
      </c>
      <c r="G127" s="6" t="s">
        <v>343</v>
      </c>
      <c r="H127" s="6" t="s">
        <v>4194</v>
      </c>
      <c r="I127" s="14" t="s">
        <v>345</v>
      </c>
      <c r="J127" s="6">
        <v>2</v>
      </c>
      <c r="K127" s="6" t="s">
        <v>19</v>
      </c>
      <c r="L127" s="10">
        <v>24.180459187500002</v>
      </c>
      <c r="M127" s="6" t="s">
        <v>33</v>
      </c>
      <c r="N127" s="10">
        <f>Tabla52[[#This Row],[Price]]*Tabla52[[#This Row],[QTY Adjusted]]</f>
        <v>48.360918375000004</v>
      </c>
      <c r="O127" s="10">
        <v>48.360918375000004</v>
      </c>
      <c r="P127" s="6" t="s">
        <v>4225</v>
      </c>
      <c r="Q127" s="6">
        <v>0</v>
      </c>
    </row>
    <row r="128" spans="1:17" ht="58.2" customHeight="1" x14ac:dyDescent="0.3">
      <c r="A128" s="6">
        <v>635</v>
      </c>
      <c r="B128" s="6" t="s">
        <v>1184</v>
      </c>
      <c r="C128" s="6" t="s">
        <v>130</v>
      </c>
      <c r="D128" s="6" t="s">
        <v>130</v>
      </c>
      <c r="E128" s="6" t="s">
        <v>1285</v>
      </c>
      <c r="F128" s="6" t="s">
        <v>4060</v>
      </c>
      <c r="G128" s="6" t="s">
        <v>1286</v>
      </c>
      <c r="H128" s="6" t="s">
        <v>4195</v>
      </c>
      <c r="I128" s="14" t="s">
        <v>1287</v>
      </c>
      <c r="J128" s="6">
        <v>12</v>
      </c>
      <c r="K128" s="6" t="s">
        <v>19</v>
      </c>
      <c r="L128" s="10">
        <v>3.895604112709397</v>
      </c>
      <c r="M128" s="6" t="s">
        <v>33</v>
      </c>
      <c r="N128" s="10">
        <f>Tabla52[[#This Row],[Price]]*Tabla52[[#This Row],[QTY Adjusted]]</f>
        <v>46.747249352512767</v>
      </c>
      <c r="O128" s="10">
        <v>46.747249352512767</v>
      </c>
      <c r="P128" s="6" t="s">
        <v>4225</v>
      </c>
      <c r="Q128" s="6">
        <v>0</v>
      </c>
    </row>
    <row r="129" spans="1:17" ht="58.2" customHeight="1" x14ac:dyDescent="0.3">
      <c r="A129" s="6">
        <v>715</v>
      </c>
      <c r="B129" s="6" t="s">
        <v>1184</v>
      </c>
      <c r="C129" s="6" t="s">
        <v>329</v>
      </c>
      <c r="D129" s="6" t="s">
        <v>199</v>
      </c>
      <c r="E129" s="6" t="s">
        <v>1345</v>
      </c>
      <c r="F129" s="6" t="s">
        <v>4059</v>
      </c>
      <c r="G129" s="6" t="s">
        <v>382</v>
      </c>
      <c r="H129" s="6" t="s">
        <v>4196</v>
      </c>
      <c r="I129" s="14" t="s">
        <v>384</v>
      </c>
      <c r="J129" s="6">
        <v>2</v>
      </c>
      <c r="K129" s="6" t="s">
        <v>19</v>
      </c>
      <c r="L129" s="10">
        <v>22.307670000000002</v>
      </c>
      <c r="M129" s="6" t="s">
        <v>33</v>
      </c>
      <c r="N129" s="10">
        <f>Tabla52[[#This Row],[Price]]*Tabla52[[#This Row],[QTY Adjusted]]</f>
        <v>44.615340000000003</v>
      </c>
      <c r="O129" s="10">
        <v>44.615340000000003</v>
      </c>
      <c r="P129" s="6" t="s">
        <v>4225</v>
      </c>
      <c r="Q129" s="6">
        <v>0</v>
      </c>
    </row>
    <row r="130" spans="1:17" ht="58.2" customHeight="1" x14ac:dyDescent="0.3">
      <c r="A130" s="6">
        <v>709</v>
      </c>
      <c r="B130" s="6" t="s">
        <v>1184</v>
      </c>
      <c r="C130" s="6" t="s">
        <v>329</v>
      </c>
      <c r="D130" s="6" t="s">
        <v>199</v>
      </c>
      <c r="E130" s="6" t="s">
        <v>1345</v>
      </c>
      <c r="F130" s="6" t="s">
        <v>4059</v>
      </c>
      <c r="G130" s="6" t="s">
        <v>366</v>
      </c>
      <c r="H130" s="6" t="s">
        <v>4197</v>
      </c>
      <c r="I130" s="14" t="s">
        <v>368</v>
      </c>
      <c r="J130" s="6">
        <v>6</v>
      </c>
      <c r="K130" s="6" t="s">
        <v>19</v>
      </c>
      <c r="L130" s="10">
        <v>7.3993499999999992</v>
      </c>
      <c r="M130" s="6" t="s">
        <v>33</v>
      </c>
      <c r="N130" s="10">
        <f>Tabla52[[#This Row],[Price]]*Tabla52[[#This Row],[QTY Adjusted]]</f>
        <v>44.396099999999997</v>
      </c>
      <c r="O130" s="10">
        <v>44.396099999999997</v>
      </c>
      <c r="P130" s="6" t="s">
        <v>4225</v>
      </c>
      <c r="Q130" s="6">
        <v>0</v>
      </c>
    </row>
    <row r="131" spans="1:17" ht="58.2" customHeight="1" x14ac:dyDescent="0.3">
      <c r="A131" s="6">
        <v>704</v>
      </c>
      <c r="B131" s="6" t="s">
        <v>1184</v>
      </c>
      <c r="C131" s="6" t="s">
        <v>228</v>
      </c>
      <c r="D131" s="6" t="s">
        <v>44</v>
      </c>
      <c r="E131" s="6" t="s">
        <v>1345</v>
      </c>
      <c r="F131" s="6" t="s">
        <v>4059</v>
      </c>
      <c r="G131" s="6" t="s">
        <v>349</v>
      </c>
      <c r="H131" s="6" t="s">
        <v>4198</v>
      </c>
      <c r="I131" s="14" t="s">
        <v>351</v>
      </c>
      <c r="J131" s="6">
        <v>4</v>
      </c>
      <c r="K131" s="6" t="s">
        <v>19</v>
      </c>
      <c r="L131" s="10">
        <v>9.8800000000000008</v>
      </c>
      <c r="M131" s="6" t="s">
        <v>33</v>
      </c>
      <c r="N131" s="10">
        <f>Tabla52[[#This Row],[Price]]*Tabla52[[#This Row],[QTY Adjusted]]</f>
        <v>39.520000000000003</v>
      </c>
      <c r="O131" s="10">
        <v>39.520000000000003</v>
      </c>
      <c r="P131" s="6" t="s">
        <v>4218</v>
      </c>
      <c r="Q131" s="6" t="s">
        <v>4245</v>
      </c>
    </row>
    <row r="132" spans="1:17" ht="58.2" customHeight="1" x14ac:dyDescent="0.3">
      <c r="A132" s="6">
        <v>713</v>
      </c>
      <c r="B132" s="6" t="s">
        <v>1184</v>
      </c>
      <c r="C132" s="6" t="s">
        <v>92</v>
      </c>
      <c r="D132" s="6" t="s">
        <v>93</v>
      </c>
      <c r="E132" s="6" t="s">
        <v>1345</v>
      </c>
      <c r="F132" s="6" t="s">
        <v>4059</v>
      </c>
      <c r="G132" s="6" t="s">
        <v>377</v>
      </c>
      <c r="H132" s="6" t="s">
        <v>4199</v>
      </c>
      <c r="I132" s="14" t="s">
        <v>378</v>
      </c>
      <c r="J132" s="6">
        <v>4</v>
      </c>
      <c r="K132" s="6" t="s">
        <v>19</v>
      </c>
      <c r="L132" s="10">
        <v>9.2200000000000006</v>
      </c>
      <c r="M132" s="6" t="s">
        <v>33</v>
      </c>
      <c r="N132" s="10">
        <f>Tabla52[[#This Row],[Price]]*Tabla52[[#This Row],[QTY Adjusted]]</f>
        <v>36.880000000000003</v>
      </c>
      <c r="O132" s="10">
        <v>36.880000000000003</v>
      </c>
      <c r="P132" s="6" t="s">
        <v>4228</v>
      </c>
      <c r="Q132" s="6" t="s">
        <v>4245</v>
      </c>
    </row>
    <row r="133" spans="1:17" ht="58.2" customHeight="1" x14ac:dyDescent="0.3">
      <c r="A133" s="6">
        <v>688</v>
      </c>
      <c r="B133" s="6" t="s">
        <v>1184</v>
      </c>
      <c r="C133" s="6" t="s">
        <v>228</v>
      </c>
      <c r="D133" s="6" t="s">
        <v>44</v>
      </c>
      <c r="E133" s="6" t="s">
        <v>1345</v>
      </c>
      <c r="F133" s="6" t="s">
        <v>4059</v>
      </c>
      <c r="G133" s="6" t="s">
        <v>297</v>
      </c>
      <c r="H133" s="6" t="s">
        <v>4200</v>
      </c>
      <c r="I133" s="14" t="s">
        <v>299</v>
      </c>
      <c r="J133" s="6">
        <v>4</v>
      </c>
      <c r="K133" s="6" t="s">
        <v>19</v>
      </c>
      <c r="L133" s="10">
        <v>9.07</v>
      </c>
      <c r="M133" s="6" t="s">
        <v>33</v>
      </c>
      <c r="N133" s="10">
        <f>Tabla52[[#This Row],[Price]]*Tabla52[[#This Row],[QTY Adjusted]]</f>
        <v>36.28</v>
      </c>
      <c r="O133" s="10">
        <v>36.28</v>
      </c>
      <c r="P133" s="25" t="s">
        <v>4225</v>
      </c>
      <c r="Q133" s="6">
        <v>0</v>
      </c>
    </row>
    <row r="134" spans="1:17" ht="58.2" customHeight="1" x14ac:dyDescent="0.3">
      <c r="A134" s="6">
        <v>689</v>
      </c>
      <c r="B134" s="6" t="s">
        <v>1184</v>
      </c>
      <c r="C134" s="6" t="s">
        <v>228</v>
      </c>
      <c r="D134" s="6" t="s">
        <v>44</v>
      </c>
      <c r="E134" s="6" t="s">
        <v>1345</v>
      </c>
      <c r="F134" s="6" t="s">
        <v>4059</v>
      </c>
      <c r="G134" s="6" t="s">
        <v>300</v>
      </c>
      <c r="H134" s="6" t="s">
        <v>4201</v>
      </c>
      <c r="I134" s="14" t="s">
        <v>302</v>
      </c>
      <c r="J134" s="6">
        <v>8</v>
      </c>
      <c r="K134" s="6" t="s">
        <v>19</v>
      </c>
      <c r="L134" s="10">
        <v>3.99</v>
      </c>
      <c r="M134" s="6" t="s">
        <v>33</v>
      </c>
      <c r="N134" s="10">
        <f>Tabla52[[#This Row],[Price]]*Tabla52[[#This Row],[QTY Adjusted]]</f>
        <v>31.92</v>
      </c>
      <c r="O134" s="10">
        <v>31.92</v>
      </c>
      <c r="P134" s="25" t="s">
        <v>4225</v>
      </c>
      <c r="Q134" s="6">
        <v>0</v>
      </c>
    </row>
    <row r="135" spans="1:17" ht="58.2" customHeight="1" x14ac:dyDescent="0.3">
      <c r="A135" s="6">
        <v>705</v>
      </c>
      <c r="B135" s="6" t="s">
        <v>1184</v>
      </c>
      <c r="C135" s="6" t="s">
        <v>329</v>
      </c>
      <c r="D135" s="6" t="s">
        <v>199</v>
      </c>
      <c r="E135" s="6" t="s">
        <v>1345</v>
      </c>
      <c r="F135" s="6" t="s">
        <v>4059</v>
      </c>
      <c r="G135" s="6" t="s">
        <v>352</v>
      </c>
      <c r="H135" s="6" t="s">
        <v>4202</v>
      </c>
      <c r="I135" s="14" t="s">
        <v>354</v>
      </c>
      <c r="J135" s="6">
        <v>2</v>
      </c>
      <c r="K135" s="6" t="s">
        <v>19</v>
      </c>
      <c r="L135" s="10">
        <v>14.935724999999998</v>
      </c>
      <c r="M135" s="6" t="s">
        <v>33</v>
      </c>
      <c r="N135" s="10">
        <f>Tabla52[[#This Row],[Price]]*Tabla52[[#This Row],[QTY Adjusted]]</f>
        <v>29.871449999999996</v>
      </c>
      <c r="O135" s="10">
        <v>29.871449999999996</v>
      </c>
      <c r="P135" s="6" t="s">
        <v>4225</v>
      </c>
      <c r="Q135" s="6">
        <v>0</v>
      </c>
    </row>
    <row r="136" spans="1:17" ht="58.2" customHeight="1" x14ac:dyDescent="0.3">
      <c r="A136" s="6">
        <v>711</v>
      </c>
      <c r="B136" s="6" t="s">
        <v>1184</v>
      </c>
      <c r="C136" s="6" t="s">
        <v>371</v>
      </c>
      <c r="D136" s="6" t="str">
        <f>Tabla52[[#This Row],[Vendor]]</f>
        <v>Franmara</v>
      </c>
      <c r="E136" s="6" t="s">
        <v>1345</v>
      </c>
      <c r="F136" s="6" t="s">
        <v>4059</v>
      </c>
      <c r="G136" s="6" t="s">
        <v>372</v>
      </c>
      <c r="H136" s="6" t="s">
        <v>4203</v>
      </c>
      <c r="I136" s="14" t="s">
        <v>374</v>
      </c>
      <c r="J136" s="6">
        <v>4</v>
      </c>
      <c r="K136" s="6" t="s">
        <v>19</v>
      </c>
      <c r="L136" s="10">
        <v>6.5</v>
      </c>
      <c r="M136" s="6" t="s">
        <v>33</v>
      </c>
      <c r="N136" s="10">
        <f>Tabla52[[#This Row],[Price]]*Tabla52[[#This Row],[QTY Adjusted]]</f>
        <v>26</v>
      </c>
      <c r="O136" s="10">
        <v>26</v>
      </c>
      <c r="P136" s="6" t="s">
        <v>4239</v>
      </c>
      <c r="Q136" s="6">
        <v>0</v>
      </c>
    </row>
    <row r="137" spans="1:17" ht="58.2" customHeight="1" x14ac:dyDescent="0.3">
      <c r="A137" s="6">
        <v>707</v>
      </c>
      <c r="B137" s="6" t="s">
        <v>1184</v>
      </c>
      <c r="C137" s="6" t="s">
        <v>357</v>
      </c>
      <c r="D137" s="6" t="s">
        <v>93</v>
      </c>
      <c r="E137" s="6" t="s">
        <v>1345</v>
      </c>
      <c r="F137" s="6" t="s">
        <v>4059</v>
      </c>
      <c r="G137" s="6" t="s">
        <v>358</v>
      </c>
      <c r="H137" s="6" t="s">
        <v>4204</v>
      </c>
      <c r="I137" s="14" t="s">
        <v>360</v>
      </c>
      <c r="J137" s="6">
        <v>2</v>
      </c>
      <c r="K137" s="6" t="s">
        <v>19</v>
      </c>
      <c r="L137" s="10">
        <v>9.5299999999999994</v>
      </c>
      <c r="M137" s="6" t="s">
        <v>33</v>
      </c>
      <c r="N137" s="10">
        <f>Tabla52[[#This Row],[Price]]*Tabla52[[#This Row],[QTY Adjusted]]</f>
        <v>19.059999999999999</v>
      </c>
      <c r="O137" s="10">
        <v>19.059999999999999</v>
      </c>
      <c r="P137" s="6" t="s">
        <v>4225</v>
      </c>
      <c r="Q137" s="6">
        <v>0</v>
      </c>
    </row>
    <row r="138" spans="1:17" ht="58.2" customHeight="1" x14ac:dyDescent="0.3">
      <c r="A138" s="6">
        <v>665</v>
      </c>
      <c r="B138" s="6" t="s">
        <v>1184</v>
      </c>
      <c r="C138" s="6" t="s">
        <v>232</v>
      </c>
      <c r="D138" s="6" t="s">
        <v>233</v>
      </c>
      <c r="E138" s="6" t="s">
        <v>1345</v>
      </c>
      <c r="F138" s="6" t="s">
        <v>4059</v>
      </c>
      <c r="G138" s="6" t="s">
        <v>234</v>
      </c>
      <c r="H138" s="6" t="s">
        <v>4205</v>
      </c>
      <c r="I138" s="14" t="s">
        <v>236</v>
      </c>
      <c r="J138" s="6">
        <v>4</v>
      </c>
      <c r="K138" s="6" t="s">
        <v>19</v>
      </c>
      <c r="L138" s="10">
        <v>4.71</v>
      </c>
      <c r="M138" s="6" t="s">
        <v>33</v>
      </c>
      <c r="N138" s="10">
        <f>Tabla52[[#This Row],[Price]]*Tabla52[[#This Row],[QTY Adjusted]]</f>
        <v>18.84</v>
      </c>
      <c r="O138" s="10">
        <v>18.84</v>
      </c>
      <c r="P138" s="6" t="s">
        <v>4239</v>
      </c>
      <c r="Q138" s="6">
        <v>0</v>
      </c>
    </row>
    <row r="139" spans="1:17" ht="58.2" customHeight="1" x14ac:dyDescent="0.3">
      <c r="A139" s="6">
        <v>714</v>
      </c>
      <c r="B139" s="6" t="s">
        <v>1184</v>
      </c>
      <c r="C139" s="6" t="s">
        <v>314</v>
      </c>
      <c r="D139" s="6" t="s">
        <v>93</v>
      </c>
      <c r="E139" s="6" t="s">
        <v>1345</v>
      </c>
      <c r="F139" s="6" t="s">
        <v>4059</v>
      </c>
      <c r="G139" s="6" t="s">
        <v>379</v>
      </c>
      <c r="H139" s="6" t="s">
        <v>4206</v>
      </c>
      <c r="I139" s="14" t="s">
        <v>381</v>
      </c>
      <c r="J139" s="6">
        <v>4</v>
      </c>
      <c r="K139" s="6" t="s">
        <v>19</v>
      </c>
      <c r="L139" s="10">
        <v>4.4000000000000004</v>
      </c>
      <c r="M139" s="6" t="s">
        <v>33</v>
      </c>
      <c r="N139" s="10">
        <f>Tabla52[[#This Row],[Price]]*Tabla52[[#This Row],[QTY Adjusted]]</f>
        <v>17.600000000000001</v>
      </c>
      <c r="O139" s="10">
        <v>17.600000000000001</v>
      </c>
      <c r="P139" s="6" t="s">
        <v>4228</v>
      </c>
      <c r="Q139" s="6" t="s">
        <v>4245</v>
      </c>
    </row>
    <row r="140" spans="1:17" ht="58.2" customHeight="1" x14ac:dyDescent="0.3">
      <c r="A140" s="6">
        <v>690</v>
      </c>
      <c r="B140" s="6" t="s">
        <v>1184</v>
      </c>
      <c r="C140" s="6" t="s">
        <v>321</v>
      </c>
      <c r="D140" s="6" t="s">
        <v>199</v>
      </c>
      <c r="E140" s="6" t="s">
        <v>1345</v>
      </c>
      <c r="F140" s="6" t="s">
        <v>4059</v>
      </c>
      <c r="G140" s="6" t="s">
        <v>766</v>
      </c>
      <c r="H140" s="6" t="s">
        <v>4207</v>
      </c>
      <c r="I140" s="14" t="s">
        <v>1367</v>
      </c>
      <c r="J140" s="6">
        <v>2</v>
      </c>
      <c r="K140" s="6" t="s">
        <v>19</v>
      </c>
      <c r="L140" s="10">
        <v>6.3079458750000006</v>
      </c>
      <c r="M140" s="6" t="s">
        <v>33</v>
      </c>
      <c r="N140" s="10">
        <f>Tabla52[[#This Row],[Price]]*Tabla52[[#This Row],[QTY Adjusted]]</f>
        <v>12.615891750000001</v>
      </c>
      <c r="O140" s="10">
        <v>12.615891750000001</v>
      </c>
      <c r="P140" s="6" t="s">
        <v>4225</v>
      </c>
      <c r="Q140" s="6">
        <v>0</v>
      </c>
    </row>
    <row r="141" spans="1:17" ht="58.2" customHeight="1" x14ac:dyDescent="0.3">
      <c r="A141" s="6">
        <v>712</v>
      </c>
      <c r="B141" s="6" t="s">
        <v>1184</v>
      </c>
      <c r="C141" s="6" t="s">
        <v>371</v>
      </c>
      <c r="D141" s="6" t="str">
        <f>Tabla52[[#This Row],[Vendor]]</f>
        <v>Franmara</v>
      </c>
      <c r="E141" s="6" t="s">
        <v>1345</v>
      </c>
      <c r="F141" s="6" t="s">
        <v>4059</v>
      </c>
      <c r="G141" s="6" t="s">
        <v>375</v>
      </c>
      <c r="H141" s="6" t="s">
        <v>4208</v>
      </c>
      <c r="I141" s="14" t="s">
        <v>376</v>
      </c>
      <c r="J141" s="6">
        <v>4</v>
      </c>
      <c r="K141" s="6" t="s">
        <v>19</v>
      </c>
      <c r="L141" s="10">
        <v>3</v>
      </c>
      <c r="M141" s="6" t="s">
        <v>33</v>
      </c>
      <c r="N141" s="10">
        <f>Tabla52[[#This Row],[Price]]*Tabla52[[#This Row],[QTY Adjusted]]</f>
        <v>12</v>
      </c>
      <c r="O141" s="10">
        <v>12</v>
      </c>
      <c r="P141" s="6" t="s">
        <v>4239</v>
      </c>
      <c r="Q141" s="6">
        <v>0</v>
      </c>
    </row>
    <row r="142" spans="1:17" ht="58.2" customHeight="1" x14ac:dyDescent="0.3">
      <c r="A142" s="6">
        <v>716</v>
      </c>
      <c r="B142" s="6" t="s">
        <v>1184</v>
      </c>
      <c r="C142" s="6" t="s">
        <v>92</v>
      </c>
      <c r="D142" s="6" t="s">
        <v>93</v>
      </c>
      <c r="E142" s="6" t="s">
        <v>1345</v>
      </c>
      <c r="F142" s="6" t="s">
        <v>4059</v>
      </c>
      <c r="G142" s="6" t="s">
        <v>385</v>
      </c>
      <c r="H142" s="6" t="s">
        <v>4209</v>
      </c>
      <c r="I142" s="14" t="s">
        <v>387</v>
      </c>
      <c r="J142" s="6">
        <v>4</v>
      </c>
      <c r="K142" s="6" t="s">
        <v>19</v>
      </c>
      <c r="L142" s="10">
        <v>2.85</v>
      </c>
      <c r="M142" s="6" t="s">
        <v>33</v>
      </c>
      <c r="N142" s="10">
        <f>Tabla52[[#This Row],[Price]]*Tabla52[[#This Row],[QTY Adjusted]]</f>
        <v>11.4</v>
      </c>
      <c r="O142" s="10">
        <v>11.4</v>
      </c>
      <c r="P142" s="6" t="s">
        <v>4228</v>
      </c>
      <c r="Q142" s="6" t="s">
        <v>4245</v>
      </c>
    </row>
    <row r="143" spans="1:17" ht="58.2" customHeight="1" x14ac:dyDescent="0.3">
      <c r="A143" s="6">
        <v>697</v>
      </c>
      <c r="B143" s="6" t="s">
        <v>1184</v>
      </c>
      <c r="C143" s="6" t="s">
        <v>329</v>
      </c>
      <c r="D143" s="6" t="s">
        <v>199</v>
      </c>
      <c r="E143" s="6" t="s">
        <v>1345</v>
      </c>
      <c r="F143" s="6" t="s">
        <v>4059</v>
      </c>
      <c r="G143" s="6" t="s">
        <v>330</v>
      </c>
      <c r="H143" s="6" t="s">
        <v>4210</v>
      </c>
      <c r="I143" s="14" t="s">
        <v>332</v>
      </c>
      <c r="J143" s="6">
        <v>2</v>
      </c>
      <c r="K143" s="6" t="s">
        <v>19</v>
      </c>
      <c r="L143" s="10">
        <v>3.34341</v>
      </c>
      <c r="M143" s="6" t="s">
        <v>33</v>
      </c>
      <c r="N143" s="10">
        <f>Tabla52[[#This Row],[Price]]*Tabla52[[#This Row],[QTY Adjusted]]</f>
        <v>6.68682</v>
      </c>
      <c r="O143" s="10">
        <v>6.68682</v>
      </c>
      <c r="P143" s="6" t="s">
        <v>4225</v>
      </c>
      <c r="Q143" s="6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5CAD-D3E4-454B-9A4D-41D49E21F827}">
  <dimension ref="A1:Q59"/>
  <sheetViews>
    <sheetView showGridLines="0" topLeftCell="D2" zoomScale="70" zoomScaleNormal="70" workbookViewId="0">
      <selection activeCell="P2" sqref="P2"/>
    </sheetView>
  </sheetViews>
  <sheetFormatPr baseColWidth="10" defaultColWidth="11.44140625" defaultRowHeight="14.4" x14ac:dyDescent="0.3"/>
  <cols>
    <col min="4" max="4" width="26.88671875" bestFit="1" customWidth="1"/>
    <col min="5" max="5" width="20.44140625" bestFit="1" customWidth="1"/>
    <col min="6" max="6" width="14.44140625" bestFit="1" customWidth="1"/>
    <col min="7" max="7" width="29.33203125" customWidth="1"/>
    <col min="8" max="8" width="12.33203125" customWidth="1"/>
    <col min="9" max="9" width="41.44140625" customWidth="1"/>
    <col min="10" max="10" width="14.33203125" customWidth="1"/>
    <col min="14" max="14" width="14.5546875" bestFit="1" customWidth="1"/>
    <col min="15" max="15" width="14" customWidth="1"/>
    <col min="16" max="16" width="35.33203125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4216</v>
      </c>
      <c r="Q2" t="s">
        <v>4247</v>
      </c>
    </row>
    <row r="3" spans="1:17" ht="41.4" customHeight="1" x14ac:dyDescent="0.3">
      <c r="A3" s="6">
        <v>810</v>
      </c>
      <c r="B3" s="6" t="s">
        <v>1494</v>
      </c>
      <c r="C3" s="6" t="s">
        <v>561</v>
      </c>
      <c r="D3" s="6" t="s">
        <v>44</v>
      </c>
      <c r="E3" s="6" t="s">
        <v>1496</v>
      </c>
      <c r="F3" s="6" t="s">
        <v>4059</v>
      </c>
      <c r="G3" s="6" t="s">
        <v>1559</v>
      </c>
      <c r="H3" s="6" t="s">
        <v>1560</v>
      </c>
      <c r="I3" s="6" t="s">
        <v>1561</v>
      </c>
      <c r="J3" s="6">
        <v>24</v>
      </c>
      <c r="K3" s="6" t="s">
        <v>19</v>
      </c>
      <c r="L3" s="10">
        <v>194.18</v>
      </c>
      <c r="M3" s="6" t="s">
        <v>33</v>
      </c>
      <c r="N3" s="10">
        <f>Tabla6[[#This Row],[Price]]*Tabla6[[#This Row],[QTY Adjusted]]</f>
        <v>4660.32</v>
      </c>
      <c r="O3" s="10">
        <v>4660.32</v>
      </c>
      <c r="P3" s="22" t="s">
        <v>4225</v>
      </c>
      <c r="Q3" s="6">
        <v>0</v>
      </c>
    </row>
    <row r="4" spans="1:17" ht="41.4" customHeight="1" x14ac:dyDescent="0.3">
      <c r="A4" s="6">
        <v>783</v>
      </c>
      <c r="B4" s="6" t="s">
        <v>1494</v>
      </c>
      <c r="C4" s="6" t="s">
        <v>14</v>
      </c>
      <c r="D4" s="6" t="str">
        <f>Tabla6[[#This Row],[Vendor]]</f>
        <v>Oaxifornia</v>
      </c>
      <c r="E4" s="6" t="s">
        <v>1496</v>
      </c>
      <c r="F4" s="6" t="s">
        <v>4059</v>
      </c>
      <c r="G4" s="6" t="s">
        <v>1511</v>
      </c>
      <c r="H4" s="6" t="s">
        <v>1512</v>
      </c>
      <c r="I4" s="6" t="s">
        <v>1513</v>
      </c>
      <c r="J4" s="6">
        <v>51</v>
      </c>
      <c r="K4" s="6" t="s">
        <v>19</v>
      </c>
      <c r="L4" s="10">
        <v>834</v>
      </c>
      <c r="M4" s="6" t="s">
        <v>20</v>
      </c>
      <c r="N4" s="10">
        <f>Tabla6[[#This Row],[Price]]*Tabla6[[#This Row],[QTY Adjusted]]</f>
        <v>42534</v>
      </c>
      <c r="O4" s="10">
        <v>2181.2307692307691</v>
      </c>
      <c r="P4" s="10" t="s">
        <v>4232</v>
      </c>
      <c r="Q4" s="6">
        <v>0</v>
      </c>
    </row>
    <row r="5" spans="1:17" ht="41.4" customHeight="1" x14ac:dyDescent="0.3">
      <c r="A5" s="6">
        <v>803</v>
      </c>
      <c r="B5" s="6" t="s">
        <v>1494</v>
      </c>
      <c r="C5" s="6" t="s">
        <v>14</v>
      </c>
      <c r="D5" s="6" t="str">
        <f>Tabla6[[#This Row],[Vendor]]</f>
        <v>Oaxifornia</v>
      </c>
      <c r="E5" s="6" t="s">
        <v>1496</v>
      </c>
      <c r="F5" s="6" t="s">
        <v>4059</v>
      </c>
      <c r="G5" s="6" t="s">
        <v>1511</v>
      </c>
      <c r="H5" s="6" t="s">
        <v>1512</v>
      </c>
      <c r="I5" s="6" t="s">
        <v>1513</v>
      </c>
      <c r="J5" s="6">
        <v>0</v>
      </c>
      <c r="K5" s="6" t="s">
        <v>19</v>
      </c>
      <c r="L5" s="10">
        <v>834</v>
      </c>
      <c r="M5" s="6" t="s">
        <v>20</v>
      </c>
      <c r="N5" s="10">
        <f>Tabla6[[#This Row],[Price]]*Tabla6[[#This Row],[QTY Adjusted]]</f>
        <v>0</v>
      </c>
      <c r="O5" s="10">
        <v>0</v>
      </c>
      <c r="P5" s="10" t="s">
        <v>4232</v>
      </c>
      <c r="Q5" s="6">
        <v>0</v>
      </c>
    </row>
    <row r="6" spans="1:17" ht="41.4" customHeight="1" x14ac:dyDescent="0.3">
      <c r="A6" s="6">
        <v>820</v>
      </c>
      <c r="B6" s="6" t="s">
        <v>1494</v>
      </c>
      <c r="C6" s="6" t="s">
        <v>561</v>
      </c>
      <c r="D6" s="6" t="s">
        <v>44</v>
      </c>
      <c r="E6" s="6" t="s">
        <v>1496</v>
      </c>
      <c r="F6" s="6" t="s">
        <v>4059</v>
      </c>
      <c r="G6" s="6" t="s">
        <v>1580</v>
      </c>
      <c r="H6" s="6" t="s">
        <v>1581</v>
      </c>
      <c r="I6" s="6" t="s">
        <v>1582</v>
      </c>
      <c r="J6" s="6">
        <v>24</v>
      </c>
      <c r="K6" s="6" t="s">
        <v>19</v>
      </c>
      <c r="L6" s="10">
        <v>88.672499999999999</v>
      </c>
      <c r="M6" s="6" t="s">
        <v>33</v>
      </c>
      <c r="N6" s="10">
        <f>Tabla6[[#This Row],[Price]]*Tabla6[[#This Row],[QTY Adjusted]]</f>
        <v>2128.14</v>
      </c>
      <c r="O6" s="10">
        <v>2128.14</v>
      </c>
      <c r="P6" s="22" t="s">
        <v>4225</v>
      </c>
      <c r="Q6" s="6">
        <v>0</v>
      </c>
    </row>
    <row r="7" spans="1:17" ht="41.4" customHeight="1" x14ac:dyDescent="0.3">
      <c r="A7" s="6">
        <v>771</v>
      </c>
      <c r="B7" s="6" t="s">
        <v>1494</v>
      </c>
      <c r="C7" s="6" t="s">
        <v>124</v>
      </c>
      <c r="D7" s="6" t="str">
        <f>Tabla6[[#This Row],[Vendor]]</f>
        <v>Impulse</v>
      </c>
      <c r="E7" s="6" t="s">
        <v>1496</v>
      </c>
      <c r="F7" s="6" t="s">
        <v>4059</v>
      </c>
      <c r="G7" s="6" t="s">
        <v>1499</v>
      </c>
      <c r="H7" s="6" t="s">
        <v>490</v>
      </c>
      <c r="I7" s="6" t="s">
        <v>1500</v>
      </c>
      <c r="J7" s="6">
        <v>14</v>
      </c>
      <c r="K7" s="6" t="s">
        <v>19</v>
      </c>
      <c r="L7" s="10">
        <v>135</v>
      </c>
      <c r="M7" s="6" t="s">
        <v>33</v>
      </c>
      <c r="N7" s="10">
        <f>Tabla6[[#This Row],[Price]]*Tabla6[[#This Row],[QTY Adjusted]]</f>
        <v>1890</v>
      </c>
      <c r="O7" s="10">
        <v>1890</v>
      </c>
      <c r="P7" s="10" t="s">
        <v>4224</v>
      </c>
      <c r="Q7" s="6">
        <v>0</v>
      </c>
    </row>
    <row r="8" spans="1:17" ht="41.4" customHeight="1" x14ac:dyDescent="0.3">
      <c r="A8" s="6">
        <v>790</v>
      </c>
      <c r="B8" s="6" t="s">
        <v>1494</v>
      </c>
      <c r="C8" s="6" t="s">
        <v>561</v>
      </c>
      <c r="D8" s="6" t="s">
        <v>44</v>
      </c>
      <c r="E8" s="6" t="s">
        <v>1496</v>
      </c>
      <c r="F8" s="6" t="s">
        <v>4059</v>
      </c>
      <c r="G8" s="6" t="s">
        <v>568</v>
      </c>
      <c r="H8" s="6" t="s">
        <v>1529</v>
      </c>
      <c r="I8" s="6" t="s">
        <v>1530</v>
      </c>
      <c r="J8" s="6">
        <v>15</v>
      </c>
      <c r="K8" s="6" t="s">
        <v>19</v>
      </c>
      <c r="L8" s="10">
        <v>99.224999999999994</v>
      </c>
      <c r="M8" s="6" t="s">
        <v>33</v>
      </c>
      <c r="N8" s="10">
        <f>Tabla6[[#This Row],[Price]]*Tabla6[[#This Row],[QTY Adjusted]]</f>
        <v>1488.375</v>
      </c>
      <c r="O8" s="10">
        <v>1488.375</v>
      </c>
      <c r="P8" s="22" t="s">
        <v>4225</v>
      </c>
      <c r="Q8" s="6">
        <v>0</v>
      </c>
    </row>
    <row r="9" spans="1:17" ht="41.4" customHeight="1" x14ac:dyDescent="0.3">
      <c r="A9" s="6">
        <v>821</v>
      </c>
      <c r="B9" s="6" t="s">
        <v>1494</v>
      </c>
      <c r="C9" s="6" t="s">
        <v>561</v>
      </c>
      <c r="D9" s="6" t="s">
        <v>44</v>
      </c>
      <c r="E9" s="6" t="s">
        <v>1496</v>
      </c>
      <c r="F9" s="6" t="s">
        <v>4059</v>
      </c>
      <c r="G9" s="6" t="s">
        <v>1583</v>
      </c>
      <c r="H9" s="6" t="s">
        <v>1584</v>
      </c>
      <c r="I9" s="6" t="s">
        <v>1585</v>
      </c>
      <c r="J9" s="6">
        <v>12</v>
      </c>
      <c r="K9" s="6" t="s">
        <v>19</v>
      </c>
      <c r="L9" s="10">
        <v>133.21</v>
      </c>
      <c r="M9" s="6" t="s">
        <v>33</v>
      </c>
      <c r="N9" s="10">
        <f>Tabla6[[#This Row],[Price]]*Tabla6[[#This Row],[QTY Adjusted]]</f>
        <v>1598.52</v>
      </c>
      <c r="O9" s="10">
        <v>1598.52</v>
      </c>
      <c r="P9" s="22" t="s">
        <v>4225</v>
      </c>
      <c r="Q9" s="6">
        <v>0</v>
      </c>
    </row>
    <row r="10" spans="1:17" ht="41.4" customHeight="1" x14ac:dyDescent="0.3">
      <c r="A10" s="6">
        <v>815</v>
      </c>
      <c r="B10" s="6" t="s">
        <v>1494</v>
      </c>
      <c r="C10" s="6" t="s">
        <v>561</v>
      </c>
      <c r="D10" s="6" t="s">
        <v>44</v>
      </c>
      <c r="E10" s="6" t="s">
        <v>1496</v>
      </c>
      <c r="F10" s="6" t="s">
        <v>4059</v>
      </c>
      <c r="G10" s="6" t="s">
        <v>1574</v>
      </c>
      <c r="H10" s="6" t="s">
        <v>1575</v>
      </c>
      <c r="I10" s="6" t="s">
        <v>1576</v>
      </c>
      <c r="J10" s="6">
        <v>4</v>
      </c>
      <c r="K10" s="6" t="s">
        <v>19</v>
      </c>
      <c r="L10" s="10">
        <v>272.58</v>
      </c>
      <c r="M10" s="6" t="s">
        <v>33</v>
      </c>
      <c r="N10" s="10">
        <f>Tabla6[[#This Row],[Price]]*Tabla6[[#This Row],[QTY Adjusted]]</f>
        <v>1090.32</v>
      </c>
      <c r="O10" s="10">
        <v>1090.32</v>
      </c>
      <c r="P10" s="22" t="s">
        <v>4225</v>
      </c>
      <c r="Q10" s="6">
        <v>0</v>
      </c>
    </row>
    <row r="11" spans="1:17" ht="41.4" customHeight="1" x14ac:dyDescent="0.3">
      <c r="A11" s="6">
        <v>808</v>
      </c>
      <c r="B11" s="6" t="s">
        <v>1494</v>
      </c>
      <c r="C11" s="6" t="s">
        <v>561</v>
      </c>
      <c r="D11" s="6" t="s">
        <v>44</v>
      </c>
      <c r="E11" s="6" t="s">
        <v>1496</v>
      </c>
      <c r="F11" s="6" t="s">
        <v>4059</v>
      </c>
      <c r="G11" s="6" t="s">
        <v>1553</v>
      </c>
      <c r="H11" s="6" t="s">
        <v>1554</v>
      </c>
      <c r="I11" s="6" t="s">
        <v>1555</v>
      </c>
      <c r="J11" s="6">
        <v>6</v>
      </c>
      <c r="K11" s="6" t="s">
        <v>19</v>
      </c>
      <c r="L11" s="10">
        <v>174.3</v>
      </c>
      <c r="M11" s="6" t="s">
        <v>33</v>
      </c>
      <c r="N11" s="10">
        <f>Tabla6[[#This Row],[Price]]*Tabla6[[#This Row],[QTY Adjusted]]</f>
        <v>1045.8000000000002</v>
      </c>
      <c r="O11" s="10">
        <v>1045.8000000000002</v>
      </c>
      <c r="P11" s="22" t="s">
        <v>4225</v>
      </c>
      <c r="Q11" s="6">
        <v>0</v>
      </c>
    </row>
    <row r="12" spans="1:17" ht="41.4" customHeight="1" x14ac:dyDescent="0.3">
      <c r="A12" s="6">
        <v>809</v>
      </c>
      <c r="B12" s="6" t="s">
        <v>1494</v>
      </c>
      <c r="C12" s="6" t="s">
        <v>561</v>
      </c>
      <c r="D12" s="6" t="s">
        <v>44</v>
      </c>
      <c r="E12" s="6" t="s">
        <v>1496</v>
      </c>
      <c r="F12" s="6" t="s">
        <v>4059</v>
      </c>
      <c r="G12" s="6" t="s">
        <v>1556</v>
      </c>
      <c r="H12" s="6" t="s">
        <v>1557</v>
      </c>
      <c r="I12" s="6" t="s">
        <v>1558</v>
      </c>
      <c r="J12" s="6">
        <v>6</v>
      </c>
      <c r="K12" s="6" t="s">
        <v>19</v>
      </c>
      <c r="L12" s="10">
        <v>155.6275</v>
      </c>
      <c r="M12" s="6" t="s">
        <v>33</v>
      </c>
      <c r="N12" s="10">
        <f>Tabla6[[#This Row],[Price]]*Tabla6[[#This Row],[QTY Adjusted]]</f>
        <v>933.76499999999999</v>
      </c>
      <c r="O12" s="10">
        <v>933.76499999999999</v>
      </c>
      <c r="P12" s="22" t="s">
        <v>4225</v>
      </c>
      <c r="Q12" s="6">
        <v>0</v>
      </c>
    </row>
    <row r="13" spans="1:17" ht="41.4" customHeight="1" x14ac:dyDescent="0.3">
      <c r="A13" s="6">
        <v>786</v>
      </c>
      <c r="B13" s="6" t="s">
        <v>1494</v>
      </c>
      <c r="C13" s="6" t="s">
        <v>502</v>
      </c>
      <c r="D13" s="6" t="str">
        <f>Tabla6[[#This Row],[Vendor]]</f>
        <v>Hacha</v>
      </c>
      <c r="E13" s="6" t="s">
        <v>1496</v>
      </c>
      <c r="F13" s="6" t="s">
        <v>4060</v>
      </c>
      <c r="G13" s="6" t="s">
        <v>1517</v>
      </c>
      <c r="H13" s="6" t="s">
        <v>1518</v>
      </c>
      <c r="I13" s="6" t="s">
        <v>1519</v>
      </c>
      <c r="J13" s="6">
        <v>51</v>
      </c>
      <c r="K13" s="6" t="s">
        <v>19</v>
      </c>
      <c r="L13" s="10">
        <v>298</v>
      </c>
      <c r="M13" s="6" t="s">
        <v>20</v>
      </c>
      <c r="N13" s="10">
        <f>Tabla6[[#This Row],[Price]]*Tabla6[[#This Row],[QTY Adjusted]]</f>
        <v>15198</v>
      </c>
      <c r="O13" s="10">
        <v>779.38461538461536</v>
      </c>
      <c r="P13" s="10" t="s">
        <v>4226</v>
      </c>
      <c r="Q13" s="6">
        <v>0</v>
      </c>
    </row>
    <row r="14" spans="1:17" ht="41.4" customHeight="1" x14ac:dyDescent="0.3">
      <c r="A14" s="6">
        <v>788</v>
      </c>
      <c r="B14" s="6" t="s">
        <v>1494</v>
      </c>
      <c r="C14" s="6" t="s">
        <v>502</v>
      </c>
      <c r="D14" s="6" t="str">
        <f>Tabla6[[#This Row],[Vendor]]</f>
        <v>Hacha</v>
      </c>
      <c r="E14" s="6" t="s">
        <v>1496</v>
      </c>
      <c r="F14" s="6" t="s">
        <v>4060</v>
      </c>
      <c r="G14" s="6" t="s">
        <v>1523</v>
      </c>
      <c r="H14" s="6" t="s">
        <v>1524</v>
      </c>
      <c r="I14" s="6" t="s">
        <v>1525</v>
      </c>
      <c r="J14" s="6">
        <v>51</v>
      </c>
      <c r="K14" s="6" t="s">
        <v>19</v>
      </c>
      <c r="L14" s="10">
        <v>298</v>
      </c>
      <c r="M14" s="6" t="s">
        <v>20</v>
      </c>
      <c r="N14" s="10">
        <f>Tabla6[[#This Row],[Price]]*Tabla6[[#This Row],[QTY Adjusted]]</f>
        <v>15198</v>
      </c>
      <c r="O14" s="10">
        <v>779.38461538461536</v>
      </c>
      <c r="P14" s="10" t="s">
        <v>4226</v>
      </c>
      <c r="Q14" s="6">
        <v>0</v>
      </c>
    </row>
    <row r="15" spans="1:17" ht="41.4" customHeight="1" x14ac:dyDescent="0.3">
      <c r="A15" s="6">
        <v>789</v>
      </c>
      <c r="B15" s="6" t="s">
        <v>1494</v>
      </c>
      <c r="C15" s="6" t="s">
        <v>502</v>
      </c>
      <c r="D15" s="6" t="str">
        <f>Tabla6[[#This Row],[Vendor]]</f>
        <v>Hacha</v>
      </c>
      <c r="E15" s="6" t="s">
        <v>1496</v>
      </c>
      <c r="F15" s="6" t="s">
        <v>4060</v>
      </c>
      <c r="G15" s="6" t="s">
        <v>1526</v>
      </c>
      <c r="H15" s="6" t="s">
        <v>1527</v>
      </c>
      <c r="I15" s="6" t="s">
        <v>1528</v>
      </c>
      <c r="J15" s="6">
        <v>34</v>
      </c>
      <c r="K15" s="6" t="s">
        <v>19</v>
      </c>
      <c r="L15" s="10">
        <v>439</v>
      </c>
      <c r="M15" s="6" t="s">
        <v>20</v>
      </c>
      <c r="N15" s="10">
        <f>Tabla6[[#This Row],[Price]]*Tabla6[[#This Row],[QTY Adjusted]]</f>
        <v>14926</v>
      </c>
      <c r="O15" s="10">
        <v>765.43589743589746</v>
      </c>
      <c r="P15" s="10" t="s">
        <v>4226</v>
      </c>
      <c r="Q15" s="6">
        <v>0</v>
      </c>
    </row>
    <row r="16" spans="1:17" ht="41.4" customHeight="1" x14ac:dyDescent="0.3">
      <c r="A16" s="6">
        <v>791</v>
      </c>
      <c r="B16" s="6" t="s">
        <v>1494</v>
      </c>
      <c r="C16" s="6" t="s">
        <v>502</v>
      </c>
      <c r="D16" s="6" t="str">
        <f>Tabla6[[#This Row],[Vendor]]</f>
        <v>Hacha</v>
      </c>
      <c r="E16" s="6" t="s">
        <v>1496</v>
      </c>
      <c r="F16" s="6" t="s">
        <v>4060</v>
      </c>
      <c r="G16" s="6" t="s">
        <v>1531</v>
      </c>
      <c r="H16" s="6" t="s">
        <v>1532</v>
      </c>
      <c r="I16" s="6" t="s">
        <v>1533</v>
      </c>
      <c r="J16" s="6">
        <v>15</v>
      </c>
      <c r="K16" s="6" t="s">
        <v>19</v>
      </c>
      <c r="L16" s="10">
        <v>976</v>
      </c>
      <c r="M16" s="6" t="s">
        <v>20</v>
      </c>
      <c r="N16" s="10">
        <f>Tabla6[[#This Row],[Price]]*Tabla6[[#This Row],[QTY Adjusted]]</f>
        <v>14640</v>
      </c>
      <c r="O16" s="10">
        <v>750.76923076923072</v>
      </c>
      <c r="P16" s="10" t="s">
        <v>4226</v>
      </c>
      <c r="Q16" s="6">
        <v>0</v>
      </c>
    </row>
    <row r="17" spans="1:17" ht="41.4" customHeight="1" x14ac:dyDescent="0.3">
      <c r="A17" s="6">
        <v>811</v>
      </c>
      <c r="B17" s="6" t="s">
        <v>1494</v>
      </c>
      <c r="C17" s="6" t="s">
        <v>561</v>
      </c>
      <c r="D17" s="6" t="s">
        <v>44</v>
      </c>
      <c r="E17" s="6" t="s">
        <v>1496</v>
      </c>
      <c r="F17" s="6" t="s">
        <v>4059</v>
      </c>
      <c r="G17" s="6" t="s">
        <v>1562</v>
      </c>
      <c r="H17" s="6" t="s">
        <v>1563</v>
      </c>
      <c r="I17" s="6" t="s">
        <v>1564</v>
      </c>
      <c r="J17" s="6">
        <v>6</v>
      </c>
      <c r="K17" s="6" t="s">
        <v>19</v>
      </c>
      <c r="L17" s="10">
        <v>139.73750000000001</v>
      </c>
      <c r="M17" s="6" t="s">
        <v>33</v>
      </c>
      <c r="N17" s="10">
        <f>Tabla6[[#This Row],[Price]]*Tabla6[[#This Row],[QTY Adjusted]]</f>
        <v>838.42500000000007</v>
      </c>
      <c r="O17" s="10">
        <v>838.42500000000007</v>
      </c>
      <c r="P17" s="22" t="s">
        <v>4225</v>
      </c>
      <c r="Q17" s="6">
        <v>0</v>
      </c>
    </row>
    <row r="18" spans="1:17" ht="41.4" customHeight="1" x14ac:dyDescent="0.3">
      <c r="A18" s="6">
        <v>816</v>
      </c>
      <c r="B18" s="6" t="s">
        <v>1494</v>
      </c>
      <c r="C18" s="6" t="s">
        <v>561</v>
      </c>
      <c r="D18" s="6" t="s">
        <v>44</v>
      </c>
      <c r="E18" s="6" t="s">
        <v>1496</v>
      </c>
      <c r="F18" s="6" t="s">
        <v>4059</v>
      </c>
      <c r="G18" s="6" t="s">
        <v>1021</v>
      </c>
      <c r="H18" s="6" t="s">
        <v>1020</v>
      </c>
      <c r="I18" s="6" t="s">
        <v>1022</v>
      </c>
      <c r="J18" s="6">
        <v>4</v>
      </c>
      <c r="K18" s="6" t="s">
        <v>19</v>
      </c>
      <c r="L18" s="10">
        <v>198.1</v>
      </c>
      <c r="M18" s="6" t="s">
        <v>33</v>
      </c>
      <c r="N18" s="10">
        <f>Tabla6[[#This Row],[Price]]*Tabla6[[#This Row],[QTY Adjusted]]</f>
        <v>792.4</v>
      </c>
      <c r="O18" s="10">
        <v>792.4</v>
      </c>
      <c r="P18" s="22" t="s">
        <v>4225</v>
      </c>
      <c r="Q18" s="6">
        <v>0</v>
      </c>
    </row>
    <row r="19" spans="1:17" ht="41.4" customHeight="1" x14ac:dyDescent="0.3">
      <c r="A19" s="6">
        <v>774</v>
      </c>
      <c r="B19" s="6" t="s">
        <v>1494</v>
      </c>
      <c r="C19" s="6" t="s">
        <v>1503</v>
      </c>
      <c r="D19" s="6" t="s">
        <v>44</v>
      </c>
      <c r="E19" s="6" t="s">
        <v>1496</v>
      </c>
      <c r="F19" s="6" t="s">
        <v>4059</v>
      </c>
      <c r="G19" s="6" t="s">
        <v>1507</v>
      </c>
      <c r="H19" s="6" t="s">
        <v>1508</v>
      </c>
      <c r="I19" s="6" t="s">
        <v>1509</v>
      </c>
      <c r="J19" s="6">
        <v>20</v>
      </c>
      <c r="K19" s="6" t="s">
        <v>19</v>
      </c>
      <c r="L19" s="10">
        <v>36.96</v>
      </c>
      <c r="M19" s="6" t="s">
        <v>33</v>
      </c>
      <c r="N19" s="10">
        <f>Tabla6[[#This Row],[Price]]*Tabla6[[#This Row],[QTY Adjusted]]</f>
        <v>739.2</v>
      </c>
      <c r="O19" s="10">
        <v>739.2</v>
      </c>
      <c r="P19" s="10" t="s">
        <v>4225</v>
      </c>
      <c r="Q19" s="6">
        <v>0</v>
      </c>
    </row>
    <row r="20" spans="1:17" ht="41.4" customHeight="1" x14ac:dyDescent="0.3">
      <c r="A20" s="6">
        <v>804</v>
      </c>
      <c r="B20" s="6" t="s">
        <v>1494</v>
      </c>
      <c r="C20" s="6" t="s">
        <v>519</v>
      </c>
      <c r="D20" s="6" t="str">
        <f>Tabla6[[#This Row],[Vendor]]</f>
        <v>Calaisio</v>
      </c>
      <c r="E20" s="6" t="s">
        <v>1496</v>
      </c>
      <c r="F20" s="6" t="s">
        <v>4059</v>
      </c>
      <c r="G20" s="6" t="s">
        <v>520</v>
      </c>
      <c r="H20" s="6" t="s">
        <v>125</v>
      </c>
      <c r="I20" s="6" t="s">
        <v>521</v>
      </c>
      <c r="J20" s="6">
        <v>6</v>
      </c>
      <c r="K20" s="6" t="s">
        <v>19</v>
      </c>
      <c r="L20" s="10">
        <v>117.8</v>
      </c>
      <c r="M20" s="6" t="s">
        <v>33</v>
      </c>
      <c r="N20" s="10">
        <f>Tabla6[[#This Row],[Price]]*Tabla6[[#This Row],[QTY Adjusted]]</f>
        <v>706.8</v>
      </c>
      <c r="O20" s="10">
        <v>706.8</v>
      </c>
      <c r="P20" s="10" t="s">
        <v>4239</v>
      </c>
      <c r="Q20" s="6">
        <v>0</v>
      </c>
    </row>
    <row r="21" spans="1:17" ht="41.4" customHeight="1" x14ac:dyDescent="0.3">
      <c r="A21" s="6">
        <v>807</v>
      </c>
      <c r="B21" s="6" t="s">
        <v>1494</v>
      </c>
      <c r="C21" s="6" t="s">
        <v>561</v>
      </c>
      <c r="D21" s="6" t="s">
        <v>44</v>
      </c>
      <c r="E21" s="6" t="s">
        <v>1496</v>
      </c>
      <c r="F21" s="6" t="s">
        <v>4059</v>
      </c>
      <c r="G21" s="6" t="s">
        <v>1550</v>
      </c>
      <c r="H21" s="6" t="s">
        <v>1551</v>
      </c>
      <c r="I21" s="6" t="s">
        <v>1552</v>
      </c>
      <c r="J21" s="6">
        <v>29</v>
      </c>
      <c r="K21" s="6" t="s">
        <v>19</v>
      </c>
      <c r="L21" s="10">
        <v>20.737500000000001</v>
      </c>
      <c r="M21" s="6" t="s">
        <v>33</v>
      </c>
      <c r="N21" s="10">
        <f>Tabla6[[#This Row],[Price]]*Tabla6[[#This Row],[QTY Adjusted]]</f>
        <v>601.38750000000005</v>
      </c>
      <c r="O21" s="10">
        <v>601.38750000000005</v>
      </c>
      <c r="P21" s="22" t="s">
        <v>4225</v>
      </c>
      <c r="Q21" s="6">
        <v>0</v>
      </c>
    </row>
    <row r="22" spans="1:17" ht="41.4" customHeight="1" x14ac:dyDescent="0.3">
      <c r="A22" s="6">
        <v>785</v>
      </c>
      <c r="B22" s="6" t="s">
        <v>1494</v>
      </c>
      <c r="C22" s="6" t="s">
        <v>502</v>
      </c>
      <c r="D22" s="6" t="str">
        <f>Tabla6[[#This Row],[Vendor]]</f>
        <v>Hacha</v>
      </c>
      <c r="E22" s="6" t="s">
        <v>1496</v>
      </c>
      <c r="F22" s="6" t="s">
        <v>4060</v>
      </c>
      <c r="G22" s="6" t="s">
        <v>1514</v>
      </c>
      <c r="H22" s="6" t="s">
        <v>1515</v>
      </c>
      <c r="I22" s="6" t="s">
        <v>1516</v>
      </c>
      <c r="J22" s="6">
        <v>51</v>
      </c>
      <c r="K22" s="6" t="s">
        <v>19</v>
      </c>
      <c r="L22" s="10">
        <v>228</v>
      </c>
      <c r="M22" s="6" t="s">
        <v>20</v>
      </c>
      <c r="N22" s="10">
        <f>Tabla6[[#This Row],[Price]]*Tabla6[[#This Row],[QTY Adjusted]]</f>
        <v>11628</v>
      </c>
      <c r="O22" s="10">
        <v>596.30769230769226</v>
      </c>
      <c r="P22" s="10" t="s">
        <v>4226</v>
      </c>
      <c r="Q22" s="6">
        <v>0</v>
      </c>
    </row>
    <row r="23" spans="1:17" ht="41.4" customHeight="1" x14ac:dyDescent="0.3">
      <c r="A23" s="6">
        <v>787</v>
      </c>
      <c r="B23" s="6" t="s">
        <v>1494</v>
      </c>
      <c r="C23" s="6" t="s">
        <v>502</v>
      </c>
      <c r="D23" s="6" t="str">
        <f>Tabla6[[#This Row],[Vendor]]</f>
        <v>Hacha</v>
      </c>
      <c r="E23" s="6" t="s">
        <v>1496</v>
      </c>
      <c r="F23" s="6" t="s">
        <v>4060</v>
      </c>
      <c r="G23" s="6" t="s">
        <v>1520</v>
      </c>
      <c r="H23" s="6" t="s">
        <v>1521</v>
      </c>
      <c r="I23" s="6" t="s">
        <v>1522</v>
      </c>
      <c r="J23" s="6">
        <v>51</v>
      </c>
      <c r="K23" s="6" t="s">
        <v>19</v>
      </c>
      <c r="L23" s="10">
        <v>217</v>
      </c>
      <c r="M23" s="6" t="s">
        <v>20</v>
      </c>
      <c r="N23" s="10">
        <f>Tabla6[[#This Row],[Price]]*Tabla6[[#This Row],[QTY Adjusted]]</f>
        <v>11067</v>
      </c>
      <c r="O23" s="10">
        <v>567.53846153846155</v>
      </c>
      <c r="P23" s="10" t="s">
        <v>4226</v>
      </c>
      <c r="Q23" s="6">
        <v>0</v>
      </c>
    </row>
    <row r="24" spans="1:17" ht="41.4" customHeight="1" x14ac:dyDescent="0.3">
      <c r="A24" s="6">
        <v>799</v>
      </c>
      <c r="B24" s="6" t="s">
        <v>1494</v>
      </c>
      <c r="C24" s="6" t="s">
        <v>502</v>
      </c>
      <c r="D24" s="6" t="str">
        <f>Tabla6[[#This Row],[Vendor]]</f>
        <v>Hacha</v>
      </c>
      <c r="E24" s="6" t="s">
        <v>1496</v>
      </c>
      <c r="F24" s="6" t="s">
        <v>4060</v>
      </c>
      <c r="G24" s="6" t="s">
        <v>513</v>
      </c>
      <c r="H24" s="6" t="s">
        <v>514</v>
      </c>
      <c r="I24" s="6" t="s">
        <v>515</v>
      </c>
      <c r="J24" s="6">
        <v>51</v>
      </c>
      <c r="K24" s="6" t="s">
        <v>19</v>
      </c>
      <c r="L24" s="10">
        <v>217</v>
      </c>
      <c r="M24" s="6" t="s">
        <v>20</v>
      </c>
      <c r="N24" s="10">
        <f>Tabla6[[#This Row],[Price]]*Tabla6[[#This Row],[QTY Adjusted]]</f>
        <v>11067</v>
      </c>
      <c r="O24" s="10">
        <v>567.53846153846155</v>
      </c>
      <c r="P24" s="10" t="s">
        <v>4226</v>
      </c>
      <c r="Q24" s="6">
        <v>0</v>
      </c>
    </row>
    <row r="25" spans="1:17" ht="41.4" customHeight="1" x14ac:dyDescent="0.3">
      <c r="A25" s="6">
        <v>800</v>
      </c>
      <c r="B25" s="6" t="s">
        <v>1494</v>
      </c>
      <c r="C25" s="6" t="s">
        <v>502</v>
      </c>
      <c r="D25" s="6" t="str">
        <f>Tabla6[[#This Row],[Vendor]]</f>
        <v>Hacha</v>
      </c>
      <c r="E25" s="6" t="s">
        <v>1496</v>
      </c>
      <c r="F25" s="6" t="s">
        <v>4060</v>
      </c>
      <c r="G25" s="6" t="s">
        <v>516</v>
      </c>
      <c r="H25" s="6" t="s">
        <v>517</v>
      </c>
      <c r="I25" s="6" t="s">
        <v>518</v>
      </c>
      <c r="J25" s="6">
        <v>51</v>
      </c>
      <c r="K25" s="6" t="s">
        <v>19</v>
      </c>
      <c r="L25" s="10">
        <v>206</v>
      </c>
      <c r="M25" s="6" t="s">
        <v>20</v>
      </c>
      <c r="N25" s="10">
        <f>Tabla6[[#This Row],[Price]]*Tabla6[[#This Row],[QTY Adjusted]]</f>
        <v>10506</v>
      </c>
      <c r="O25" s="10">
        <v>538.76923076923072</v>
      </c>
      <c r="P25" s="10" t="s">
        <v>4226</v>
      </c>
      <c r="Q25" s="6">
        <v>0</v>
      </c>
    </row>
    <row r="26" spans="1:17" ht="41.4" customHeight="1" x14ac:dyDescent="0.3">
      <c r="A26" s="6">
        <v>817</v>
      </c>
      <c r="B26" s="6" t="s">
        <v>1494</v>
      </c>
      <c r="C26" s="6" t="s">
        <v>561</v>
      </c>
      <c r="D26" s="6" t="s">
        <v>44</v>
      </c>
      <c r="E26" s="6" t="s">
        <v>1496</v>
      </c>
      <c r="F26" s="6" t="s">
        <v>4059</v>
      </c>
      <c r="G26" s="6" t="s">
        <v>1024</v>
      </c>
      <c r="H26" s="6" t="s">
        <v>1577</v>
      </c>
      <c r="I26" s="6" t="s">
        <v>1025</v>
      </c>
      <c r="J26" s="6">
        <v>8</v>
      </c>
      <c r="K26" s="6" t="s">
        <v>19</v>
      </c>
      <c r="L26" s="10">
        <v>69.107500000000002</v>
      </c>
      <c r="M26" s="6" t="s">
        <v>33</v>
      </c>
      <c r="N26" s="10">
        <f>Tabla6[[#This Row],[Price]]*Tabla6[[#This Row],[QTY Adjusted]]</f>
        <v>552.86</v>
      </c>
      <c r="O26" s="10">
        <v>552.86</v>
      </c>
      <c r="P26" s="22">
        <v>46091</v>
      </c>
      <c r="Q26" s="6">
        <v>0</v>
      </c>
    </row>
    <row r="27" spans="1:17" ht="41.4" customHeight="1" x14ac:dyDescent="0.3">
      <c r="A27" s="6">
        <v>795</v>
      </c>
      <c r="B27" s="6" t="s">
        <v>1494</v>
      </c>
      <c r="C27" s="6" t="s">
        <v>502</v>
      </c>
      <c r="D27" s="6" t="str">
        <f>Tabla6[[#This Row],[Vendor]]</f>
        <v>Hacha</v>
      </c>
      <c r="E27" s="6" t="s">
        <v>1496</v>
      </c>
      <c r="F27" s="6" t="s">
        <v>4060</v>
      </c>
      <c r="G27" s="6" t="s">
        <v>505</v>
      </c>
      <c r="H27" s="6" t="s">
        <v>112</v>
      </c>
      <c r="I27" s="6" t="s">
        <v>1539</v>
      </c>
      <c r="J27" s="6">
        <v>22</v>
      </c>
      <c r="K27" s="6" t="s">
        <v>19</v>
      </c>
      <c r="L27" s="10">
        <v>401</v>
      </c>
      <c r="M27" s="6" t="s">
        <v>20</v>
      </c>
      <c r="N27" s="10">
        <f>Tabla6[[#This Row],[Price]]*Tabla6[[#This Row],[QTY Adjusted]]</f>
        <v>8822</v>
      </c>
      <c r="O27" s="10">
        <v>452.41025641025641</v>
      </c>
      <c r="P27" s="10" t="s">
        <v>4226</v>
      </c>
      <c r="Q27" s="6">
        <v>0</v>
      </c>
    </row>
    <row r="28" spans="1:17" ht="41.4" customHeight="1" x14ac:dyDescent="0.3">
      <c r="A28" s="6">
        <v>770</v>
      </c>
      <c r="B28" s="6" t="s">
        <v>1494</v>
      </c>
      <c r="C28" s="6" t="s">
        <v>1495</v>
      </c>
      <c r="D28" s="6" t="s">
        <v>493</v>
      </c>
      <c r="E28" s="6" t="s">
        <v>1496</v>
      </c>
      <c r="F28" s="6" t="s">
        <v>4062</v>
      </c>
      <c r="G28" s="6" t="s">
        <v>1497</v>
      </c>
      <c r="H28" s="6" t="s">
        <v>1383</v>
      </c>
      <c r="I28" s="6" t="s">
        <v>1498</v>
      </c>
      <c r="J28" s="6">
        <v>14</v>
      </c>
      <c r="K28" s="6" t="s">
        <v>19</v>
      </c>
      <c r="L28" s="10">
        <v>37.5</v>
      </c>
      <c r="M28" s="6" t="s">
        <v>33</v>
      </c>
      <c r="N28" s="10">
        <f>Tabla6[[#This Row],[Price]]*Tabla6[[#This Row],[QTY Adjusted]]</f>
        <v>525</v>
      </c>
      <c r="O28" s="10">
        <v>525</v>
      </c>
      <c r="P28" s="10" t="s">
        <v>4218</v>
      </c>
      <c r="Q28" s="6" t="s">
        <v>4245</v>
      </c>
    </row>
    <row r="29" spans="1:17" ht="41.4" customHeight="1" x14ac:dyDescent="0.3">
      <c r="A29" s="6">
        <v>813</v>
      </c>
      <c r="B29" s="6" t="s">
        <v>1494</v>
      </c>
      <c r="C29" s="6" t="s">
        <v>561</v>
      </c>
      <c r="D29" s="6" t="s">
        <v>44</v>
      </c>
      <c r="E29" s="6" t="s">
        <v>1496</v>
      </c>
      <c r="F29" s="6" t="s">
        <v>4059</v>
      </c>
      <c r="G29" s="6" t="s">
        <v>1568</v>
      </c>
      <c r="H29" s="6" t="s">
        <v>1569</v>
      </c>
      <c r="I29" s="6" t="s">
        <v>1570</v>
      </c>
      <c r="J29" s="6">
        <v>2</v>
      </c>
      <c r="K29" s="6" t="s">
        <v>19</v>
      </c>
      <c r="L29" s="10">
        <v>238.01750000000001</v>
      </c>
      <c r="M29" s="6" t="s">
        <v>33</v>
      </c>
      <c r="N29" s="10">
        <f>Tabla6[[#This Row],[Price]]*Tabla6[[#This Row],[QTY Adjusted]]</f>
        <v>476.03500000000003</v>
      </c>
      <c r="O29" s="10">
        <v>476.03500000000003</v>
      </c>
      <c r="P29" s="22" t="s">
        <v>4225</v>
      </c>
      <c r="Q29" s="6">
        <v>0</v>
      </c>
    </row>
    <row r="30" spans="1:17" ht="41.4" customHeight="1" x14ac:dyDescent="0.3">
      <c r="A30" s="6">
        <v>772</v>
      </c>
      <c r="B30" s="6" t="s">
        <v>1494</v>
      </c>
      <c r="C30" s="6" t="s">
        <v>34</v>
      </c>
      <c r="D30" s="6" t="str">
        <f>Tabla6[[#This Row],[Vendor]]</f>
        <v>Casa Rovea</v>
      </c>
      <c r="E30" s="6" t="s">
        <v>1496</v>
      </c>
      <c r="F30" s="6" t="s">
        <v>4061</v>
      </c>
      <c r="G30" s="6" t="s">
        <v>1501</v>
      </c>
      <c r="H30" s="6" t="s">
        <v>36</v>
      </c>
      <c r="I30" s="6" t="s">
        <v>1502</v>
      </c>
      <c r="J30" s="6">
        <v>68</v>
      </c>
      <c r="K30" s="6" t="s">
        <v>19</v>
      </c>
      <c r="L30" s="10">
        <v>4.9800000000000004</v>
      </c>
      <c r="M30" s="6" t="s">
        <v>28</v>
      </c>
      <c r="N30" s="10">
        <f>Tabla6[[#This Row],[Price]]*Tabla6[[#This Row],[QTY Adjusted]]</f>
        <v>338.64000000000004</v>
      </c>
      <c r="O30" s="10">
        <v>392.82240000000002</v>
      </c>
      <c r="P30" s="10" t="s">
        <v>4224</v>
      </c>
      <c r="Q30" s="6">
        <v>0</v>
      </c>
    </row>
    <row r="31" spans="1:17" ht="41.4" customHeight="1" x14ac:dyDescent="0.3">
      <c r="A31" s="6">
        <v>796</v>
      </c>
      <c r="B31" s="6" t="s">
        <v>1494</v>
      </c>
      <c r="C31" s="6" t="s">
        <v>502</v>
      </c>
      <c r="D31" s="6" t="str">
        <f>Tabla6[[#This Row],[Vendor]]</f>
        <v>Hacha</v>
      </c>
      <c r="E31" s="6" t="s">
        <v>1496</v>
      </c>
      <c r="F31" s="6" t="s">
        <v>4060</v>
      </c>
      <c r="G31" s="6" t="s">
        <v>1540</v>
      </c>
      <c r="H31" s="6" t="s">
        <v>1541</v>
      </c>
      <c r="I31" s="6" t="s">
        <v>1542</v>
      </c>
      <c r="J31" s="6">
        <v>22</v>
      </c>
      <c r="K31" s="6" t="s">
        <v>19</v>
      </c>
      <c r="L31" s="10">
        <v>331</v>
      </c>
      <c r="M31" s="6" t="s">
        <v>20</v>
      </c>
      <c r="N31" s="10">
        <f>Tabla6[[#This Row],[Price]]*Tabla6[[#This Row],[QTY Adjusted]]</f>
        <v>7282</v>
      </c>
      <c r="O31" s="10">
        <v>373.43589743589746</v>
      </c>
      <c r="P31" s="10" t="s">
        <v>4226</v>
      </c>
      <c r="Q31" s="6">
        <v>0</v>
      </c>
    </row>
    <row r="32" spans="1:17" ht="41.4" customHeight="1" x14ac:dyDescent="0.3">
      <c r="A32" s="6">
        <v>812</v>
      </c>
      <c r="B32" s="6" t="s">
        <v>1494</v>
      </c>
      <c r="C32" s="6" t="s">
        <v>561</v>
      </c>
      <c r="D32" s="6" t="s">
        <v>44</v>
      </c>
      <c r="E32" s="6" t="s">
        <v>1496</v>
      </c>
      <c r="F32" s="6" t="s">
        <v>4059</v>
      </c>
      <c r="G32" s="6" t="s">
        <v>1565</v>
      </c>
      <c r="H32" s="6" t="s">
        <v>1566</v>
      </c>
      <c r="I32" s="6" t="s">
        <v>1567</v>
      </c>
      <c r="J32" s="6">
        <v>2</v>
      </c>
      <c r="K32" s="6" t="s">
        <v>19</v>
      </c>
      <c r="L32" s="10">
        <v>207.30500000000001</v>
      </c>
      <c r="M32" s="6" t="s">
        <v>33</v>
      </c>
      <c r="N32" s="10">
        <f>Tabla6[[#This Row],[Price]]*Tabla6[[#This Row],[QTY Adjusted]]</f>
        <v>414.61</v>
      </c>
      <c r="O32" s="10">
        <v>414.61</v>
      </c>
      <c r="P32" s="22" t="s">
        <v>4225</v>
      </c>
      <c r="Q32" s="6">
        <v>0</v>
      </c>
    </row>
    <row r="33" spans="1:17" ht="41.4" customHeight="1" x14ac:dyDescent="0.3">
      <c r="A33" s="6">
        <v>794</v>
      </c>
      <c r="B33" s="6" t="s">
        <v>1494</v>
      </c>
      <c r="C33" s="6" t="s">
        <v>502</v>
      </c>
      <c r="D33" s="6" t="str">
        <f>Tabla6[[#This Row],[Vendor]]</f>
        <v>Hacha</v>
      </c>
      <c r="E33" s="6" t="s">
        <v>1496</v>
      </c>
      <c r="F33" s="6" t="s">
        <v>4060</v>
      </c>
      <c r="G33" s="6" t="s">
        <v>503</v>
      </c>
      <c r="H33" s="6" t="s">
        <v>110</v>
      </c>
      <c r="I33" s="6" t="s">
        <v>504</v>
      </c>
      <c r="J33" s="6">
        <v>22</v>
      </c>
      <c r="K33" s="6" t="s">
        <v>19</v>
      </c>
      <c r="L33" s="10">
        <v>304</v>
      </c>
      <c r="M33" s="6" t="s">
        <v>20</v>
      </c>
      <c r="N33" s="10">
        <f>Tabla6[[#This Row],[Price]]*Tabla6[[#This Row],[QTY Adjusted]]</f>
        <v>6688</v>
      </c>
      <c r="O33" s="10">
        <v>342.97435897435895</v>
      </c>
      <c r="P33" s="10" t="s">
        <v>4226</v>
      </c>
      <c r="Q33" s="6">
        <v>0</v>
      </c>
    </row>
    <row r="34" spans="1:17" ht="41.4" customHeight="1" x14ac:dyDescent="0.3">
      <c r="A34" s="6">
        <v>825</v>
      </c>
      <c r="B34" s="6" t="s">
        <v>1494</v>
      </c>
      <c r="C34" s="6" t="s">
        <v>1592</v>
      </c>
      <c r="D34" s="6" t="str">
        <f>Tabla6[[#This Row],[Vendor]]</f>
        <v>CYS Excel</v>
      </c>
      <c r="E34" s="6" t="s">
        <v>1496</v>
      </c>
      <c r="F34" s="6" t="s">
        <v>4059</v>
      </c>
      <c r="G34" s="6" t="s">
        <v>1596</v>
      </c>
      <c r="H34" s="6" t="s">
        <v>1594</v>
      </c>
      <c r="I34" s="14" t="s">
        <v>1597</v>
      </c>
      <c r="J34" s="6">
        <v>4</v>
      </c>
      <c r="K34" s="6" t="s">
        <v>19</v>
      </c>
      <c r="L34" s="10">
        <v>96.75</v>
      </c>
      <c r="M34" s="6" t="s">
        <v>33</v>
      </c>
      <c r="N34" s="10">
        <f>Tabla6[[#This Row],[Price]]*Tabla6[[#This Row],[QTY Adjusted]]</f>
        <v>387</v>
      </c>
      <c r="O34" s="10">
        <v>387</v>
      </c>
      <c r="P34" s="10" t="s">
        <v>4231</v>
      </c>
      <c r="Q34" s="6">
        <v>0</v>
      </c>
    </row>
    <row r="35" spans="1:17" ht="41.4" customHeight="1" x14ac:dyDescent="0.3">
      <c r="A35" s="6">
        <v>797</v>
      </c>
      <c r="B35" s="6" t="s">
        <v>1494</v>
      </c>
      <c r="C35" s="6" t="s">
        <v>502</v>
      </c>
      <c r="D35" s="6" t="str">
        <f>Tabla6[[#This Row],[Vendor]]</f>
        <v>Hacha</v>
      </c>
      <c r="E35" s="6" t="s">
        <v>1496</v>
      </c>
      <c r="F35" s="6" t="s">
        <v>4060</v>
      </c>
      <c r="G35" s="6" t="s">
        <v>507</v>
      </c>
      <c r="H35" s="6" t="s">
        <v>508</v>
      </c>
      <c r="I35" s="6" t="s">
        <v>509</v>
      </c>
      <c r="J35" s="6">
        <v>34</v>
      </c>
      <c r="K35" s="6" t="s">
        <v>19</v>
      </c>
      <c r="L35" s="10">
        <v>184</v>
      </c>
      <c r="M35" s="6" t="s">
        <v>20</v>
      </c>
      <c r="N35" s="10">
        <f>Tabla6[[#This Row],[Price]]*Tabla6[[#This Row],[QTY Adjusted]]</f>
        <v>6256</v>
      </c>
      <c r="O35" s="10">
        <v>320.82051282051282</v>
      </c>
      <c r="P35" s="10" t="s">
        <v>4226</v>
      </c>
      <c r="Q35" s="6">
        <v>0</v>
      </c>
    </row>
    <row r="36" spans="1:17" ht="41.4" customHeight="1" x14ac:dyDescent="0.3">
      <c r="A36" s="6">
        <v>773</v>
      </c>
      <c r="B36" s="6" t="s">
        <v>1494</v>
      </c>
      <c r="C36" s="6" t="s">
        <v>1503</v>
      </c>
      <c r="D36" s="6" t="s">
        <v>44</v>
      </c>
      <c r="E36" s="6" t="s">
        <v>1496</v>
      </c>
      <c r="F36" s="6" t="s">
        <v>4059</v>
      </c>
      <c r="G36" s="6" t="s">
        <v>1504</v>
      </c>
      <c r="H36" s="6" t="s">
        <v>1505</v>
      </c>
      <c r="I36" s="6" t="s">
        <v>1506</v>
      </c>
      <c r="J36" s="6">
        <v>20</v>
      </c>
      <c r="K36" s="6" t="s">
        <v>19</v>
      </c>
      <c r="L36" s="10">
        <v>18.48</v>
      </c>
      <c r="M36" s="6" t="s">
        <v>33</v>
      </c>
      <c r="N36" s="10">
        <f>Tabla6[[#This Row],[Price]]*Tabla6[[#This Row],[QTY Adjusted]]</f>
        <v>369.6</v>
      </c>
      <c r="O36" s="10">
        <v>369.6</v>
      </c>
      <c r="P36" s="10" t="s">
        <v>4225</v>
      </c>
      <c r="Q36" s="6">
        <v>0</v>
      </c>
    </row>
    <row r="37" spans="1:17" ht="41.4" customHeight="1" x14ac:dyDescent="0.3">
      <c r="A37" s="6">
        <v>818</v>
      </c>
      <c r="B37" s="6" t="s">
        <v>1494</v>
      </c>
      <c r="C37" s="6" t="s">
        <v>561</v>
      </c>
      <c r="D37" s="6" t="s">
        <v>44</v>
      </c>
      <c r="E37" s="6" t="s">
        <v>1496</v>
      </c>
      <c r="F37" s="6" t="s">
        <v>4059</v>
      </c>
      <c r="G37" s="6" t="s">
        <v>1015</v>
      </c>
      <c r="H37" s="6" t="s">
        <v>1014</v>
      </c>
      <c r="I37" s="6" t="s">
        <v>1578</v>
      </c>
      <c r="J37" s="6">
        <v>4</v>
      </c>
      <c r="K37" s="6" t="s">
        <v>19</v>
      </c>
      <c r="L37" s="10">
        <v>91.367500000000007</v>
      </c>
      <c r="M37" s="6" t="s">
        <v>33</v>
      </c>
      <c r="N37" s="10">
        <f>Tabla6[[#This Row],[Price]]*Tabla6[[#This Row],[QTY Adjusted]]</f>
        <v>365.47</v>
      </c>
      <c r="O37" s="10">
        <v>365.47</v>
      </c>
      <c r="P37" s="22" t="s">
        <v>4225</v>
      </c>
      <c r="Q37" s="6">
        <v>0</v>
      </c>
    </row>
    <row r="38" spans="1:17" ht="41.4" customHeight="1" x14ac:dyDescent="0.3">
      <c r="A38" s="6">
        <v>784</v>
      </c>
      <c r="B38" s="6" t="s">
        <v>1494</v>
      </c>
      <c r="C38" s="6" t="s">
        <v>502</v>
      </c>
      <c r="D38" s="6" t="str">
        <f>Tabla6[[#This Row],[Vendor]]</f>
        <v>Hacha</v>
      </c>
      <c r="E38" s="6" t="s">
        <v>1496</v>
      </c>
      <c r="F38" s="6" t="s">
        <v>4059</v>
      </c>
      <c r="G38" s="6" t="s">
        <v>510</v>
      </c>
      <c r="H38" s="6" t="s">
        <v>1309</v>
      </c>
      <c r="I38" s="6" t="s">
        <v>512</v>
      </c>
      <c r="J38" s="6">
        <v>36</v>
      </c>
      <c r="K38" s="6" t="s">
        <v>19</v>
      </c>
      <c r="L38" s="10">
        <v>168</v>
      </c>
      <c r="M38" s="6" t="s">
        <v>20</v>
      </c>
      <c r="N38" s="10">
        <f>Tabla6[[#This Row],[Price]]*Tabla6[[#This Row],[QTY Adjusted]]</f>
        <v>6048</v>
      </c>
      <c r="O38" s="10">
        <v>310.15384615384613</v>
      </c>
      <c r="P38" s="10" t="s">
        <v>4226</v>
      </c>
      <c r="Q38" s="6">
        <v>0</v>
      </c>
    </row>
    <row r="39" spans="1:17" ht="41.4" customHeight="1" x14ac:dyDescent="0.3">
      <c r="A39" s="6">
        <v>802</v>
      </c>
      <c r="B39" s="6" t="s">
        <v>1494</v>
      </c>
      <c r="C39" s="6" t="s">
        <v>1543</v>
      </c>
      <c r="D39" s="6" t="s">
        <v>44</v>
      </c>
      <c r="E39" s="6" t="s">
        <v>1496</v>
      </c>
      <c r="F39" s="6" t="s">
        <v>4060</v>
      </c>
      <c r="G39" s="6" t="s">
        <v>1547</v>
      </c>
      <c r="H39" s="6" t="s">
        <v>1548</v>
      </c>
      <c r="I39" s="6" t="s">
        <v>1549</v>
      </c>
      <c r="J39" s="6">
        <v>51</v>
      </c>
      <c r="K39" s="6" t="s">
        <v>19</v>
      </c>
      <c r="L39" s="10">
        <v>5.76</v>
      </c>
      <c r="M39" s="6" t="s">
        <v>33</v>
      </c>
      <c r="N39" s="10">
        <f>Tabla6[[#This Row],[Price]]*Tabla6[[#This Row],[QTY Adjusted]]</f>
        <v>293.76</v>
      </c>
      <c r="O39" s="10">
        <v>293.76</v>
      </c>
      <c r="P39" s="10" t="s">
        <v>4225</v>
      </c>
      <c r="Q39" s="6">
        <v>0</v>
      </c>
    </row>
    <row r="40" spans="1:17" ht="41.4" customHeight="1" x14ac:dyDescent="0.3">
      <c r="A40" s="6">
        <v>814</v>
      </c>
      <c r="B40" s="6" t="s">
        <v>1494</v>
      </c>
      <c r="C40" s="6" t="s">
        <v>561</v>
      </c>
      <c r="D40" s="6" t="s">
        <v>44</v>
      </c>
      <c r="E40" s="6" t="s">
        <v>1496</v>
      </c>
      <c r="F40" s="6" t="s">
        <v>4059</v>
      </c>
      <c r="G40" s="6" t="s">
        <v>1571</v>
      </c>
      <c r="H40" s="6" t="s">
        <v>1572</v>
      </c>
      <c r="I40" s="6" t="s">
        <v>1573</v>
      </c>
      <c r="J40" s="6">
        <v>2</v>
      </c>
      <c r="K40" s="6" t="s">
        <v>19</v>
      </c>
      <c r="L40" s="10">
        <v>167.8425</v>
      </c>
      <c r="M40" s="6" t="s">
        <v>33</v>
      </c>
      <c r="N40" s="10">
        <f>Tabla6[[#This Row],[Price]]*Tabla6[[#This Row],[QTY Adjusted]]</f>
        <v>335.685</v>
      </c>
      <c r="O40" s="10">
        <v>335.685</v>
      </c>
      <c r="P40" s="22" t="s">
        <v>4225</v>
      </c>
      <c r="Q40" s="6">
        <v>0</v>
      </c>
    </row>
    <row r="41" spans="1:17" ht="41.4" customHeight="1" x14ac:dyDescent="0.3">
      <c r="A41" s="6">
        <v>798</v>
      </c>
      <c r="B41" s="6" t="s">
        <v>1494</v>
      </c>
      <c r="C41" s="6" t="s">
        <v>502</v>
      </c>
      <c r="D41" s="6" t="str">
        <f>Tabla6[[#This Row],[Vendor]]</f>
        <v>Hacha</v>
      </c>
      <c r="E41" s="6" t="s">
        <v>1496</v>
      </c>
      <c r="F41" s="6" t="s">
        <v>4060</v>
      </c>
      <c r="G41" s="6" t="s">
        <v>510</v>
      </c>
      <c r="H41" s="6" t="s">
        <v>511</v>
      </c>
      <c r="I41" s="6" t="s">
        <v>512</v>
      </c>
      <c r="J41" s="6">
        <v>34</v>
      </c>
      <c r="K41" s="6" t="s">
        <v>19</v>
      </c>
      <c r="L41" s="10">
        <v>162</v>
      </c>
      <c r="M41" s="6" t="s">
        <v>20</v>
      </c>
      <c r="N41" s="10">
        <f>Tabla6[[#This Row],[Price]]*Tabla6[[#This Row],[QTY Adjusted]]</f>
        <v>5508</v>
      </c>
      <c r="O41" s="10">
        <v>282.46153846153845</v>
      </c>
      <c r="P41" s="10" t="s">
        <v>4226</v>
      </c>
      <c r="Q41" s="6">
        <v>0</v>
      </c>
    </row>
    <row r="42" spans="1:17" ht="41.4" customHeight="1" x14ac:dyDescent="0.3">
      <c r="A42" s="6">
        <v>776</v>
      </c>
      <c r="B42" s="6" t="s">
        <v>1494</v>
      </c>
      <c r="C42" s="6" t="s">
        <v>47</v>
      </c>
      <c r="D42" s="6" t="s">
        <v>44</v>
      </c>
      <c r="E42" s="6" t="s">
        <v>1496</v>
      </c>
      <c r="F42" s="6" t="s">
        <v>4063</v>
      </c>
      <c r="G42" s="6" t="s">
        <v>500</v>
      </c>
      <c r="H42" s="6" t="s">
        <v>501</v>
      </c>
      <c r="I42" s="6" t="s">
        <v>71</v>
      </c>
      <c r="J42" s="6">
        <v>26</v>
      </c>
      <c r="K42" s="6" t="s">
        <v>19</v>
      </c>
      <c r="L42" s="10">
        <v>9.4499999999999993</v>
      </c>
      <c r="M42" s="6" t="s">
        <v>33</v>
      </c>
      <c r="N42" s="10">
        <f>Tabla6[[#This Row],[Price]]*Tabla6[[#This Row],[QTY Adjusted]]</f>
        <v>245.7</v>
      </c>
      <c r="O42" s="10">
        <v>245.7</v>
      </c>
      <c r="P42" s="10" t="s">
        <v>4225</v>
      </c>
      <c r="Q42" s="6">
        <v>0</v>
      </c>
    </row>
    <row r="43" spans="1:17" ht="41.4" customHeight="1" x14ac:dyDescent="0.3">
      <c r="A43" s="6">
        <v>778</v>
      </c>
      <c r="B43" s="6" t="s">
        <v>1494</v>
      </c>
      <c r="C43" s="6" t="s">
        <v>1510</v>
      </c>
      <c r="D43" s="6" t="s">
        <v>44</v>
      </c>
      <c r="E43" s="6" t="s">
        <v>1496</v>
      </c>
      <c r="F43" s="6" t="s">
        <v>4063</v>
      </c>
      <c r="G43" s="6" t="s">
        <v>57</v>
      </c>
      <c r="H43" s="6" t="s">
        <v>58</v>
      </c>
      <c r="I43" s="6" t="s">
        <v>59</v>
      </c>
      <c r="J43" s="6">
        <v>51</v>
      </c>
      <c r="K43" s="6" t="s">
        <v>19</v>
      </c>
      <c r="L43" s="10">
        <v>4.74</v>
      </c>
      <c r="M43" s="6" t="s">
        <v>33</v>
      </c>
      <c r="N43" s="10">
        <f>Tabla6[[#This Row],[Price]]*Tabla6[[#This Row],[QTY Adjusted]]</f>
        <v>241.74</v>
      </c>
      <c r="O43" s="10">
        <v>241.74</v>
      </c>
      <c r="P43" s="10" t="s">
        <v>4225</v>
      </c>
      <c r="Q43" s="6">
        <v>0</v>
      </c>
    </row>
    <row r="44" spans="1:17" ht="41.4" customHeight="1" x14ac:dyDescent="0.3">
      <c r="A44" s="6">
        <v>806</v>
      </c>
      <c r="B44" s="6" t="s">
        <v>1494</v>
      </c>
      <c r="C44" s="6" t="s">
        <v>43</v>
      </c>
      <c r="D44" s="6" t="s">
        <v>44</v>
      </c>
      <c r="E44" s="6" t="s">
        <v>1496</v>
      </c>
      <c r="F44" s="6" t="s">
        <v>4059</v>
      </c>
      <c r="G44" s="6">
        <v>656390</v>
      </c>
      <c r="H44" s="6" t="s">
        <v>1335</v>
      </c>
      <c r="I44" s="6" t="s">
        <v>529</v>
      </c>
      <c r="J44" s="6">
        <v>6</v>
      </c>
      <c r="K44" s="6" t="s">
        <v>19</v>
      </c>
      <c r="L44" s="10">
        <v>46.08</v>
      </c>
      <c r="M44" s="6" t="s">
        <v>33</v>
      </c>
      <c r="N44" s="10">
        <f>Tabla6[[#This Row],[Price]]*Tabla6[[#This Row],[QTY Adjusted]]</f>
        <v>276.48</v>
      </c>
      <c r="O44" s="10">
        <v>276.48</v>
      </c>
      <c r="P44" s="10" t="s">
        <v>4225</v>
      </c>
      <c r="Q44" s="6">
        <v>0</v>
      </c>
    </row>
    <row r="45" spans="1:17" ht="41.4" customHeight="1" x14ac:dyDescent="0.3">
      <c r="A45" s="6">
        <v>792</v>
      </c>
      <c r="B45" s="6" t="s">
        <v>1494</v>
      </c>
      <c r="C45" s="6" t="s">
        <v>525</v>
      </c>
      <c r="D45" s="6" t="s">
        <v>130</v>
      </c>
      <c r="E45" s="6" t="s">
        <v>1496</v>
      </c>
      <c r="F45" s="6" t="s">
        <v>4059</v>
      </c>
      <c r="G45" s="6" t="s">
        <v>1451</v>
      </c>
      <c r="H45" s="6" t="s">
        <v>1534</v>
      </c>
      <c r="I45" s="6" t="s">
        <v>1535</v>
      </c>
      <c r="J45" s="6">
        <v>6</v>
      </c>
      <c r="K45" s="6" t="s">
        <v>19</v>
      </c>
      <c r="L45" s="10">
        <v>44.593209431367569</v>
      </c>
      <c r="M45" s="6" t="s">
        <v>33</v>
      </c>
      <c r="N45" s="10">
        <f>Tabla6[[#This Row],[Price]]*Tabla6[[#This Row],[QTY Adjusted]]</f>
        <v>267.55925658820541</v>
      </c>
      <c r="O45" s="10">
        <v>267.55925658820541</v>
      </c>
      <c r="P45" s="10" t="s">
        <v>4225</v>
      </c>
      <c r="Q45" s="6">
        <v>0</v>
      </c>
    </row>
    <row r="46" spans="1:17" ht="41.4" customHeight="1" x14ac:dyDescent="0.3">
      <c r="A46" s="6">
        <v>793</v>
      </c>
      <c r="B46" s="6" t="s">
        <v>1494</v>
      </c>
      <c r="C46" s="6" t="s">
        <v>525</v>
      </c>
      <c r="D46" s="6" t="s">
        <v>130</v>
      </c>
      <c r="E46" s="6" t="s">
        <v>1496</v>
      </c>
      <c r="F46" s="6" t="s">
        <v>4059</v>
      </c>
      <c r="G46" s="6" t="s">
        <v>1536</v>
      </c>
      <c r="H46" s="6" t="s">
        <v>1537</v>
      </c>
      <c r="I46" s="6" t="s">
        <v>1538</v>
      </c>
      <c r="J46" s="6">
        <v>6</v>
      </c>
      <c r="K46" s="6" t="s">
        <v>19</v>
      </c>
      <c r="L46" s="10">
        <v>44.593209431367569</v>
      </c>
      <c r="M46" s="6" t="s">
        <v>33</v>
      </c>
      <c r="N46" s="10">
        <f>Tabla6[[#This Row],[Price]]*Tabla6[[#This Row],[QTY Adjusted]]</f>
        <v>267.55925658820541</v>
      </c>
      <c r="O46" s="10">
        <v>267.55925658820541</v>
      </c>
      <c r="P46" s="10" t="s">
        <v>4225</v>
      </c>
      <c r="Q46" s="6">
        <v>0</v>
      </c>
    </row>
    <row r="47" spans="1:17" ht="41.4" customHeight="1" x14ac:dyDescent="0.3">
      <c r="A47" s="6">
        <v>805</v>
      </c>
      <c r="B47" s="6" t="s">
        <v>1494</v>
      </c>
      <c r="C47" s="6" t="s">
        <v>14</v>
      </c>
      <c r="D47" s="6" t="str">
        <f>Tabla6[[#This Row],[Vendor]]</f>
        <v>Oaxifornia</v>
      </c>
      <c r="E47" s="6" t="s">
        <v>1496</v>
      </c>
      <c r="F47" s="6" t="s">
        <v>4062</v>
      </c>
      <c r="G47" s="6" t="s">
        <v>178</v>
      </c>
      <c r="H47" s="6" t="s">
        <v>132</v>
      </c>
      <c r="I47" s="6"/>
      <c r="J47" s="6">
        <v>26</v>
      </c>
      <c r="K47" s="6" t="s">
        <v>19</v>
      </c>
      <c r="L47" s="10">
        <v>168</v>
      </c>
      <c r="M47" s="6" t="s">
        <v>20</v>
      </c>
      <c r="N47" s="10">
        <f>Tabla6[[#This Row],[Price]]*Tabla6[[#This Row],[QTY Adjusted]]</f>
        <v>4368</v>
      </c>
      <c r="O47" s="10">
        <v>224</v>
      </c>
      <c r="P47" s="10" t="s">
        <v>4232</v>
      </c>
      <c r="Q47" s="6">
        <v>0</v>
      </c>
    </row>
    <row r="48" spans="1:17" ht="41.4" customHeight="1" x14ac:dyDescent="0.3">
      <c r="A48" s="6">
        <v>824</v>
      </c>
      <c r="B48" s="6" t="s">
        <v>1494</v>
      </c>
      <c r="C48" s="6" t="s">
        <v>1592</v>
      </c>
      <c r="D48" s="6" t="str">
        <f>Tabla6[[#This Row],[Vendor]]</f>
        <v>CYS Excel</v>
      </c>
      <c r="E48" s="6" t="s">
        <v>1496</v>
      </c>
      <c r="F48" s="6" t="s">
        <v>4059</v>
      </c>
      <c r="G48" s="6" t="s">
        <v>1593</v>
      </c>
      <c r="H48" s="6" t="s">
        <v>1594</v>
      </c>
      <c r="I48" s="6" t="s">
        <v>1595</v>
      </c>
      <c r="J48" s="6">
        <v>4</v>
      </c>
      <c r="K48" s="6" t="s">
        <v>19</v>
      </c>
      <c r="L48" s="10">
        <v>63.210000000000008</v>
      </c>
      <c r="M48" s="6" t="s">
        <v>33</v>
      </c>
      <c r="N48" s="10">
        <f>Tabla6[[#This Row],[Price]]*Tabla6[[#This Row],[QTY Adjusted]]</f>
        <v>252.84000000000003</v>
      </c>
      <c r="O48" s="10">
        <v>252.84000000000003</v>
      </c>
      <c r="P48" s="10" t="s">
        <v>4231</v>
      </c>
      <c r="Q48" s="6">
        <v>0</v>
      </c>
    </row>
    <row r="49" spans="1:17" ht="41.4" customHeight="1" x14ac:dyDescent="0.3">
      <c r="A49" s="6">
        <v>782</v>
      </c>
      <c r="B49" s="6" t="s">
        <v>1494</v>
      </c>
      <c r="C49" s="6" t="s">
        <v>1510</v>
      </c>
      <c r="D49" s="6" t="s">
        <v>44</v>
      </c>
      <c r="E49" s="6" t="s">
        <v>1496</v>
      </c>
      <c r="F49" s="6" t="s">
        <v>4063</v>
      </c>
      <c r="G49" s="6" t="s">
        <v>69</v>
      </c>
      <c r="H49" s="6" t="s">
        <v>70</v>
      </c>
      <c r="I49" s="6" t="s">
        <v>71</v>
      </c>
      <c r="J49" s="6">
        <v>26</v>
      </c>
      <c r="K49" s="6" t="s">
        <v>19</v>
      </c>
      <c r="L49" s="10">
        <v>7.9560000000000004</v>
      </c>
      <c r="M49" s="6" t="s">
        <v>33</v>
      </c>
      <c r="N49" s="10">
        <f>Tabla6[[#This Row],[Price]]*Tabla6[[#This Row],[QTY Adjusted]]</f>
        <v>206.85600000000002</v>
      </c>
      <c r="O49" s="10">
        <v>206.85600000000002</v>
      </c>
      <c r="P49" s="10" t="s">
        <v>4225</v>
      </c>
      <c r="Q49" s="6">
        <v>0</v>
      </c>
    </row>
    <row r="50" spans="1:17" ht="41.4" customHeight="1" x14ac:dyDescent="0.3">
      <c r="A50" s="6">
        <v>775</v>
      </c>
      <c r="B50" s="6" t="s">
        <v>1494</v>
      </c>
      <c r="C50" s="6" t="s">
        <v>1510</v>
      </c>
      <c r="D50" s="6" t="s">
        <v>44</v>
      </c>
      <c r="E50" s="6" t="s">
        <v>1496</v>
      </c>
      <c r="F50" s="6" t="s">
        <v>4063</v>
      </c>
      <c r="G50" s="6" t="s">
        <v>48</v>
      </c>
      <c r="H50" s="6" t="s">
        <v>49</v>
      </c>
      <c r="I50" s="6" t="s">
        <v>50</v>
      </c>
      <c r="J50" s="6">
        <v>26</v>
      </c>
      <c r="K50" s="6" t="s">
        <v>19</v>
      </c>
      <c r="L50" s="10">
        <v>7.56</v>
      </c>
      <c r="M50" s="6" t="s">
        <v>33</v>
      </c>
      <c r="N50" s="10">
        <f>Tabla6[[#This Row],[Price]]*Tabla6[[#This Row],[QTY Adjusted]]</f>
        <v>196.56</v>
      </c>
      <c r="O50" s="10">
        <v>196.56</v>
      </c>
      <c r="P50" s="10" t="s">
        <v>4225</v>
      </c>
      <c r="Q50" s="6">
        <v>0</v>
      </c>
    </row>
    <row r="51" spans="1:17" ht="41.4" customHeight="1" x14ac:dyDescent="0.3">
      <c r="A51" s="6">
        <v>777</v>
      </c>
      <c r="B51" s="6" t="s">
        <v>1494</v>
      </c>
      <c r="C51" s="6" t="s">
        <v>1510</v>
      </c>
      <c r="D51" s="6" t="s">
        <v>44</v>
      </c>
      <c r="E51" s="6" t="s">
        <v>1496</v>
      </c>
      <c r="F51" s="6" t="s">
        <v>4063</v>
      </c>
      <c r="G51" s="6" t="s">
        <v>54</v>
      </c>
      <c r="H51" s="6" t="s">
        <v>55</v>
      </c>
      <c r="I51" s="6" t="s">
        <v>56</v>
      </c>
      <c r="J51" s="6">
        <v>26</v>
      </c>
      <c r="K51" s="6" t="s">
        <v>19</v>
      </c>
      <c r="L51" s="10">
        <v>7.56</v>
      </c>
      <c r="M51" s="6" t="s">
        <v>33</v>
      </c>
      <c r="N51" s="10">
        <f>Tabla6[[#This Row],[Price]]*Tabla6[[#This Row],[QTY Adjusted]]</f>
        <v>196.56</v>
      </c>
      <c r="O51" s="10">
        <v>196.56</v>
      </c>
      <c r="P51" s="10" t="s">
        <v>4225</v>
      </c>
      <c r="Q51" s="6">
        <v>0</v>
      </c>
    </row>
    <row r="52" spans="1:17" ht="41.4" customHeight="1" x14ac:dyDescent="0.3">
      <c r="A52" s="6">
        <v>780</v>
      </c>
      <c r="B52" s="6" t="s">
        <v>1494</v>
      </c>
      <c r="C52" s="6" t="s">
        <v>1510</v>
      </c>
      <c r="D52" s="6" t="s">
        <v>44</v>
      </c>
      <c r="E52" s="6" t="s">
        <v>1496</v>
      </c>
      <c r="F52" s="6" t="s">
        <v>4063</v>
      </c>
      <c r="G52" s="6" t="s">
        <v>63</v>
      </c>
      <c r="H52" s="6" t="s">
        <v>64</v>
      </c>
      <c r="I52" s="6" t="s">
        <v>65</v>
      </c>
      <c r="J52" s="6">
        <v>26</v>
      </c>
      <c r="K52" s="6" t="s">
        <v>19</v>
      </c>
      <c r="L52" s="10">
        <v>6.7859999999999996</v>
      </c>
      <c r="M52" s="6" t="s">
        <v>33</v>
      </c>
      <c r="N52" s="10">
        <f>Tabla6[[#This Row],[Price]]*Tabla6[[#This Row],[QTY Adjusted]]</f>
        <v>176.43599999999998</v>
      </c>
      <c r="O52" s="10">
        <v>176.43599999999998</v>
      </c>
      <c r="P52" s="10" t="s">
        <v>4225</v>
      </c>
      <c r="Q52" s="6">
        <v>0</v>
      </c>
    </row>
    <row r="53" spans="1:17" ht="41.4" customHeight="1" x14ac:dyDescent="0.3">
      <c r="A53" s="6">
        <v>781</v>
      </c>
      <c r="B53" s="6" t="s">
        <v>1494</v>
      </c>
      <c r="C53" s="6" t="s">
        <v>1510</v>
      </c>
      <c r="D53" s="6" t="s">
        <v>44</v>
      </c>
      <c r="E53" s="6" t="s">
        <v>1496</v>
      </c>
      <c r="F53" s="6" t="s">
        <v>4063</v>
      </c>
      <c r="G53" s="6" t="s">
        <v>66</v>
      </c>
      <c r="H53" s="6" t="s">
        <v>67</v>
      </c>
      <c r="I53" s="6" t="s">
        <v>68</v>
      </c>
      <c r="J53" s="6">
        <v>26</v>
      </c>
      <c r="K53" s="6" t="s">
        <v>19</v>
      </c>
      <c r="L53" s="10">
        <v>6.7859999999999996</v>
      </c>
      <c r="M53" s="6" t="s">
        <v>33</v>
      </c>
      <c r="N53" s="10">
        <f>Tabla6[[#This Row],[Price]]*Tabla6[[#This Row],[QTY Adjusted]]</f>
        <v>176.43599999999998</v>
      </c>
      <c r="O53" s="10">
        <v>176.43599999999998</v>
      </c>
      <c r="P53" s="10" t="s">
        <v>4225</v>
      </c>
      <c r="Q53" s="6">
        <v>0</v>
      </c>
    </row>
    <row r="54" spans="1:17" ht="41.4" customHeight="1" x14ac:dyDescent="0.3">
      <c r="A54" s="6">
        <v>826</v>
      </c>
      <c r="B54" s="6" t="s">
        <v>1494</v>
      </c>
      <c r="C54" s="6" t="s">
        <v>1592</v>
      </c>
      <c r="D54" s="6" t="str">
        <f>Tabla6[[#This Row],[Vendor]]</f>
        <v>CYS Excel</v>
      </c>
      <c r="E54" s="6" t="s">
        <v>1496</v>
      </c>
      <c r="F54" s="6" t="s">
        <v>4059</v>
      </c>
      <c r="G54" s="6" t="s">
        <v>1598</v>
      </c>
      <c r="H54" s="6" t="s">
        <v>1594</v>
      </c>
      <c r="I54" s="6" t="s">
        <v>1599</v>
      </c>
      <c r="J54" s="6">
        <v>4</v>
      </c>
      <c r="K54" s="6" t="s">
        <v>19</v>
      </c>
      <c r="L54" s="10">
        <v>48.75</v>
      </c>
      <c r="M54" s="6" t="s">
        <v>33</v>
      </c>
      <c r="N54" s="10">
        <f>Tabla6[[#This Row],[Price]]*Tabla6[[#This Row],[QTY Adjusted]]</f>
        <v>195</v>
      </c>
      <c r="O54" s="10">
        <v>195</v>
      </c>
      <c r="P54" s="10" t="s">
        <v>4231</v>
      </c>
      <c r="Q54" s="6">
        <v>0</v>
      </c>
    </row>
    <row r="55" spans="1:17" ht="41.4" customHeight="1" x14ac:dyDescent="0.3">
      <c r="A55" s="6">
        <v>801</v>
      </c>
      <c r="B55" s="6" t="s">
        <v>1494</v>
      </c>
      <c r="C55" s="6" t="s">
        <v>1543</v>
      </c>
      <c r="D55" s="6" t="s">
        <v>44</v>
      </c>
      <c r="E55" s="6" t="s">
        <v>1496</v>
      </c>
      <c r="F55" s="6" t="s">
        <v>4060</v>
      </c>
      <c r="G55" s="6" t="s">
        <v>1544</v>
      </c>
      <c r="H55" s="6" t="s">
        <v>1545</v>
      </c>
      <c r="I55" s="6" t="s">
        <v>1546</v>
      </c>
      <c r="J55" s="6">
        <v>34</v>
      </c>
      <c r="K55" s="6" t="s">
        <v>19</v>
      </c>
      <c r="L55" s="10">
        <v>4.8600000000000003</v>
      </c>
      <c r="M55" s="6" t="s">
        <v>33</v>
      </c>
      <c r="N55" s="10">
        <f>Tabla6[[#This Row],[Price]]*Tabla6[[#This Row],[QTY Adjusted]]</f>
        <v>165.24</v>
      </c>
      <c r="O55" s="10">
        <v>165.24</v>
      </c>
      <c r="P55" s="10" t="s">
        <v>4225</v>
      </c>
      <c r="Q55" s="6">
        <v>0</v>
      </c>
    </row>
    <row r="56" spans="1:17" ht="41.4" customHeight="1" x14ac:dyDescent="0.3">
      <c r="A56" s="6">
        <v>779</v>
      </c>
      <c r="B56" s="6" t="s">
        <v>1494</v>
      </c>
      <c r="C56" s="6" t="s">
        <v>1510</v>
      </c>
      <c r="D56" s="6" t="s">
        <v>44</v>
      </c>
      <c r="E56" s="6" t="s">
        <v>1496</v>
      </c>
      <c r="F56" s="6" t="s">
        <v>4063</v>
      </c>
      <c r="G56" s="6" t="s">
        <v>60</v>
      </c>
      <c r="H56" s="6" t="s">
        <v>61</v>
      </c>
      <c r="I56" s="6" t="s">
        <v>62</v>
      </c>
      <c r="J56" s="6">
        <v>34</v>
      </c>
      <c r="K56" s="6" t="s">
        <v>19</v>
      </c>
      <c r="L56" s="10">
        <v>4.7279999999999998</v>
      </c>
      <c r="M56" s="6" t="s">
        <v>33</v>
      </c>
      <c r="N56" s="10">
        <f>Tabla6[[#This Row],[Price]]*Tabla6[[#This Row],[QTY Adjusted]]</f>
        <v>160.75199999999998</v>
      </c>
      <c r="O56" s="10">
        <v>160.75199999999998</v>
      </c>
      <c r="P56" s="10" t="s">
        <v>4225</v>
      </c>
      <c r="Q56" s="6">
        <v>0</v>
      </c>
    </row>
    <row r="57" spans="1:17" ht="41.4" customHeight="1" x14ac:dyDescent="0.3">
      <c r="A57" s="6">
        <v>823</v>
      </c>
      <c r="B57" s="6" t="s">
        <v>1494</v>
      </c>
      <c r="C57" s="6" t="s">
        <v>502</v>
      </c>
      <c r="D57" s="6" t="str">
        <f>Tabla6[[#This Row],[Vendor]]</f>
        <v>Hacha</v>
      </c>
      <c r="E57" s="6" t="s">
        <v>1496</v>
      </c>
      <c r="F57" s="6" t="s">
        <v>4060</v>
      </c>
      <c r="G57" s="6" t="s">
        <v>1589</v>
      </c>
      <c r="H57" s="6" t="s">
        <v>1590</v>
      </c>
      <c r="I57" s="6" t="s">
        <v>1591</v>
      </c>
      <c r="J57" s="6">
        <v>4</v>
      </c>
      <c r="K57" s="6" t="s">
        <v>19</v>
      </c>
      <c r="L57" s="10">
        <v>850</v>
      </c>
      <c r="M57" s="6" t="s">
        <v>20</v>
      </c>
      <c r="N57" s="10">
        <f>Tabla6[[#This Row],[Price]]*Tabla6[[#This Row],[QTY Adjusted]]</f>
        <v>3400</v>
      </c>
      <c r="O57" s="10">
        <v>174.35897435897436</v>
      </c>
      <c r="P57" s="10" t="s">
        <v>4226</v>
      </c>
      <c r="Q57" s="6">
        <v>0</v>
      </c>
    </row>
    <row r="58" spans="1:17" ht="41.4" customHeight="1" x14ac:dyDescent="0.3">
      <c r="A58" s="6">
        <v>819</v>
      </c>
      <c r="B58" s="6" t="s">
        <v>1494</v>
      </c>
      <c r="C58" s="6" t="s">
        <v>561</v>
      </c>
      <c r="D58" s="6" t="s">
        <v>44</v>
      </c>
      <c r="E58" s="6" t="s">
        <v>1496</v>
      </c>
      <c r="F58" s="6" t="s">
        <v>4059</v>
      </c>
      <c r="G58" s="6" t="s">
        <v>1018</v>
      </c>
      <c r="H58" s="6" t="s">
        <v>1579</v>
      </c>
      <c r="I58" s="6" t="s">
        <v>1019</v>
      </c>
      <c r="J58" s="6">
        <v>4</v>
      </c>
      <c r="K58" s="6" t="s">
        <v>19</v>
      </c>
      <c r="L58" s="10">
        <v>36.854999999999997</v>
      </c>
      <c r="M58" s="6" t="s">
        <v>33</v>
      </c>
      <c r="N58" s="10">
        <f>Tabla6[[#This Row],[Price]]*Tabla6[[#This Row],[QTY Adjusted]]</f>
        <v>147.41999999999999</v>
      </c>
      <c r="O58" s="10">
        <v>147.41999999999999</v>
      </c>
      <c r="P58" s="22">
        <v>46091</v>
      </c>
      <c r="Q58" s="6">
        <v>0</v>
      </c>
    </row>
    <row r="59" spans="1:17" ht="41.4" customHeight="1" x14ac:dyDescent="0.3">
      <c r="A59" s="6">
        <v>822</v>
      </c>
      <c r="B59" s="6" t="s">
        <v>1494</v>
      </c>
      <c r="C59" s="6" t="s">
        <v>219</v>
      </c>
      <c r="D59" s="6" t="s">
        <v>44</v>
      </c>
      <c r="E59" s="6" t="s">
        <v>1496</v>
      </c>
      <c r="F59" s="6" t="s">
        <v>4059</v>
      </c>
      <c r="G59" s="6" t="s">
        <v>1586</v>
      </c>
      <c r="H59" s="6" t="s">
        <v>1587</v>
      </c>
      <c r="I59" s="6" t="s">
        <v>1588</v>
      </c>
      <c r="J59" s="6">
        <v>6</v>
      </c>
      <c r="K59" s="6" t="s">
        <v>19</v>
      </c>
      <c r="L59" s="10">
        <v>22.187999999999999</v>
      </c>
      <c r="M59" s="6" t="s">
        <v>33</v>
      </c>
      <c r="N59" s="10">
        <f>Tabla6[[#This Row],[Price]]*Tabla6[[#This Row],[QTY Adjusted]]</f>
        <v>133.12799999999999</v>
      </c>
      <c r="O59" s="10">
        <v>133.12799999999999</v>
      </c>
      <c r="P59" s="22" t="s">
        <v>4225</v>
      </c>
      <c r="Q59" s="6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3F2B-C6CD-4EDA-A630-023E88758189}">
  <dimension ref="A1:Q55"/>
  <sheetViews>
    <sheetView showGridLines="0" topLeftCell="D2" zoomScale="70" zoomScaleNormal="70" workbookViewId="0">
      <selection activeCell="P2" sqref="P2"/>
    </sheetView>
  </sheetViews>
  <sheetFormatPr baseColWidth="10" defaultColWidth="11.44140625" defaultRowHeight="14.4" x14ac:dyDescent="0.3"/>
  <cols>
    <col min="2" max="2" width="14.88671875" bestFit="1" customWidth="1"/>
    <col min="4" max="4" width="26.88671875" customWidth="1"/>
    <col min="5" max="5" width="20.44140625" bestFit="1" customWidth="1"/>
    <col min="6" max="6" width="14.44140625" bestFit="1" customWidth="1"/>
    <col min="7" max="7" width="17.6640625" customWidth="1"/>
    <col min="8" max="8" width="27.6640625" bestFit="1" customWidth="1"/>
    <col min="9" max="9" width="19" customWidth="1"/>
    <col min="13" max="13" width="18.6640625" customWidth="1"/>
    <col min="14" max="14" width="20.6640625" bestFit="1" customWidth="1"/>
    <col min="15" max="15" width="20.33203125" bestFit="1" customWidth="1"/>
    <col min="16" max="16" width="29" customWidth="1"/>
  </cols>
  <sheetData>
    <row r="1" spans="1:17" x14ac:dyDescent="0.3">
      <c r="L1">
        <v>19.5</v>
      </c>
      <c r="M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  <c r="Q2" t="s">
        <v>4247</v>
      </c>
    </row>
    <row r="3" spans="1:17" ht="39.6" customHeight="1" x14ac:dyDescent="0.3">
      <c r="A3" s="6">
        <v>1938</v>
      </c>
      <c r="B3" s="6" t="s">
        <v>3775</v>
      </c>
      <c r="C3" s="6" t="s">
        <v>3868</v>
      </c>
      <c r="D3" s="6" t="s">
        <v>718</v>
      </c>
      <c r="E3" s="6"/>
      <c r="F3" s="6" t="s">
        <v>4059</v>
      </c>
      <c r="G3" s="6">
        <v>5593</v>
      </c>
      <c r="H3" s="6" t="s">
        <v>3869</v>
      </c>
      <c r="I3" s="6" t="s">
        <v>3870</v>
      </c>
      <c r="J3" s="6">
        <v>1</v>
      </c>
      <c r="K3" s="6" t="s">
        <v>19</v>
      </c>
      <c r="L3" s="10">
        <v>6192</v>
      </c>
      <c r="M3" s="6" t="s">
        <v>33</v>
      </c>
      <c r="N3" s="10">
        <f>Tabla7[[#This Row],[Price]]*Tabla7[[#This Row],[QTY Adjusted]]</f>
        <v>6192</v>
      </c>
      <c r="O3" s="10">
        <v>6192</v>
      </c>
      <c r="P3" s="21" t="s">
        <v>4225</v>
      </c>
      <c r="Q3" s="6">
        <v>0</v>
      </c>
    </row>
    <row r="4" spans="1:17" ht="39.6" customHeight="1" x14ac:dyDescent="0.3">
      <c r="A4" s="6">
        <v>1904</v>
      </c>
      <c r="B4" s="6" t="s">
        <v>3775</v>
      </c>
      <c r="C4" s="6" t="s">
        <v>2229</v>
      </c>
      <c r="D4" s="6" t="s">
        <v>718</v>
      </c>
      <c r="E4" s="6"/>
      <c r="F4" s="6" t="s">
        <v>4059</v>
      </c>
      <c r="G4" s="6">
        <v>5428.04</v>
      </c>
      <c r="H4" s="6" t="s">
        <v>1379</v>
      </c>
      <c r="I4" s="6" t="s">
        <v>3809</v>
      </c>
      <c r="J4" s="6">
        <v>24</v>
      </c>
      <c r="K4" s="6" t="s">
        <v>19</v>
      </c>
      <c r="L4" s="10">
        <v>107.8</v>
      </c>
      <c r="M4" s="6" t="s">
        <v>33</v>
      </c>
      <c r="N4" s="10">
        <f>Tabla7[[#This Row],[Price]]*Tabla7[[#This Row],[QTY Adjusted]]</f>
        <v>2587.1999999999998</v>
      </c>
      <c r="O4" s="10">
        <v>2587.1999999999998</v>
      </c>
      <c r="P4" s="21" t="s">
        <v>4238</v>
      </c>
      <c r="Q4" s="6">
        <v>0</v>
      </c>
    </row>
    <row r="5" spans="1:17" ht="39.6" customHeight="1" x14ac:dyDescent="0.3">
      <c r="A5" s="6">
        <v>1926</v>
      </c>
      <c r="B5" s="6" t="s">
        <v>3775</v>
      </c>
      <c r="C5" s="6" t="s">
        <v>223</v>
      </c>
      <c r="D5" s="17" t="s">
        <v>44</v>
      </c>
      <c r="E5" s="6"/>
      <c r="F5" s="6" t="s">
        <v>4059</v>
      </c>
      <c r="G5" s="6" t="s">
        <v>676</v>
      </c>
      <c r="H5" s="6" t="s">
        <v>677</v>
      </c>
      <c r="I5" s="6" t="s">
        <v>678</v>
      </c>
      <c r="J5" s="6">
        <v>4</v>
      </c>
      <c r="K5" s="6" t="s">
        <v>19</v>
      </c>
      <c r="L5" s="10">
        <v>545.60766750000005</v>
      </c>
      <c r="M5" s="6" t="s">
        <v>33</v>
      </c>
      <c r="N5" s="10">
        <f>Tabla7[[#This Row],[Price]]*Tabla7[[#This Row],[QTY Adjusted]]</f>
        <v>2182.4306700000002</v>
      </c>
      <c r="O5" s="15">
        <v>463.04</v>
      </c>
      <c r="P5" s="21" t="s">
        <v>4225</v>
      </c>
      <c r="Q5" s="6">
        <v>0</v>
      </c>
    </row>
    <row r="6" spans="1:17" ht="39.6" customHeight="1" x14ac:dyDescent="0.3">
      <c r="A6" s="6">
        <v>1912</v>
      </c>
      <c r="B6" s="6" t="s">
        <v>3775</v>
      </c>
      <c r="C6" s="6" t="s">
        <v>130</v>
      </c>
      <c r="D6" s="6" t="s">
        <v>130</v>
      </c>
      <c r="E6" s="6"/>
      <c r="F6" s="6" t="s">
        <v>4060</v>
      </c>
      <c r="G6" s="6" t="s">
        <v>3828</v>
      </c>
      <c r="H6" s="6" t="s">
        <v>3829</v>
      </c>
      <c r="I6" s="6" t="s">
        <v>3830</v>
      </c>
      <c r="J6" s="6">
        <v>24</v>
      </c>
      <c r="K6" s="6" t="s">
        <v>19</v>
      </c>
      <c r="L6" s="10">
        <v>59.457612575156766</v>
      </c>
      <c r="M6" s="6" t="s">
        <v>33</v>
      </c>
      <c r="N6" s="10">
        <f>Tabla7[[#This Row],[Price]]*Tabla7[[#This Row],[QTY Adjusted]]</f>
        <v>1426.9827018037624</v>
      </c>
      <c r="O6" s="10">
        <v>1426.9827018037624</v>
      </c>
      <c r="P6" s="21" t="s">
        <v>4241</v>
      </c>
      <c r="Q6" s="6" t="s">
        <v>4246</v>
      </c>
    </row>
    <row r="7" spans="1:17" ht="39.6" customHeight="1" x14ac:dyDescent="0.3">
      <c r="A7" s="6">
        <v>1894</v>
      </c>
      <c r="B7" s="6" t="s">
        <v>3775</v>
      </c>
      <c r="C7" s="6" t="s">
        <v>130</v>
      </c>
      <c r="D7" s="6" t="s">
        <v>130</v>
      </c>
      <c r="E7" s="6"/>
      <c r="F7" s="6" t="s">
        <v>4060</v>
      </c>
      <c r="G7" s="6" t="s">
        <v>3786</v>
      </c>
      <c r="H7" s="6" t="s">
        <v>3787</v>
      </c>
      <c r="I7" s="6" t="s">
        <v>3788</v>
      </c>
      <c r="J7" s="6">
        <v>30</v>
      </c>
      <c r="K7" s="6" t="s">
        <v>19</v>
      </c>
      <c r="L7" s="10">
        <v>46.411158017298632</v>
      </c>
      <c r="M7" s="6" t="s">
        <v>33</v>
      </c>
      <c r="N7" s="10">
        <f>Tabla7[[#This Row],[Price]]*Tabla7[[#This Row],[QTY Adjusted]]</f>
        <v>1392.3347405189591</v>
      </c>
      <c r="O7" s="10">
        <v>1392.3347405189591</v>
      </c>
      <c r="P7" s="21" t="s">
        <v>4241</v>
      </c>
      <c r="Q7" s="6" t="s">
        <v>4246</v>
      </c>
    </row>
    <row r="8" spans="1:17" ht="39.6" customHeight="1" x14ac:dyDescent="0.3">
      <c r="A8" s="6">
        <v>1907</v>
      </c>
      <c r="B8" s="6" t="s">
        <v>3775</v>
      </c>
      <c r="C8" s="6" t="s">
        <v>130</v>
      </c>
      <c r="D8" s="6" t="s">
        <v>130</v>
      </c>
      <c r="E8" s="6"/>
      <c r="F8" s="6" t="s">
        <v>4060</v>
      </c>
      <c r="G8" s="6" t="s">
        <v>3815</v>
      </c>
      <c r="H8" s="6" t="s">
        <v>1398</v>
      </c>
      <c r="I8" s="6" t="s">
        <v>3816</v>
      </c>
      <c r="J8" s="6">
        <v>24</v>
      </c>
      <c r="K8" s="6" t="s">
        <v>19</v>
      </c>
      <c r="L8" s="10">
        <v>57.82298653570615</v>
      </c>
      <c r="M8" s="6" t="s">
        <v>33</v>
      </c>
      <c r="N8" s="10">
        <f>Tabla7[[#This Row],[Price]]*Tabla7[[#This Row],[QTY Adjusted]]</f>
        <v>1387.7516768569476</v>
      </c>
      <c r="O8" s="10">
        <v>1387.7516768569476</v>
      </c>
      <c r="P8" s="21" t="s">
        <v>4241</v>
      </c>
      <c r="Q8" s="6" t="s">
        <v>4246</v>
      </c>
    </row>
    <row r="9" spans="1:17" ht="39.6" customHeight="1" x14ac:dyDescent="0.3">
      <c r="A9" s="6">
        <v>1909</v>
      </c>
      <c r="B9" s="6" t="s">
        <v>3775</v>
      </c>
      <c r="C9" s="6" t="s">
        <v>130</v>
      </c>
      <c r="D9" s="6" t="s">
        <v>130</v>
      </c>
      <c r="E9" s="6"/>
      <c r="F9" s="6" t="s">
        <v>4060</v>
      </c>
      <c r="G9" s="6" t="s">
        <v>3820</v>
      </c>
      <c r="H9" s="6" t="s">
        <v>1527</v>
      </c>
      <c r="I9" s="6" t="s">
        <v>3821</v>
      </c>
      <c r="J9" s="6">
        <v>24</v>
      </c>
      <c r="K9" s="6" t="s">
        <v>19</v>
      </c>
      <c r="L9" s="10">
        <v>57.425787684998525</v>
      </c>
      <c r="M9" s="6" t="s">
        <v>33</v>
      </c>
      <c r="N9" s="10">
        <f>Tabla7[[#This Row],[Price]]*Tabla7[[#This Row],[QTY Adjusted]]</f>
        <v>1378.2189044399647</v>
      </c>
      <c r="O9" s="10">
        <v>1378.2189044399647</v>
      </c>
      <c r="P9" s="21" t="s">
        <v>4225</v>
      </c>
      <c r="Q9" s="6">
        <v>0</v>
      </c>
    </row>
    <row r="10" spans="1:17" ht="39.6" customHeight="1" x14ac:dyDescent="0.3">
      <c r="A10" s="6">
        <v>1905</v>
      </c>
      <c r="B10" s="6" t="s">
        <v>3775</v>
      </c>
      <c r="C10" s="6" t="s">
        <v>130</v>
      </c>
      <c r="D10" s="6" t="s">
        <v>130</v>
      </c>
      <c r="E10" s="6"/>
      <c r="F10" s="6" t="s">
        <v>4060</v>
      </c>
      <c r="G10" s="6" t="s">
        <v>3810</v>
      </c>
      <c r="H10" s="6" t="s">
        <v>3811</v>
      </c>
      <c r="I10" s="6" t="s">
        <v>3812</v>
      </c>
      <c r="J10" s="6">
        <v>36</v>
      </c>
      <c r="K10" s="6" t="s">
        <v>19</v>
      </c>
      <c r="L10" s="10">
        <v>32.6925207890122</v>
      </c>
      <c r="M10" s="6" t="s">
        <v>33</v>
      </c>
      <c r="N10" s="10">
        <f>Tabla7[[#This Row],[Price]]*Tabla7[[#This Row],[QTY Adjusted]]</f>
        <v>1176.9307484044391</v>
      </c>
      <c r="O10" s="10">
        <v>1176.9307484044391</v>
      </c>
      <c r="P10" s="21" t="s">
        <v>4241</v>
      </c>
      <c r="Q10" s="6" t="s">
        <v>4246</v>
      </c>
    </row>
    <row r="11" spans="1:17" ht="39.6" customHeight="1" x14ac:dyDescent="0.3">
      <c r="A11" s="6">
        <v>1913</v>
      </c>
      <c r="B11" s="6" t="s">
        <v>3775</v>
      </c>
      <c r="C11" s="6" t="s">
        <v>130</v>
      </c>
      <c r="D11" s="6" t="s">
        <v>130</v>
      </c>
      <c r="E11" s="6"/>
      <c r="F11" s="6" t="s">
        <v>4060</v>
      </c>
      <c r="G11" s="6" t="s">
        <v>3786</v>
      </c>
      <c r="H11" s="6" t="s">
        <v>3831</v>
      </c>
      <c r="I11" s="6" t="s">
        <v>3832</v>
      </c>
      <c r="J11" s="6">
        <v>22</v>
      </c>
      <c r="K11" s="6" t="s">
        <v>19</v>
      </c>
      <c r="L11" s="10">
        <v>46.411158017298632</v>
      </c>
      <c r="M11" s="6" t="s">
        <v>33</v>
      </c>
      <c r="N11" s="10">
        <f>Tabla7[[#This Row],[Price]]*Tabla7[[#This Row],[QTY Adjusted]]</f>
        <v>1021.0454763805699</v>
      </c>
      <c r="O11" s="10">
        <v>1021.0454763805699</v>
      </c>
      <c r="P11" s="21" t="s">
        <v>4241</v>
      </c>
      <c r="Q11" s="6" t="s">
        <v>4246</v>
      </c>
    </row>
    <row r="12" spans="1:17" ht="39.6" customHeight="1" x14ac:dyDescent="0.3">
      <c r="A12" s="6">
        <v>1925</v>
      </c>
      <c r="B12" s="6" t="s">
        <v>3775</v>
      </c>
      <c r="C12" s="6" t="s">
        <v>223</v>
      </c>
      <c r="D12" s="17" t="s">
        <v>44</v>
      </c>
      <c r="E12" s="6"/>
      <c r="F12" s="6" t="s">
        <v>4059</v>
      </c>
      <c r="G12" s="6">
        <v>948</v>
      </c>
      <c r="H12" s="6" t="s">
        <v>674</v>
      </c>
      <c r="I12" s="6" t="s">
        <v>675</v>
      </c>
      <c r="J12" s="6">
        <v>4</v>
      </c>
      <c r="K12" s="6" t="s">
        <v>19</v>
      </c>
      <c r="L12" s="10">
        <v>300.09997499999997</v>
      </c>
      <c r="M12" s="6" t="s">
        <v>33</v>
      </c>
      <c r="N12" s="10">
        <f>Tabla7[[#This Row],[Price]]*Tabla7[[#This Row],[QTY Adjusted]]</f>
        <v>1200.3998999999999</v>
      </c>
      <c r="O12" s="15">
        <v>215.36</v>
      </c>
      <c r="P12" s="21" t="s">
        <v>4225</v>
      </c>
      <c r="Q12" s="6">
        <v>0</v>
      </c>
    </row>
    <row r="13" spans="1:17" ht="39.6" customHeight="1" x14ac:dyDescent="0.3">
      <c r="A13" s="6">
        <v>1921</v>
      </c>
      <c r="B13" s="6" t="s">
        <v>3775</v>
      </c>
      <c r="C13" s="6" t="s">
        <v>493</v>
      </c>
      <c r="D13" s="6" t="s">
        <v>493</v>
      </c>
      <c r="E13" s="6"/>
      <c r="F13" s="6" t="s">
        <v>4059</v>
      </c>
      <c r="G13" s="6" t="s">
        <v>3848</v>
      </c>
      <c r="H13" s="6" t="s">
        <v>3849</v>
      </c>
      <c r="I13" s="6" t="s">
        <v>3850</v>
      </c>
      <c r="J13" s="6">
        <v>12</v>
      </c>
      <c r="K13" s="6" t="s">
        <v>19</v>
      </c>
      <c r="L13" s="10">
        <v>93.75</v>
      </c>
      <c r="M13" s="6" t="s">
        <v>33</v>
      </c>
      <c r="N13" s="10">
        <f>Tabla7[[#This Row],[Price]]*Tabla7[[#This Row],[QTY Adjusted]]</f>
        <v>1125</v>
      </c>
      <c r="O13" s="10">
        <v>1125</v>
      </c>
      <c r="P13" s="21" t="s">
        <v>4231</v>
      </c>
      <c r="Q13" s="6">
        <v>0</v>
      </c>
    </row>
    <row r="14" spans="1:17" ht="39.6" customHeight="1" x14ac:dyDescent="0.3">
      <c r="A14" s="6">
        <v>1910</v>
      </c>
      <c r="B14" s="6" t="s">
        <v>3775</v>
      </c>
      <c r="C14" s="6" t="s">
        <v>130</v>
      </c>
      <c r="D14" s="6" t="s">
        <v>130</v>
      </c>
      <c r="E14" s="6"/>
      <c r="F14" s="6" t="s">
        <v>4060</v>
      </c>
      <c r="G14" s="6" t="s">
        <v>3822</v>
      </c>
      <c r="H14" s="6" t="s">
        <v>3823</v>
      </c>
      <c r="I14" s="6" t="s">
        <v>3824</v>
      </c>
      <c r="J14" s="6">
        <v>24</v>
      </c>
      <c r="K14" s="6" t="s">
        <v>19</v>
      </c>
      <c r="L14" s="10">
        <v>45.479268406023046</v>
      </c>
      <c r="M14" s="6" t="s">
        <v>33</v>
      </c>
      <c r="N14" s="10">
        <f>Tabla7[[#This Row],[Price]]*Tabla7[[#This Row],[QTY Adjusted]]</f>
        <v>1091.5024417445532</v>
      </c>
      <c r="O14" s="10">
        <v>1091.5024417445532</v>
      </c>
      <c r="P14" s="21" t="s">
        <v>4225</v>
      </c>
      <c r="Q14" s="6">
        <v>0</v>
      </c>
    </row>
    <row r="15" spans="1:17" ht="39.6" customHeight="1" x14ac:dyDescent="0.3">
      <c r="A15" s="6">
        <v>1906</v>
      </c>
      <c r="B15" s="6" t="s">
        <v>3775</v>
      </c>
      <c r="C15" s="6" t="s">
        <v>130</v>
      </c>
      <c r="D15" s="6" t="s">
        <v>130</v>
      </c>
      <c r="E15" s="6"/>
      <c r="F15" s="6" t="s">
        <v>4060</v>
      </c>
      <c r="G15" s="6" t="s">
        <v>3813</v>
      </c>
      <c r="H15" s="6" t="s">
        <v>1795</v>
      </c>
      <c r="I15" s="6" t="s">
        <v>3814</v>
      </c>
      <c r="J15" s="6">
        <v>24</v>
      </c>
      <c r="K15" s="6" t="s">
        <v>19</v>
      </c>
      <c r="L15" s="10">
        <v>40.865650986265244</v>
      </c>
      <c r="M15" s="6" t="s">
        <v>33</v>
      </c>
      <c r="N15" s="10">
        <f>Tabla7[[#This Row],[Price]]*Tabla7[[#This Row],[QTY Adjusted]]</f>
        <v>980.7756236703658</v>
      </c>
      <c r="O15" s="10">
        <v>980.7756236703658</v>
      </c>
      <c r="P15" s="21" t="s">
        <v>4241</v>
      </c>
      <c r="Q15" s="6" t="s">
        <v>4246</v>
      </c>
    </row>
    <row r="16" spans="1:17" ht="39.6" customHeight="1" x14ac:dyDescent="0.3">
      <c r="A16" s="6">
        <v>1927</v>
      </c>
      <c r="B16" s="6" t="s">
        <v>3775</v>
      </c>
      <c r="C16" s="6" t="s">
        <v>488</v>
      </c>
      <c r="D16" s="6" t="s">
        <v>199</v>
      </c>
      <c r="E16" s="6"/>
      <c r="F16" s="6" t="s">
        <v>4062</v>
      </c>
      <c r="G16" s="6" t="s">
        <v>3859</v>
      </c>
      <c r="H16" s="6" t="s">
        <v>132</v>
      </c>
      <c r="I16" s="6" t="s">
        <v>3860</v>
      </c>
      <c r="J16" s="6">
        <v>44</v>
      </c>
      <c r="K16" s="6" t="s">
        <v>19</v>
      </c>
      <c r="L16" s="10">
        <v>18.27</v>
      </c>
      <c r="M16" s="6" t="s">
        <v>33</v>
      </c>
      <c r="N16" s="10">
        <f>Tabla7[[#This Row],[Price]]*Tabla7[[#This Row],[QTY Adjusted]]</f>
        <v>803.88</v>
      </c>
      <c r="O16" s="10">
        <v>803.88</v>
      </c>
      <c r="P16" s="21" t="s">
        <v>4241</v>
      </c>
      <c r="Q16" s="6" t="s">
        <v>4246</v>
      </c>
    </row>
    <row r="17" spans="1:17" ht="39.6" customHeight="1" x14ac:dyDescent="0.3">
      <c r="A17" s="6">
        <v>1908</v>
      </c>
      <c r="B17" s="6" t="s">
        <v>3775</v>
      </c>
      <c r="C17" s="6" t="s">
        <v>130</v>
      </c>
      <c r="D17" s="6" t="s">
        <v>130</v>
      </c>
      <c r="E17" s="6"/>
      <c r="F17" s="6" t="s">
        <v>4060</v>
      </c>
      <c r="G17" s="6" t="s">
        <v>3817</v>
      </c>
      <c r="H17" s="6" t="s">
        <v>3818</v>
      </c>
      <c r="I17" s="6" t="s">
        <v>3819</v>
      </c>
      <c r="J17" s="6">
        <v>24</v>
      </c>
      <c r="K17" s="6" t="s">
        <v>19</v>
      </c>
      <c r="L17" s="10">
        <v>34.647961284803579</v>
      </c>
      <c r="M17" s="6" t="s">
        <v>33</v>
      </c>
      <c r="N17" s="10">
        <f>Tabla7[[#This Row],[Price]]*Tabla7[[#This Row],[QTY Adjusted]]</f>
        <v>831.55107083528583</v>
      </c>
      <c r="O17" s="10">
        <v>831.55107083528583</v>
      </c>
      <c r="P17" s="21" t="s">
        <v>4225</v>
      </c>
      <c r="Q17" s="6">
        <v>0</v>
      </c>
    </row>
    <row r="18" spans="1:17" ht="39.6" customHeight="1" x14ac:dyDescent="0.3">
      <c r="A18" s="6">
        <v>1911</v>
      </c>
      <c r="B18" s="6" t="s">
        <v>3775</v>
      </c>
      <c r="C18" s="6" t="s">
        <v>130</v>
      </c>
      <c r="D18" s="6" t="s">
        <v>130</v>
      </c>
      <c r="E18" s="6"/>
      <c r="F18" s="6" t="s">
        <v>4060</v>
      </c>
      <c r="G18" s="6" t="s">
        <v>3825</v>
      </c>
      <c r="H18" s="6" t="s">
        <v>3826</v>
      </c>
      <c r="I18" s="6" t="s">
        <v>3827</v>
      </c>
      <c r="J18" s="6">
        <v>24</v>
      </c>
      <c r="K18" s="6" t="s">
        <v>19</v>
      </c>
      <c r="L18" s="10">
        <v>33.609133521414407</v>
      </c>
      <c r="M18" s="6" t="s">
        <v>33</v>
      </c>
      <c r="N18" s="10">
        <f>Tabla7[[#This Row],[Price]]*Tabla7[[#This Row],[QTY Adjusted]]</f>
        <v>806.61920451394576</v>
      </c>
      <c r="O18" s="10">
        <v>806.61920451394576</v>
      </c>
      <c r="P18" s="21" t="s">
        <v>4241</v>
      </c>
      <c r="Q18" s="6" t="s">
        <v>4246</v>
      </c>
    </row>
    <row r="19" spans="1:17" ht="39.6" customHeight="1" x14ac:dyDescent="0.3">
      <c r="A19" s="6">
        <v>1923</v>
      </c>
      <c r="B19" s="6" t="s">
        <v>3775</v>
      </c>
      <c r="C19" s="6" t="s">
        <v>92</v>
      </c>
      <c r="D19" s="6" t="s">
        <v>93</v>
      </c>
      <c r="E19" s="6"/>
      <c r="F19" s="6" t="s">
        <v>4059</v>
      </c>
      <c r="G19" s="6" t="s">
        <v>3853</v>
      </c>
      <c r="H19" s="6" t="s">
        <v>3854</v>
      </c>
      <c r="I19" s="6" t="s">
        <v>3855</v>
      </c>
      <c r="J19" s="6">
        <v>6</v>
      </c>
      <c r="K19" s="6" t="s">
        <v>19</v>
      </c>
      <c r="L19" s="10">
        <v>134.36000000000001</v>
      </c>
      <c r="M19" s="6" t="s">
        <v>33</v>
      </c>
      <c r="N19" s="10">
        <f>Tabla7[[#This Row],[Price]]*Tabla7[[#This Row],[QTY Adjusted]]</f>
        <v>806.16000000000008</v>
      </c>
      <c r="O19" s="10">
        <v>806.16000000000008</v>
      </c>
      <c r="P19" s="21" t="s">
        <v>4225</v>
      </c>
      <c r="Q19" s="6">
        <v>0</v>
      </c>
    </row>
    <row r="20" spans="1:17" ht="39.6" customHeight="1" x14ac:dyDescent="0.3">
      <c r="A20" s="6">
        <v>1920</v>
      </c>
      <c r="B20" s="6" t="s">
        <v>3775</v>
      </c>
      <c r="C20" s="6" t="s">
        <v>130</v>
      </c>
      <c r="D20" s="6" t="s">
        <v>130</v>
      </c>
      <c r="E20" s="6"/>
      <c r="F20" s="6" t="s">
        <v>4060</v>
      </c>
      <c r="G20" s="6" t="s">
        <v>3846</v>
      </c>
      <c r="H20" s="6" t="s">
        <v>1532</v>
      </c>
      <c r="I20" s="6" t="s">
        <v>3847</v>
      </c>
      <c r="J20" s="6">
        <v>12</v>
      </c>
      <c r="K20" s="6" t="s">
        <v>19</v>
      </c>
      <c r="L20" s="10">
        <v>66.790514434374444</v>
      </c>
      <c r="M20" s="6" t="s">
        <v>33</v>
      </c>
      <c r="N20" s="10">
        <f>Tabla7[[#This Row],[Price]]*Tabla7[[#This Row],[QTY Adjusted]]</f>
        <v>801.48617321249333</v>
      </c>
      <c r="O20" s="10">
        <v>801.48617321249333</v>
      </c>
      <c r="P20" s="21" t="s">
        <v>4241</v>
      </c>
      <c r="Q20" s="6" t="s">
        <v>4246</v>
      </c>
    </row>
    <row r="21" spans="1:17" ht="39.6" customHeight="1" x14ac:dyDescent="0.3">
      <c r="A21" s="6">
        <v>1915</v>
      </c>
      <c r="B21" s="6" t="s">
        <v>3775</v>
      </c>
      <c r="C21" s="6" t="s">
        <v>130</v>
      </c>
      <c r="D21" s="6" t="s">
        <v>130</v>
      </c>
      <c r="E21" s="6"/>
      <c r="F21" s="6" t="s">
        <v>4060</v>
      </c>
      <c r="G21" s="6" t="s">
        <v>3835</v>
      </c>
      <c r="H21" s="6" t="s">
        <v>1271</v>
      </c>
      <c r="I21" s="6" t="s">
        <v>3836</v>
      </c>
      <c r="J21" s="6">
        <v>24</v>
      </c>
      <c r="K21" s="6" t="s">
        <v>19</v>
      </c>
      <c r="L21" s="10">
        <v>29.133008011516942</v>
      </c>
      <c r="M21" s="6" t="s">
        <v>33</v>
      </c>
      <c r="N21" s="10">
        <f>Tabla7[[#This Row],[Price]]*Tabla7[[#This Row],[QTY Adjusted]]</f>
        <v>699.19219227640656</v>
      </c>
      <c r="O21" s="10">
        <v>699.19219227640656</v>
      </c>
      <c r="P21" s="21" t="s">
        <v>4241</v>
      </c>
      <c r="Q21" s="6" t="s">
        <v>4246</v>
      </c>
    </row>
    <row r="22" spans="1:17" ht="39.6" customHeight="1" x14ac:dyDescent="0.3">
      <c r="A22" s="6">
        <v>1916</v>
      </c>
      <c r="B22" s="6" t="s">
        <v>3775</v>
      </c>
      <c r="C22" s="6" t="s">
        <v>130</v>
      </c>
      <c r="D22" s="6" t="s">
        <v>130</v>
      </c>
      <c r="E22" s="6"/>
      <c r="F22" s="6" t="s">
        <v>4060</v>
      </c>
      <c r="G22" s="6" t="s">
        <v>3837</v>
      </c>
      <c r="H22" s="6" t="s">
        <v>508</v>
      </c>
      <c r="I22" s="6" t="s">
        <v>3838</v>
      </c>
      <c r="J22" s="6">
        <v>24</v>
      </c>
      <c r="K22" s="6" t="s">
        <v>19</v>
      </c>
      <c r="L22" s="10">
        <v>28.598317250948988</v>
      </c>
      <c r="M22" s="6" t="s">
        <v>33</v>
      </c>
      <c r="N22" s="10">
        <f>Tabla7[[#This Row],[Price]]*Tabla7[[#This Row],[QTY Adjusted]]</f>
        <v>686.35961402277576</v>
      </c>
      <c r="O22" s="10">
        <v>686.35961402277576</v>
      </c>
      <c r="P22" s="21" t="s">
        <v>4241</v>
      </c>
      <c r="Q22" s="6" t="s">
        <v>4246</v>
      </c>
    </row>
    <row r="23" spans="1:17" ht="39.6" customHeight="1" x14ac:dyDescent="0.3">
      <c r="A23" s="6">
        <v>1918</v>
      </c>
      <c r="B23" s="6" t="s">
        <v>3775</v>
      </c>
      <c r="C23" s="6" t="s">
        <v>130</v>
      </c>
      <c r="D23" s="6" t="s">
        <v>130</v>
      </c>
      <c r="E23" s="6"/>
      <c r="F23" s="6" t="s">
        <v>4060</v>
      </c>
      <c r="G23" s="6" t="s">
        <v>3841</v>
      </c>
      <c r="H23" s="6" t="s">
        <v>3842</v>
      </c>
      <c r="I23" s="6" t="s">
        <v>3843</v>
      </c>
      <c r="J23" s="6">
        <v>12</v>
      </c>
      <c r="K23" s="6" t="s">
        <v>19</v>
      </c>
      <c r="L23" s="10">
        <v>55.439793431460394</v>
      </c>
      <c r="M23" s="6" t="s">
        <v>33</v>
      </c>
      <c r="N23" s="10">
        <f>Tabla7[[#This Row],[Price]]*Tabla7[[#This Row],[QTY Adjusted]]</f>
        <v>665.2775211775247</v>
      </c>
      <c r="O23" s="10">
        <v>665.2775211775247</v>
      </c>
      <c r="P23" s="21" t="s">
        <v>4241</v>
      </c>
      <c r="Q23" s="6" t="s">
        <v>4246</v>
      </c>
    </row>
    <row r="24" spans="1:17" ht="39.6" customHeight="1" x14ac:dyDescent="0.3">
      <c r="A24" s="6">
        <v>1914</v>
      </c>
      <c r="B24" s="6" t="s">
        <v>3775</v>
      </c>
      <c r="C24" s="6" t="s">
        <v>130</v>
      </c>
      <c r="D24" s="6" t="s">
        <v>130</v>
      </c>
      <c r="E24" s="6"/>
      <c r="F24" s="6" t="s">
        <v>4060</v>
      </c>
      <c r="G24" s="6" t="s">
        <v>3833</v>
      </c>
      <c r="H24" s="6" t="s">
        <v>514</v>
      </c>
      <c r="I24" s="6" t="s">
        <v>3834</v>
      </c>
      <c r="J24" s="6">
        <v>24</v>
      </c>
      <c r="K24" s="6" t="s">
        <v>19</v>
      </c>
      <c r="L24" s="10">
        <v>27.391443819952741</v>
      </c>
      <c r="M24" s="6" t="s">
        <v>33</v>
      </c>
      <c r="N24" s="10">
        <f>Tabla7[[#This Row],[Price]]*Tabla7[[#This Row],[QTY Adjusted]]</f>
        <v>657.39465167886578</v>
      </c>
      <c r="O24" s="10">
        <v>657.39465167886578</v>
      </c>
      <c r="P24" s="21" t="s">
        <v>4241</v>
      </c>
      <c r="Q24" s="6" t="s">
        <v>4246</v>
      </c>
    </row>
    <row r="25" spans="1:17" ht="39.6" customHeight="1" x14ac:dyDescent="0.3">
      <c r="A25" s="6">
        <v>1917</v>
      </c>
      <c r="B25" s="6" t="s">
        <v>3775</v>
      </c>
      <c r="C25" s="6" t="s">
        <v>130</v>
      </c>
      <c r="D25" s="6" t="s">
        <v>130</v>
      </c>
      <c r="E25" s="6"/>
      <c r="F25" s="6" t="s">
        <v>4060</v>
      </c>
      <c r="G25" s="6" t="s">
        <v>3839</v>
      </c>
      <c r="H25" s="6" t="s">
        <v>511</v>
      </c>
      <c r="I25" s="6" t="s">
        <v>3840</v>
      </c>
      <c r="J25" s="6">
        <v>24</v>
      </c>
      <c r="K25" s="6" t="s">
        <v>19</v>
      </c>
      <c r="L25" s="10">
        <v>26.47483108755053</v>
      </c>
      <c r="M25" s="6" t="s">
        <v>33</v>
      </c>
      <c r="N25" s="10">
        <f>Tabla7[[#This Row],[Price]]*Tabla7[[#This Row],[QTY Adjusted]]</f>
        <v>635.39594610121276</v>
      </c>
      <c r="O25" s="10">
        <v>635.39594610121276</v>
      </c>
      <c r="P25" s="21" t="s">
        <v>4241</v>
      </c>
      <c r="Q25" s="6" t="s">
        <v>4246</v>
      </c>
    </row>
    <row r="26" spans="1:17" ht="39.6" customHeight="1" x14ac:dyDescent="0.3">
      <c r="A26" s="6">
        <v>1939</v>
      </c>
      <c r="B26" s="6" t="s">
        <v>3775</v>
      </c>
      <c r="C26" s="6" t="s">
        <v>219</v>
      </c>
      <c r="D26" s="6" t="s">
        <v>44</v>
      </c>
      <c r="E26" s="6"/>
      <c r="F26" s="6" t="s">
        <v>4059</v>
      </c>
      <c r="G26" s="6" t="s">
        <v>3871</v>
      </c>
      <c r="H26" s="6" t="s">
        <v>128</v>
      </c>
      <c r="I26" s="6" t="s">
        <v>3872</v>
      </c>
      <c r="J26" s="6">
        <v>6</v>
      </c>
      <c r="K26" s="6" t="s">
        <v>19</v>
      </c>
      <c r="L26" s="10">
        <v>83.286000000000001</v>
      </c>
      <c r="M26" s="6" t="s">
        <v>33</v>
      </c>
      <c r="N26" s="10">
        <f>Tabla7[[#This Row],[Price]]*Tabla7[[#This Row],[QTY Adjusted]]</f>
        <v>499.71600000000001</v>
      </c>
      <c r="O26" s="10">
        <v>499.71600000000001</v>
      </c>
      <c r="P26" s="23" t="s">
        <v>4225</v>
      </c>
      <c r="Q26" s="6">
        <v>0</v>
      </c>
    </row>
    <row r="27" spans="1:17" ht="39.6" customHeight="1" x14ac:dyDescent="0.3">
      <c r="A27" s="6">
        <v>1893</v>
      </c>
      <c r="B27" s="6" t="s">
        <v>3775</v>
      </c>
      <c r="C27" s="6" t="s">
        <v>34</v>
      </c>
      <c r="D27" s="6" t="str">
        <f>Tabla7[[#This Row],[Vendor]]</f>
        <v>Casa Rovea</v>
      </c>
      <c r="E27" s="6"/>
      <c r="F27" s="6" t="s">
        <v>4061</v>
      </c>
      <c r="G27" s="6" t="s">
        <v>3784</v>
      </c>
      <c r="H27" s="6" t="s">
        <v>36</v>
      </c>
      <c r="I27" s="6" t="s">
        <v>3785</v>
      </c>
      <c r="J27" s="6">
        <v>72</v>
      </c>
      <c r="K27" s="6" t="s">
        <v>19</v>
      </c>
      <c r="L27" s="10">
        <v>4.78</v>
      </c>
      <c r="M27" s="6" t="s">
        <v>28</v>
      </c>
      <c r="N27" s="10">
        <f>Tabla7[[#This Row],[Price]]*Tabla7[[#This Row],[QTY Adjusted]]</f>
        <v>344.16</v>
      </c>
      <c r="O27" s="10">
        <v>399.22559999999999</v>
      </c>
      <c r="P27" s="21" t="s">
        <v>4224</v>
      </c>
      <c r="Q27" s="6">
        <v>0</v>
      </c>
    </row>
    <row r="28" spans="1:17" ht="39.6" customHeight="1" x14ac:dyDescent="0.3">
      <c r="A28" s="6">
        <v>1919</v>
      </c>
      <c r="B28" s="6" t="s">
        <v>3775</v>
      </c>
      <c r="C28" s="6" t="s">
        <v>130</v>
      </c>
      <c r="D28" s="6" t="s">
        <v>130</v>
      </c>
      <c r="E28" s="6"/>
      <c r="F28" s="6" t="s">
        <v>4060</v>
      </c>
      <c r="G28" s="6" t="s">
        <v>3844</v>
      </c>
      <c r="H28" s="6" t="s">
        <v>110</v>
      </c>
      <c r="I28" s="6" t="s">
        <v>3845</v>
      </c>
      <c r="J28" s="6">
        <v>12</v>
      </c>
      <c r="K28" s="6" t="s">
        <v>19</v>
      </c>
      <c r="L28" s="10">
        <v>38.619949791879826</v>
      </c>
      <c r="M28" s="6" t="s">
        <v>33</v>
      </c>
      <c r="N28" s="10">
        <f>Tabla7[[#This Row],[Price]]*Tabla7[[#This Row],[QTY Adjusted]]</f>
        <v>463.43939750255788</v>
      </c>
      <c r="O28" s="10">
        <v>463.43939750255788</v>
      </c>
      <c r="P28" s="21" t="s">
        <v>4241</v>
      </c>
      <c r="Q28" s="6" t="s">
        <v>4246</v>
      </c>
    </row>
    <row r="29" spans="1:17" ht="39.6" customHeight="1" x14ac:dyDescent="0.3">
      <c r="A29" s="6">
        <v>1928</v>
      </c>
      <c r="B29" s="6" t="s">
        <v>3775</v>
      </c>
      <c r="C29" s="6" t="s">
        <v>134</v>
      </c>
      <c r="D29" s="6" t="s">
        <v>44</v>
      </c>
      <c r="E29" s="6"/>
      <c r="F29" s="6" t="s">
        <v>4062</v>
      </c>
      <c r="G29" s="6" t="s">
        <v>135</v>
      </c>
      <c r="H29" s="6" t="s">
        <v>136</v>
      </c>
      <c r="I29" s="6" t="s">
        <v>137</v>
      </c>
      <c r="J29" s="6">
        <v>29</v>
      </c>
      <c r="K29" s="6" t="s">
        <v>19</v>
      </c>
      <c r="L29" s="10">
        <v>11.186500000000001</v>
      </c>
      <c r="M29" s="6" t="s">
        <v>33</v>
      </c>
      <c r="N29" s="10">
        <f>Tabla7[[#This Row],[Price]]*Tabla7[[#This Row],[QTY Adjusted]]</f>
        <v>324.4085</v>
      </c>
      <c r="O29" s="10">
        <v>324.4085</v>
      </c>
      <c r="P29" s="21" t="s">
        <v>4225</v>
      </c>
      <c r="Q29" s="6">
        <v>0</v>
      </c>
    </row>
    <row r="30" spans="1:17" ht="39.6" customHeight="1" x14ac:dyDescent="0.3">
      <c r="A30" s="6">
        <v>1941</v>
      </c>
      <c r="B30" s="6" t="s">
        <v>3775</v>
      </c>
      <c r="C30" s="6" t="s">
        <v>219</v>
      </c>
      <c r="D30" s="6" t="s">
        <v>44</v>
      </c>
      <c r="E30" s="6"/>
      <c r="F30" s="6" t="s">
        <v>4059</v>
      </c>
      <c r="G30" s="6" t="s">
        <v>3875</v>
      </c>
      <c r="H30" s="6" t="s">
        <v>125</v>
      </c>
      <c r="I30" s="6" t="s">
        <v>3876</v>
      </c>
      <c r="J30" s="6">
        <v>3</v>
      </c>
      <c r="K30" s="6" t="s">
        <v>19</v>
      </c>
      <c r="L30" s="10">
        <v>103.626</v>
      </c>
      <c r="M30" s="6" t="s">
        <v>33</v>
      </c>
      <c r="N30" s="10">
        <f>Tabla7[[#This Row],[Price]]*Tabla7[[#This Row],[QTY Adjusted]]</f>
        <v>310.87800000000004</v>
      </c>
      <c r="O30" s="10">
        <v>310.87800000000004</v>
      </c>
      <c r="P30" s="23" t="s">
        <v>4225</v>
      </c>
      <c r="Q30" s="6">
        <v>0</v>
      </c>
    </row>
    <row r="31" spans="1:17" ht="39.6" customHeight="1" x14ac:dyDescent="0.3">
      <c r="A31" s="6">
        <v>1929</v>
      </c>
      <c r="B31" s="6" t="s">
        <v>3775</v>
      </c>
      <c r="C31" s="6" t="s">
        <v>134</v>
      </c>
      <c r="D31" s="6" t="s">
        <v>44</v>
      </c>
      <c r="E31" s="6"/>
      <c r="F31" s="6" t="s">
        <v>4062</v>
      </c>
      <c r="G31" s="6" t="s">
        <v>138</v>
      </c>
      <c r="H31" s="6" t="s">
        <v>139</v>
      </c>
      <c r="I31" s="6" t="s">
        <v>140</v>
      </c>
      <c r="J31" s="6">
        <v>24</v>
      </c>
      <c r="K31" s="6" t="s">
        <v>19</v>
      </c>
      <c r="L31" s="10">
        <v>12.1225</v>
      </c>
      <c r="M31" s="6" t="s">
        <v>33</v>
      </c>
      <c r="N31" s="10">
        <f>Tabla7[[#This Row],[Price]]*Tabla7[[#This Row],[QTY Adjusted]]</f>
        <v>290.94</v>
      </c>
      <c r="O31" s="10">
        <v>290.94</v>
      </c>
      <c r="P31" s="21" t="s">
        <v>4225</v>
      </c>
      <c r="Q31" s="6">
        <v>0</v>
      </c>
    </row>
    <row r="32" spans="1:17" ht="39.6" customHeight="1" x14ac:dyDescent="0.3">
      <c r="A32" s="6">
        <v>1931</v>
      </c>
      <c r="B32" s="6" t="s">
        <v>3775</v>
      </c>
      <c r="C32" s="6" t="s">
        <v>134</v>
      </c>
      <c r="D32" s="6" t="s">
        <v>44</v>
      </c>
      <c r="E32" s="6"/>
      <c r="F32" s="6" t="s">
        <v>4062</v>
      </c>
      <c r="G32" s="6" t="s">
        <v>952</v>
      </c>
      <c r="H32" s="6" t="s">
        <v>156</v>
      </c>
      <c r="I32" s="6" t="s">
        <v>953</v>
      </c>
      <c r="J32" s="6">
        <v>24</v>
      </c>
      <c r="K32" s="6" t="s">
        <v>19</v>
      </c>
      <c r="L32" s="10">
        <v>12.1225</v>
      </c>
      <c r="M32" s="6" t="s">
        <v>33</v>
      </c>
      <c r="N32" s="10">
        <f>Tabla7[[#This Row],[Price]]*Tabla7[[#This Row],[QTY Adjusted]]</f>
        <v>290.94</v>
      </c>
      <c r="O32" s="10">
        <v>290.94</v>
      </c>
      <c r="P32" s="23">
        <v>46096</v>
      </c>
      <c r="Q32" s="6">
        <v>0</v>
      </c>
    </row>
    <row r="33" spans="1:17" ht="39.6" customHeight="1" x14ac:dyDescent="0.3">
      <c r="A33" s="6">
        <v>1902</v>
      </c>
      <c r="B33" s="6" t="s">
        <v>3775</v>
      </c>
      <c r="C33" s="6" t="s">
        <v>717</v>
      </c>
      <c r="D33" s="6" t="s">
        <v>718</v>
      </c>
      <c r="E33" s="6"/>
      <c r="F33" s="6" t="s">
        <v>4063</v>
      </c>
      <c r="G33" s="6" t="s">
        <v>3804</v>
      </c>
      <c r="H33" s="6" t="s">
        <v>70</v>
      </c>
      <c r="I33" s="6" t="s">
        <v>3805</v>
      </c>
      <c r="J33" s="6">
        <v>29</v>
      </c>
      <c r="K33" s="6" t="s">
        <v>19</v>
      </c>
      <c r="L33" s="10">
        <v>6.8</v>
      </c>
      <c r="M33" s="6" t="s">
        <v>33</v>
      </c>
      <c r="N33" s="10">
        <f>Tabla7[[#This Row],[Price]]*Tabla7[[#This Row],[QTY Adjusted]]</f>
        <v>197.2</v>
      </c>
      <c r="O33" s="10">
        <v>197.2</v>
      </c>
      <c r="P33" s="21" t="s">
        <v>4225</v>
      </c>
      <c r="Q33" s="6">
        <v>0</v>
      </c>
    </row>
    <row r="34" spans="1:17" ht="39.6" customHeight="1" x14ac:dyDescent="0.3">
      <c r="A34" s="6">
        <v>1900</v>
      </c>
      <c r="B34" s="6" t="s">
        <v>3775</v>
      </c>
      <c r="C34" s="6" t="s">
        <v>717</v>
      </c>
      <c r="D34" s="6" t="s">
        <v>718</v>
      </c>
      <c r="E34" s="6"/>
      <c r="F34" s="6" t="s">
        <v>4063</v>
      </c>
      <c r="G34" s="6" t="s">
        <v>3799</v>
      </c>
      <c r="H34" s="6" t="s">
        <v>3800</v>
      </c>
      <c r="I34" s="6" t="s">
        <v>3801</v>
      </c>
      <c r="J34" s="6">
        <v>29</v>
      </c>
      <c r="K34" s="6" t="s">
        <v>19</v>
      </c>
      <c r="L34" s="10">
        <v>5.9</v>
      </c>
      <c r="M34" s="6" t="s">
        <v>33</v>
      </c>
      <c r="N34" s="10">
        <f>Tabla7[[#This Row],[Price]]*Tabla7[[#This Row],[QTY Adjusted]]</f>
        <v>171.10000000000002</v>
      </c>
      <c r="O34" s="10">
        <v>171.10000000000002</v>
      </c>
      <c r="P34" s="21" t="s">
        <v>4225</v>
      </c>
      <c r="Q34" s="6">
        <v>0</v>
      </c>
    </row>
    <row r="35" spans="1:17" ht="39.6" customHeight="1" x14ac:dyDescent="0.3">
      <c r="A35" s="6">
        <v>1901</v>
      </c>
      <c r="B35" s="6" t="s">
        <v>3775</v>
      </c>
      <c r="C35" s="6" t="s">
        <v>717</v>
      </c>
      <c r="D35" s="6" t="s">
        <v>718</v>
      </c>
      <c r="E35" s="6"/>
      <c r="F35" s="6" t="s">
        <v>4063</v>
      </c>
      <c r="G35" s="6" t="s">
        <v>3802</v>
      </c>
      <c r="H35" s="6" t="s">
        <v>67</v>
      </c>
      <c r="I35" s="6" t="s">
        <v>3803</v>
      </c>
      <c r="J35" s="6">
        <v>29</v>
      </c>
      <c r="K35" s="6" t="s">
        <v>19</v>
      </c>
      <c r="L35" s="10">
        <v>5.9</v>
      </c>
      <c r="M35" s="6" t="s">
        <v>33</v>
      </c>
      <c r="N35" s="10">
        <f>Tabla7[[#This Row],[Price]]*Tabla7[[#This Row],[QTY Adjusted]]</f>
        <v>171.10000000000002</v>
      </c>
      <c r="O35" s="10">
        <v>171.10000000000002</v>
      </c>
      <c r="P35" s="21" t="s">
        <v>4225</v>
      </c>
      <c r="Q35" s="6">
        <v>0</v>
      </c>
    </row>
    <row r="36" spans="1:17" ht="39.6" customHeight="1" x14ac:dyDescent="0.3">
      <c r="A36" s="6">
        <v>1896</v>
      </c>
      <c r="B36" s="6" t="s">
        <v>3775</v>
      </c>
      <c r="C36" s="6" t="s">
        <v>717</v>
      </c>
      <c r="D36" s="6" t="s">
        <v>718</v>
      </c>
      <c r="E36" s="6"/>
      <c r="F36" s="6" t="s">
        <v>4063</v>
      </c>
      <c r="G36" s="6" t="s">
        <v>3791</v>
      </c>
      <c r="H36" s="6" t="s">
        <v>501</v>
      </c>
      <c r="I36" s="6" t="s">
        <v>3792</v>
      </c>
      <c r="J36" s="6">
        <v>29</v>
      </c>
      <c r="K36" s="6" t="s">
        <v>19</v>
      </c>
      <c r="L36" s="10">
        <v>5.8</v>
      </c>
      <c r="M36" s="6" t="s">
        <v>33</v>
      </c>
      <c r="N36" s="10">
        <f>Tabla7[[#This Row],[Price]]*Tabla7[[#This Row],[QTY Adjusted]]</f>
        <v>168.2</v>
      </c>
      <c r="O36" s="10">
        <v>168.2</v>
      </c>
      <c r="P36" s="21" t="s">
        <v>4225</v>
      </c>
      <c r="Q36" s="6">
        <v>0</v>
      </c>
    </row>
    <row r="37" spans="1:17" ht="39.6" customHeight="1" x14ac:dyDescent="0.3">
      <c r="A37" s="6">
        <v>1898</v>
      </c>
      <c r="B37" s="6" t="s">
        <v>3775</v>
      </c>
      <c r="C37" s="6" t="s">
        <v>717</v>
      </c>
      <c r="D37" s="6" t="s">
        <v>718</v>
      </c>
      <c r="E37" s="6"/>
      <c r="F37" s="6" t="s">
        <v>4063</v>
      </c>
      <c r="G37" s="6" t="s">
        <v>3795</v>
      </c>
      <c r="H37" s="6" t="s">
        <v>2421</v>
      </c>
      <c r="I37" s="6" t="s">
        <v>3796</v>
      </c>
      <c r="J37" s="6">
        <v>44</v>
      </c>
      <c r="K37" s="6" t="s">
        <v>19</v>
      </c>
      <c r="L37" s="10">
        <v>3.4</v>
      </c>
      <c r="M37" s="6" t="s">
        <v>33</v>
      </c>
      <c r="N37" s="10">
        <f>Tabla7[[#This Row],[Price]]*Tabla7[[#This Row],[QTY Adjusted]]</f>
        <v>149.6</v>
      </c>
      <c r="O37" s="10">
        <v>149.6</v>
      </c>
      <c r="P37" s="21" t="s">
        <v>4225</v>
      </c>
      <c r="Q37" s="6">
        <v>0</v>
      </c>
    </row>
    <row r="38" spans="1:17" ht="39.6" customHeight="1" x14ac:dyDescent="0.3">
      <c r="A38" s="6">
        <v>1940</v>
      </c>
      <c r="B38" s="6" t="s">
        <v>3775</v>
      </c>
      <c r="C38" s="6" t="s">
        <v>219</v>
      </c>
      <c r="D38" s="6" t="s">
        <v>44</v>
      </c>
      <c r="E38" s="6"/>
      <c r="F38" s="6" t="s">
        <v>4059</v>
      </c>
      <c r="G38" s="6" t="s">
        <v>3873</v>
      </c>
      <c r="H38" s="6" t="s">
        <v>540</v>
      </c>
      <c r="I38" s="6" t="s">
        <v>3874</v>
      </c>
      <c r="J38" s="6">
        <v>6</v>
      </c>
      <c r="K38" s="6" t="s">
        <v>19</v>
      </c>
      <c r="L38" s="10">
        <v>28.356000000000002</v>
      </c>
      <c r="M38" s="6" t="s">
        <v>33</v>
      </c>
      <c r="N38" s="10">
        <f>Tabla7[[#This Row],[Price]]*Tabla7[[#This Row],[QTY Adjusted]]</f>
        <v>170.13600000000002</v>
      </c>
      <c r="O38" s="10">
        <v>170.13600000000002</v>
      </c>
      <c r="P38" s="23" t="s">
        <v>4225</v>
      </c>
      <c r="Q38" s="6">
        <v>0</v>
      </c>
    </row>
    <row r="39" spans="1:17" ht="39.6" customHeight="1" x14ac:dyDescent="0.3">
      <c r="A39" s="6">
        <v>1895</v>
      </c>
      <c r="B39" s="6" t="s">
        <v>3775</v>
      </c>
      <c r="C39" s="6" t="s">
        <v>717</v>
      </c>
      <c r="D39" s="6" t="s">
        <v>718</v>
      </c>
      <c r="E39" s="6"/>
      <c r="F39" s="6" t="s">
        <v>4063</v>
      </c>
      <c r="G39" s="6" t="s">
        <v>3789</v>
      </c>
      <c r="H39" s="6" t="s">
        <v>49</v>
      </c>
      <c r="I39" s="6" t="s">
        <v>3790</v>
      </c>
      <c r="J39" s="6">
        <v>29</v>
      </c>
      <c r="K39" s="6" t="s">
        <v>19</v>
      </c>
      <c r="L39" s="10">
        <v>5</v>
      </c>
      <c r="M39" s="6" t="s">
        <v>33</v>
      </c>
      <c r="N39" s="10">
        <f>Tabla7[[#This Row],[Price]]*Tabla7[[#This Row],[QTY Adjusted]]</f>
        <v>145</v>
      </c>
      <c r="O39" s="10">
        <v>145</v>
      </c>
      <c r="P39" s="21" t="s">
        <v>4225</v>
      </c>
      <c r="Q39" s="6">
        <v>0</v>
      </c>
    </row>
    <row r="40" spans="1:17" ht="39.6" customHeight="1" x14ac:dyDescent="0.3">
      <c r="A40" s="6">
        <v>1897</v>
      </c>
      <c r="B40" s="6" t="s">
        <v>3775</v>
      </c>
      <c r="C40" s="6" t="s">
        <v>717</v>
      </c>
      <c r="D40" s="6" t="s">
        <v>718</v>
      </c>
      <c r="E40" s="6"/>
      <c r="F40" s="6" t="s">
        <v>4063</v>
      </c>
      <c r="G40" s="6" t="s">
        <v>3793</v>
      </c>
      <c r="H40" s="6" t="s">
        <v>1385</v>
      </c>
      <c r="I40" s="6" t="s">
        <v>3794</v>
      </c>
      <c r="J40" s="6">
        <v>29</v>
      </c>
      <c r="K40" s="6" t="s">
        <v>19</v>
      </c>
      <c r="L40" s="10">
        <v>5</v>
      </c>
      <c r="M40" s="6" t="s">
        <v>33</v>
      </c>
      <c r="N40" s="10">
        <f>Tabla7[[#This Row],[Price]]*Tabla7[[#This Row],[QTY Adjusted]]</f>
        <v>145</v>
      </c>
      <c r="O40" s="10">
        <v>145</v>
      </c>
      <c r="P40" s="21" t="s">
        <v>4225</v>
      </c>
      <c r="Q40" s="6">
        <v>0</v>
      </c>
    </row>
    <row r="41" spans="1:17" ht="39.6" customHeight="1" x14ac:dyDescent="0.3">
      <c r="A41" s="6">
        <v>1903</v>
      </c>
      <c r="B41" s="6" t="s">
        <v>3775</v>
      </c>
      <c r="C41" s="6" t="s">
        <v>717</v>
      </c>
      <c r="D41" s="6" t="s">
        <v>718</v>
      </c>
      <c r="E41" s="6"/>
      <c r="F41" s="6" t="s">
        <v>4063</v>
      </c>
      <c r="G41" s="6" t="s">
        <v>3806</v>
      </c>
      <c r="H41" s="6" t="s">
        <v>3807</v>
      </c>
      <c r="I41" s="6" t="s">
        <v>3808</v>
      </c>
      <c r="J41" s="6">
        <v>29</v>
      </c>
      <c r="K41" s="6" t="s">
        <v>19</v>
      </c>
      <c r="L41" s="10">
        <v>4.9000000000000004</v>
      </c>
      <c r="M41" s="6" t="s">
        <v>33</v>
      </c>
      <c r="N41" s="10">
        <f>Tabla7[[#This Row],[Price]]*Tabla7[[#This Row],[QTY Adjusted]]</f>
        <v>142.10000000000002</v>
      </c>
      <c r="O41" s="10">
        <v>142.10000000000002</v>
      </c>
      <c r="P41" s="21" t="s">
        <v>4225</v>
      </c>
      <c r="Q41" s="6">
        <v>0</v>
      </c>
    </row>
    <row r="42" spans="1:17" ht="39.6" customHeight="1" x14ac:dyDescent="0.3">
      <c r="A42" s="6">
        <v>1933</v>
      </c>
      <c r="B42" s="6" t="s">
        <v>3775</v>
      </c>
      <c r="C42" s="6" t="s">
        <v>134</v>
      </c>
      <c r="D42" s="6" t="s">
        <v>44</v>
      </c>
      <c r="E42" s="6"/>
      <c r="F42" s="6" t="s">
        <v>4062</v>
      </c>
      <c r="G42" s="6" t="s">
        <v>957</v>
      </c>
      <c r="H42" s="6" t="s">
        <v>3864</v>
      </c>
      <c r="I42" s="6" t="s">
        <v>958</v>
      </c>
      <c r="J42" s="6">
        <v>24</v>
      </c>
      <c r="K42" s="6" t="s">
        <v>19</v>
      </c>
      <c r="L42" s="10">
        <v>5.1479999999999997</v>
      </c>
      <c r="M42" s="6" t="s">
        <v>33</v>
      </c>
      <c r="N42" s="10">
        <f>Tabla7[[#This Row],[Price]]*Tabla7[[#This Row],[QTY Adjusted]]</f>
        <v>123.55199999999999</v>
      </c>
      <c r="O42" s="10">
        <v>123.55199999999999</v>
      </c>
      <c r="P42" s="21" t="s">
        <v>4225</v>
      </c>
      <c r="Q42" s="6">
        <v>0</v>
      </c>
    </row>
    <row r="43" spans="1:17" ht="39.6" customHeight="1" x14ac:dyDescent="0.3">
      <c r="A43" s="6">
        <v>1930</v>
      </c>
      <c r="B43" s="6" t="s">
        <v>3775</v>
      </c>
      <c r="C43" s="6" t="s">
        <v>3861</v>
      </c>
      <c r="D43" s="6" t="s">
        <v>44</v>
      </c>
      <c r="E43" s="6"/>
      <c r="F43" s="6" t="s">
        <v>4062</v>
      </c>
      <c r="G43" s="6" t="s">
        <v>3862</v>
      </c>
      <c r="H43" s="6" t="s">
        <v>142</v>
      </c>
      <c r="I43" s="6" t="s">
        <v>3863</v>
      </c>
      <c r="J43" s="6">
        <v>24</v>
      </c>
      <c r="K43" s="6" t="s">
        <v>19</v>
      </c>
      <c r="L43" s="10">
        <v>5.04</v>
      </c>
      <c r="M43" s="6" t="s">
        <v>33</v>
      </c>
      <c r="N43" s="10">
        <f>Tabla7[[#This Row],[Price]]*Tabla7[[#This Row],[QTY Adjusted]]</f>
        <v>120.96000000000001</v>
      </c>
      <c r="O43" s="10">
        <v>120.96000000000001</v>
      </c>
      <c r="P43" s="23" t="s">
        <v>4225</v>
      </c>
      <c r="Q43" s="6">
        <v>0</v>
      </c>
    </row>
    <row r="44" spans="1:17" ht="39.6" customHeight="1" x14ac:dyDescent="0.3">
      <c r="A44" s="6">
        <v>1932</v>
      </c>
      <c r="B44" s="6" t="s">
        <v>3775</v>
      </c>
      <c r="C44" s="6" t="s">
        <v>134</v>
      </c>
      <c r="D44" s="6" t="s">
        <v>44</v>
      </c>
      <c r="E44" s="6"/>
      <c r="F44" s="6" t="s">
        <v>4062</v>
      </c>
      <c r="G44" s="6" t="s">
        <v>955</v>
      </c>
      <c r="H44" s="6" t="s">
        <v>145</v>
      </c>
      <c r="I44" s="6" t="s">
        <v>956</v>
      </c>
      <c r="J44" s="6">
        <v>24</v>
      </c>
      <c r="K44" s="6" t="s">
        <v>19</v>
      </c>
      <c r="L44" s="10">
        <v>4.8099999999999996</v>
      </c>
      <c r="M44" s="6" t="s">
        <v>33</v>
      </c>
      <c r="N44" s="10">
        <f>Tabla7[[#This Row],[Price]]*Tabla7[[#This Row],[QTY Adjusted]]</f>
        <v>115.44</v>
      </c>
      <c r="O44" s="10">
        <v>115.44</v>
      </c>
      <c r="P44" s="21" t="s">
        <v>4225</v>
      </c>
      <c r="Q44" s="6">
        <v>0</v>
      </c>
    </row>
    <row r="45" spans="1:17" ht="39.6" customHeight="1" x14ac:dyDescent="0.3">
      <c r="A45" s="6">
        <v>1937</v>
      </c>
      <c r="B45" s="6" t="s">
        <v>3775</v>
      </c>
      <c r="C45" s="6" t="s">
        <v>134</v>
      </c>
      <c r="D45" s="6" t="s">
        <v>44</v>
      </c>
      <c r="E45" s="6"/>
      <c r="F45" s="6" t="s">
        <v>4062</v>
      </c>
      <c r="G45" s="6" t="s">
        <v>536</v>
      </c>
      <c r="H45" s="6" t="s">
        <v>154</v>
      </c>
      <c r="I45" s="6" t="s">
        <v>538</v>
      </c>
      <c r="J45" s="6">
        <v>12</v>
      </c>
      <c r="K45" s="6" t="s">
        <v>19</v>
      </c>
      <c r="L45" s="10">
        <v>9.36</v>
      </c>
      <c r="M45" s="6" t="s">
        <v>33</v>
      </c>
      <c r="N45" s="10">
        <f>Tabla7[[#This Row],[Price]]*Tabla7[[#This Row],[QTY Adjusted]]</f>
        <v>112.32</v>
      </c>
      <c r="O45" s="10">
        <v>112.32</v>
      </c>
      <c r="P45" s="21" t="s">
        <v>4225</v>
      </c>
      <c r="Q45" s="6">
        <v>0</v>
      </c>
    </row>
    <row r="46" spans="1:17" ht="39.6" customHeight="1" x14ac:dyDescent="0.3">
      <c r="A46" s="6">
        <v>1924</v>
      </c>
      <c r="B46" s="6" t="s">
        <v>3775</v>
      </c>
      <c r="C46" s="6" t="s">
        <v>3856</v>
      </c>
      <c r="D46" s="6" t="s">
        <v>493</v>
      </c>
      <c r="E46" s="6"/>
      <c r="F46" s="6" t="s">
        <v>4059</v>
      </c>
      <c r="G46" s="6">
        <v>367.18299999999999</v>
      </c>
      <c r="H46" s="6" t="s">
        <v>3857</v>
      </c>
      <c r="I46" s="20" t="s">
        <v>3858</v>
      </c>
      <c r="J46" s="6">
        <v>6</v>
      </c>
      <c r="K46" s="6" t="s">
        <v>19</v>
      </c>
      <c r="L46" s="10">
        <v>17.5</v>
      </c>
      <c r="M46" s="6" t="s">
        <v>33</v>
      </c>
      <c r="N46" s="10">
        <f>Tabla7[[#This Row],[Price]]*Tabla7[[#This Row],[QTY Adjusted]]</f>
        <v>105</v>
      </c>
      <c r="O46" s="10">
        <v>105</v>
      </c>
      <c r="P46" s="21" t="s">
        <v>4218</v>
      </c>
      <c r="Q46" s="6" t="s">
        <v>4245</v>
      </c>
    </row>
    <row r="47" spans="1:17" ht="39.6" customHeight="1" x14ac:dyDescent="0.3">
      <c r="A47" s="6">
        <v>1936</v>
      </c>
      <c r="B47" s="6" t="s">
        <v>3775</v>
      </c>
      <c r="C47" s="6" t="s">
        <v>228</v>
      </c>
      <c r="D47" s="6" t="s">
        <v>44</v>
      </c>
      <c r="E47" s="6"/>
      <c r="F47" s="6" t="s">
        <v>4062</v>
      </c>
      <c r="G47" s="6" t="s">
        <v>965</v>
      </c>
      <c r="H47" s="6" t="s">
        <v>706</v>
      </c>
      <c r="I47" s="6" t="s">
        <v>966</v>
      </c>
      <c r="J47" s="6">
        <v>12</v>
      </c>
      <c r="K47" s="6" t="s">
        <v>19</v>
      </c>
      <c r="L47" s="10">
        <v>8.06</v>
      </c>
      <c r="M47" s="6" t="s">
        <v>33</v>
      </c>
      <c r="N47" s="10">
        <f>Tabla7[[#This Row],[Price]]*Tabla7[[#This Row],[QTY Adjusted]]</f>
        <v>96.72</v>
      </c>
      <c r="O47" s="10">
        <v>96.72</v>
      </c>
      <c r="P47" s="23" t="s">
        <v>4225</v>
      </c>
      <c r="Q47" s="6">
        <v>0</v>
      </c>
    </row>
    <row r="48" spans="1:17" ht="39.6" customHeight="1" x14ac:dyDescent="0.3">
      <c r="A48" s="6">
        <v>1922</v>
      </c>
      <c r="B48" s="6" t="s">
        <v>3775</v>
      </c>
      <c r="C48" s="6" t="s">
        <v>219</v>
      </c>
      <c r="D48" s="6" t="s">
        <v>44</v>
      </c>
      <c r="E48" s="6"/>
      <c r="F48" s="6" t="s">
        <v>4059</v>
      </c>
      <c r="G48" s="6" t="s">
        <v>220</v>
      </c>
      <c r="H48" s="6" t="s">
        <v>3851</v>
      </c>
      <c r="I48" s="6" t="s">
        <v>3852</v>
      </c>
      <c r="J48" s="6">
        <v>15</v>
      </c>
      <c r="K48" s="6" t="s">
        <v>19</v>
      </c>
      <c r="L48" s="10">
        <v>4.9980000000000002</v>
      </c>
      <c r="M48" s="6" t="s">
        <v>33</v>
      </c>
      <c r="N48" s="10">
        <f>Tabla7[[#This Row],[Price]]*Tabla7[[#This Row],[QTY Adjusted]]</f>
        <v>74.97</v>
      </c>
      <c r="O48" s="10">
        <v>74.97</v>
      </c>
      <c r="P48" s="23" t="s">
        <v>4225</v>
      </c>
      <c r="Q48" s="6">
        <v>0</v>
      </c>
    </row>
    <row r="49" spans="1:17" ht="39.6" customHeight="1" x14ac:dyDescent="0.3">
      <c r="A49" s="6">
        <v>1889</v>
      </c>
      <c r="B49" s="6" t="s">
        <v>3775</v>
      </c>
      <c r="C49" s="6" t="s">
        <v>130</v>
      </c>
      <c r="D49" s="6" t="s">
        <v>130</v>
      </c>
      <c r="E49" s="6"/>
      <c r="F49" s="6" t="s">
        <v>4059</v>
      </c>
      <c r="G49" s="6" t="s">
        <v>3776</v>
      </c>
      <c r="H49" s="6" t="s">
        <v>39</v>
      </c>
      <c r="I49" s="6" t="s">
        <v>3777</v>
      </c>
      <c r="J49" s="6">
        <v>6</v>
      </c>
      <c r="K49" s="6" t="s">
        <v>19</v>
      </c>
      <c r="L49" s="10">
        <v>10.067463177550952</v>
      </c>
      <c r="M49" s="6" t="s">
        <v>33</v>
      </c>
      <c r="N49" s="10">
        <f>Tabla7[[#This Row],[Price]]*Tabla7[[#This Row],[QTY Adjusted]]</f>
        <v>60.404779065305711</v>
      </c>
      <c r="O49" s="10">
        <v>60.404779065305711</v>
      </c>
      <c r="P49" s="21" t="s">
        <v>4225</v>
      </c>
      <c r="Q49" s="6">
        <v>0</v>
      </c>
    </row>
    <row r="50" spans="1:17" ht="39.6" customHeight="1" x14ac:dyDescent="0.3">
      <c r="A50" s="6">
        <v>1890</v>
      </c>
      <c r="B50" s="6" t="s">
        <v>3775</v>
      </c>
      <c r="C50" s="6" t="s">
        <v>130</v>
      </c>
      <c r="D50" s="6" t="s">
        <v>130</v>
      </c>
      <c r="E50" s="6"/>
      <c r="F50" s="6" t="s">
        <v>4059</v>
      </c>
      <c r="G50" s="6" t="s">
        <v>3778</v>
      </c>
      <c r="H50" s="6" t="s">
        <v>41</v>
      </c>
      <c r="I50" s="6" t="s">
        <v>3779</v>
      </c>
      <c r="J50" s="6">
        <v>6</v>
      </c>
      <c r="K50" s="6" t="s">
        <v>19</v>
      </c>
      <c r="L50" s="10">
        <v>10.067463177550952</v>
      </c>
      <c r="M50" s="6" t="s">
        <v>33</v>
      </c>
      <c r="N50" s="10">
        <f>Tabla7[[#This Row],[Price]]*Tabla7[[#This Row],[QTY Adjusted]]</f>
        <v>60.404779065305711</v>
      </c>
      <c r="O50" s="10">
        <v>60.404779065305711</v>
      </c>
      <c r="P50" s="21" t="s">
        <v>4225</v>
      </c>
      <c r="Q50" s="6">
        <v>0</v>
      </c>
    </row>
    <row r="51" spans="1:17" ht="39.6" customHeight="1" x14ac:dyDescent="0.3">
      <c r="A51" s="6">
        <v>1899</v>
      </c>
      <c r="B51" s="6" t="s">
        <v>3775</v>
      </c>
      <c r="C51" s="6" t="s">
        <v>717</v>
      </c>
      <c r="D51" s="6" t="s">
        <v>718</v>
      </c>
      <c r="E51" s="6"/>
      <c r="F51" s="6" t="s">
        <v>4063</v>
      </c>
      <c r="G51" s="6" t="s">
        <v>3797</v>
      </c>
      <c r="H51" s="6" t="s">
        <v>61</v>
      </c>
      <c r="I51" s="6" t="s">
        <v>3798</v>
      </c>
      <c r="J51" s="6">
        <v>15</v>
      </c>
      <c r="K51" s="6" t="s">
        <v>19</v>
      </c>
      <c r="L51" s="10">
        <v>2.9</v>
      </c>
      <c r="M51" s="6" t="s">
        <v>33</v>
      </c>
      <c r="N51" s="10">
        <f>Tabla7[[#This Row],[Price]]*Tabla7[[#This Row],[QTY Adjusted]]</f>
        <v>43.5</v>
      </c>
      <c r="O51" s="10">
        <v>43.5</v>
      </c>
      <c r="P51" s="21" t="s">
        <v>4225</v>
      </c>
      <c r="Q51" s="6">
        <v>0</v>
      </c>
    </row>
    <row r="52" spans="1:17" ht="39.6" customHeight="1" x14ac:dyDescent="0.3">
      <c r="A52" s="6">
        <v>1934</v>
      </c>
      <c r="B52" s="6" t="s">
        <v>3775</v>
      </c>
      <c r="C52" s="6" t="s">
        <v>1316</v>
      </c>
      <c r="D52" s="6" t="s">
        <v>718</v>
      </c>
      <c r="E52" s="6"/>
      <c r="F52" s="6" t="s">
        <v>4062</v>
      </c>
      <c r="G52" s="6" t="s">
        <v>3865</v>
      </c>
      <c r="H52" s="6" t="s">
        <v>3866</v>
      </c>
      <c r="I52" s="6" t="s">
        <v>3867</v>
      </c>
      <c r="J52" s="6">
        <v>12</v>
      </c>
      <c r="K52" s="6" t="s">
        <v>19</v>
      </c>
      <c r="L52" s="10">
        <v>4.0999999999999996</v>
      </c>
      <c r="M52" s="6" t="s">
        <v>33</v>
      </c>
      <c r="N52" s="10">
        <f>Tabla7[[#This Row],[Price]]*Tabla7[[#This Row],[QTY Adjusted]]</f>
        <v>49.199999999999996</v>
      </c>
      <c r="O52" s="10">
        <v>49.199999999999996</v>
      </c>
      <c r="P52" s="21" t="s">
        <v>4225</v>
      </c>
      <c r="Q52" s="6">
        <v>0</v>
      </c>
    </row>
    <row r="53" spans="1:17" ht="39.6" customHeight="1" x14ac:dyDescent="0.3">
      <c r="A53" s="6">
        <v>1935</v>
      </c>
      <c r="B53" s="6" t="s">
        <v>3775</v>
      </c>
      <c r="C53" s="6" t="s">
        <v>228</v>
      </c>
      <c r="D53" s="6" t="s">
        <v>44</v>
      </c>
      <c r="E53" s="6"/>
      <c r="F53" s="6" t="s">
        <v>4062</v>
      </c>
      <c r="G53" s="6" t="s">
        <v>1868</v>
      </c>
      <c r="H53" s="6" t="s">
        <v>962</v>
      </c>
      <c r="I53" s="6" t="s">
        <v>1869</v>
      </c>
      <c r="J53" s="6">
        <v>12</v>
      </c>
      <c r="K53" s="6" t="s">
        <v>19</v>
      </c>
      <c r="L53" s="10">
        <v>2.871</v>
      </c>
      <c r="M53" s="6" t="s">
        <v>33</v>
      </c>
      <c r="N53" s="10">
        <f>Tabla7[[#This Row],[Price]]*Tabla7[[#This Row],[QTY Adjusted]]</f>
        <v>34.451999999999998</v>
      </c>
      <c r="O53" s="10">
        <v>34.451999999999998</v>
      </c>
      <c r="P53" s="21" t="s">
        <v>4225</v>
      </c>
      <c r="Q53" s="6">
        <v>0</v>
      </c>
    </row>
    <row r="54" spans="1:17" ht="39.6" customHeight="1" x14ac:dyDescent="0.3">
      <c r="A54" s="6">
        <v>1891</v>
      </c>
      <c r="B54" s="6" t="s">
        <v>3775</v>
      </c>
      <c r="C54" s="6" t="s">
        <v>488</v>
      </c>
      <c r="D54" s="17" t="s">
        <v>44</v>
      </c>
      <c r="E54" s="6"/>
      <c r="F54" s="6" t="s">
        <v>4059</v>
      </c>
      <c r="G54" s="6" t="s">
        <v>3780</v>
      </c>
      <c r="H54" s="6" t="s">
        <v>490</v>
      </c>
      <c r="I54" s="6" t="s">
        <v>3781</v>
      </c>
      <c r="J54" s="6">
        <v>12</v>
      </c>
      <c r="K54" s="6" t="s">
        <v>19</v>
      </c>
      <c r="L54" s="15">
        <v>55.6</v>
      </c>
      <c r="M54" s="6" t="s">
        <v>33</v>
      </c>
      <c r="N54" s="10">
        <f>Tabla7[[#This Row],[Price]]*Tabla7[[#This Row],[QTY Adjusted]]</f>
        <v>667.2</v>
      </c>
      <c r="O54" s="10">
        <v>667.2</v>
      </c>
      <c r="P54" s="21" t="s">
        <v>4225</v>
      </c>
      <c r="Q54" s="6">
        <v>0</v>
      </c>
    </row>
    <row r="55" spans="1:17" ht="39.6" customHeight="1" x14ac:dyDescent="0.3">
      <c r="A55" s="6">
        <v>1892</v>
      </c>
      <c r="B55" s="6" t="s">
        <v>3775</v>
      </c>
      <c r="C55" s="6" t="s">
        <v>1381</v>
      </c>
      <c r="D55" s="6" t="str">
        <f>Tabla7[[#This Row],[Vendor]]</f>
        <v>LSA</v>
      </c>
      <c r="E55" s="6"/>
      <c r="F55" s="6" t="s">
        <v>4062</v>
      </c>
      <c r="G55" s="6" t="s">
        <v>3782</v>
      </c>
      <c r="H55" s="6" t="s">
        <v>1383</v>
      </c>
      <c r="I55" s="20" t="s">
        <v>3783</v>
      </c>
      <c r="J55" s="6">
        <v>12</v>
      </c>
      <c r="K55" s="6" t="s">
        <v>19</v>
      </c>
      <c r="L55" s="10"/>
      <c r="M55" s="6"/>
      <c r="N55" s="10">
        <f>Tabla7[[#This Row],[Price]]*Tabla7[[#This Row],[QTY Adjusted]]</f>
        <v>0</v>
      </c>
      <c r="O55" s="10">
        <v>0</v>
      </c>
      <c r="P55" s="21" t="s">
        <v>4218</v>
      </c>
      <c r="Q55" s="6" t="s">
        <v>4245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1627-8F47-4E1A-B3CD-45C97C037ACA}">
  <dimension ref="A1:P15"/>
  <sheetViews>
    <sheetView showGridLines="0" zoomScale="55" zoomScaleNormal="55" workbookViewId="0">
      <selection activeCell="R3" sqref="R3"/>
    </sheetView>
  </sheetViews>
  <sheetFormatPr baseColWidth="10" defaultColWidth="11.44140625" defaultRowHeight="14.4" x14ac:dyDescent="0.3"/>
  <cols>
    <col min="2" max="3" width="11.5546875" customWidth="1"/>
    <col min="4" max="4" width="19.44140625" customWidth="1"/>
    <col min="5" max="6" width="11.5546875" customWidth="1"/>
    <col min="7" max="7" width="23.109375" customWidth="1"/>
    <col min="8" max="8" width="12.33203125" customWidth="1"/>
    <col min="9" max="9" width="100.6640625" customWidth="1"/>
    <col min="10" max="10" width="14.33203125" customWidth="1"/>
    <col min="11" max="13" width="11.5546875" customWidth="1"/>
    <col min="14" max="14" width="14.33203125" customWidth="1"/>
    <col min="15" max="15" width="16" customWidth="1"/>
    <col min="16" max="16" width="35.33203125" customWidth="1"/>
  </cols>
  <sheetData>
    <row r="1" spans="1:16" x14ac:dyDescent="0.3">
      <c r="M1">
        <v>19.5</v>
      </c>
      <c r="N1">
        <v>1.1599999999999999</v>
      </c>
    </row>
    <row r="2" spans="1:16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4214</v>
      </c>
    </row>
    <row r="3" spans="1:16" ht="42.6" customHeight="1" x14ac:dyDescent="0.3">
      <c r="A3" s="6">
        <v>1399</v>
      </c>
      <c r="B3" s="6" t="s">
        <v>2402</v>
      </c>
      <c r="C3" s="6" t="s">
        <v>357</v>
      </c>
      <c r="D3" s="6" t="s">
        <v>44</v>
      </c>
      <c r="E3" s="6"/>
      <c r="F3" s="6" t="s">
        <v>4059</v>
      </c>
      <c r="G3" s="6" t="s">
        <v>2422</v>
      </c>
      <c r="H3" s="6" t="s">
        <v>2423</v>
      </c>
      <c r="I3" s="6" t="s">
        <v>4049</v>
      </c>
      <c r="J3" s="6">
        <v>2</v>
      </c>
      <c r="K3" s="6" t="s">
        <v>19</v>
      </c>
      <c r="L3" s="10">
        <v>278.02999999999997</v>
      </c>
      <c r="M3" s="6" t="s">
        <v>33</v>
      </c>
      <c r="N3" s="10">
        <v>556.05999999999995</v>
      </c>
      <c r="O3" s="10" cm="1">
        <f t="array" ref="O3">IFERROR((_xlfn.IFS(M3="MXN", N3/$M$1, M3="EUR", N3*$N$1, M3="USD", N3)), 0)</f>
        <v>556.05999999999995</v>
      </c>
      <c r="P3" s="10" t="s">
        <v>4225</v>
      </c>
    </row>
    <row r="4" spans="1:16" ht="42.6" customHeight="1" x14ac:dyDescent="0.3">
      <c r="A4" s="6">
        <v>1389</v>
      </c>
      <c r="B4" s="6" t="s">
        <v>2402</v>
      </c>
      <c r="C4" s="6" t="s">
        <v>357</v>
      </c>
      <c r="D4" s="6" t="s">
        <v>44</v>
      </c>
      <c r="E4" s="6"/>
      <c r="F4" s="6" t="s">
        <v>4059</v>
      </c>
      <c r="G4" s="6">
        <v>1418123</v>
      </c>
      <c r="H4" s="6" t="s">
        <v>2403</v>
      </c>
      <c r="I4" s="6" t="s">
        <v>4050</v>
      </c>
      <c r="J4" s="6">
        <v>58</v>
      </c>
      <c r="K4" s="6" t="s">
        <v>19</v>
      </c>
      <c r="L4" s="10">
        <v>6.37</v>
      </c>
      <c r="M4" s="6" t="s">
        <v>33</v>
      </c>
      <c r="N4" s="10">
        <v>369.46</v>
      </c>
      <c r="O4" s="10" cm="1">
        <f t="array" ref="O4">IFERROR((_xlfn.IFS(M4="MXN", N4/$M$1, M4="EUR", N4*$N$1, M4="USD", N4)), 0)</f>
        <v>369.46</v>
      </c>
      <c r="P4" s="10" t="s">
        <v>4225</v>
      </c>
    </row>
    <row r="5" spans="1:16" ht="42.6" customHeight="1" x14ac:dyDescent="0.3">
      <c r="A5" s="6">
        <v>1392</v>
      </c>
      <c r="B5" s="6" t="s">
        <v>2402</v>
      </c>
      <c r="C5" s="6" t="s">
        <v>1903</v>
      </c>
      <c r="D5" s="6" t="s">
        <v>44</v>
      </c>
      <c r="E5" s="6"/>
      <c r="F5" s="6" t="s">
        <v>4060</v>
      </c>
      <c r="G5" s="6" t="s">
        <v>2409</v>
      </c>
      <c r="H5" s="6" t="s">
        <v>2410</v>
      </c>
      <c r="I5" s="6" t="s">
        <v>2411</v>
      </c>
      <c r="J5" s="6">
        <v>72</v>
      </c>
      <c r="K5" s="6" t="s">
        <v>19</v>
      </c>
      <c r="L5" s="10">
        <v>9.9600000000000009</v>
      </c>
      <c r="M5" s="6" t="s">
        <v>33</v>
      </c>
      <c r="N5" s="10">
        <v>717.12000000000012</v>
      </c>
      <c r="O5" s="10" cm="1">
        <f t="array" ref="O5">IFERROR((_xlfn.IFS(M5="MXN", N5/$M$1, M5="EUR", N5*$N$1, M5="USD", N5)), 0)</f>
        <v>717.12000000000012</v>
      </c>
      <c r="P5" s="10" t="s">
        <v>4225</v>
      </c>
    </row>
    <row r="6" spans="1:16" ht="42.6" customHeight="1" x14ac:dyDescent="0.3">
      <c r="A6" s="6">
        <v>1391</v>
      </c>
      <c r="B6" s="6" t="s">
        <v>2402</v>
      </c>
      <c r="C6" s="6" t="s">
        <v>1903</v>
      </c>
      <c r="D6" s="6" t="s">
        <v>44</v>
      </c>
      <c r="E6" s="6"/>
      <c r="F6" s="6" t="s">
        <v>4060</v>
      </c>
      <c r="G6" s="6" t="s">
        <v>2406</v>
      </c>
      <c r="H6" s="6" t="s">
        <v>2407</v>
      </c>
      <c r="I6" s="6" t="s">
        <v>2408</v>
      </c>
      <c r="J6" s="6">
        <v>72</v>
      </c>
      <c r="K6" s="6" t="s">
        <v>19</v>
      </c>
      <c r="L6" s="10">
        <v>8.44</v>
      </c>
      <c r="M6" s="6" t="s">
        <v>33</v>
      </c>
      <c r="N6" s="10">
        <v>607.67999999999995</v>
      </c>
      <c r="O6" s="10" cm="1">
        <f t="array" ref="O6">IFERROR((_xlfn.IFS(M6="MXN", N6/$M$1, M6="EUR", N6*$N$1, M6="USD", N6)), 0)</f>
        <v>607.67999999999995</v>
      </c>
      <c r="P6" s="10" t="s">
        <v>4225</v>
      </c>
    </row>
    <row r="7" spans="1:16" ht="42.6" customHeight="1" x14ac:dyDescent="0.3">
      <c r="A7" s="6">
        <v>1400</v>
      </c>
      <c r="B7" s="6" t="s">
        <v>2402</v>
      </c>
      <c r="C7" s="6" t="s">
        <v>2424</v>
      </c>
      <c r="D7" s="6" t="s">
        <v>44</v>
      </c>
      <c r="E7" s="6"/>
      <c r="F7" s="6" t="s">
        <v>4059</v>
      </c>
      <c r="G7" s="6" t="s">
        <v>2425</v>
      </c>
      <c r="H7" s="6" t="s">
        <v>2426</v>
      </c>
      <c r="I7" s="6" t="s">
        <v>4051</v>
      </c>
      <c r="J7" s="6">
        <v>2</v>
      </c>
      <c r="K7" s="6" t="s">
        <v>19</v>
      </c>
      <c r="L7" s="10">
        <v>246.46</v>
      </c>
      <c r="M7" s="6" t="s">
        <v>33</v>
      </c>
      <c r="N7" s="10">
        <v>492.92</v>
      </c>
      <c r="O7" s="10" cm="1">
        <f t="array" ref="O7">IFERROR((_xlfn.IFS(M7="MXN", N7/$M$1, M7="EUR", N7*$N$1, M7="USD", N7)), 0)</f>
        <v>492.92</v>
      </c>
      <c r="P7" s="10" t="s">
        <v>4225</v>
      </c>
    </row>
    <row r="8" spans="1:16" ht="42.6" customHeight="1" x14ac:dyDescent="0.3">
      <c r="A8" s="6">
        <v>1394</v>
      </c>
      <c r="B8" s="6" t="s">
        <v>2402</v>
      </c>
      <c r="C8" s="6" t="s">
        <v>1903</v>
      </c>
      <c r="D8" s="6" t="s">
        <v>44</v>
      </c>
      <c r="E8" s="6"/>
      <c r="F8" s="6" t="s">
        <v>4060</v>
      </c>
      <c r="G8" s="6" t="s">
        <v>2414</v>
      </c>
      <c r="H8" s="6" t="s">
        <v>2415</v>
      </c>
      <c r="I8" s="6" t="s">
        <v>2416</v>
      </c>
      <c r="J8" s="6">
        <v>72</v>
      </c>
      <c r="K8" s="6" t="s">
        <v>19</v>
      </c>
      <c r="L8" s="10">
        <v>5.944</v>
      </c>
      <c r="M8" s="6" t="s">
        <v>33</v>
      </c>
      <c r="N8" s="10">
        <v>427.96800000000002</v>
      </c>
      <c r="O8" s="10" cm="1">
        <f t="array" ref="O8">IFERROR((_xlfn.IFS(M8="MXN", N8/$M$1, M8="EUR", N8*$N$1, M8="USD", N8)), 0)</f>
        <v>427.96800000000002</v>
      </c>
      <c r="P8" s="10" t="s">
        <v>4225</v>
      </c>
    </row>
    <row r="9" spans="1:16" ht="42.6" customHeight="1" x14ac:dyDescent="0.3">
      <c r="A9" s="6">
        <v>1393</v>
      </c>
      <c r="B9" s="6" t="s">
        <v>2402</v>
      </c>
      <c r="C9" s="6" t="s">
        <v>1903</v>
      </c>
      <c r="D9" s="6" t="s">
        <v>44</v>
      </c>
      <c r="E9" s="6"/>
      <c r="F9" s="6" t="s">
        <v>4060</v>
      </c>
      <c r="G9" s="6" t="s">
        <v>2412</v>
      </c>
      <c r="H9" s="6" t="s">
        <v>2410</v>
      </c>
      <c r="I9" s="6" t="s">
        <v>2413</v>
      </c>
      <c r="J9" s="6">
        <v>72</v>
      </c>
      <c r="K9" s="6" t="s">
        <v>19</v>
      </c>
      <c r="L9" s="10">
        <v>5.12</v>
      </c>
      <c r="M9" s="6" t="s">
        <v>33</v>
      </c>
      <c r="N9" s="10">
        <v>368.64</v>
      </c>
      <c r="O9" s="10" cm="1">
        <f t="array" ref="O9">IFERROR((_xlfn.IFS(M9="MXN", N9/$M$1, M9="EUR", N9*$N$1, M9="USD", N9)), 0)</f>
        <v>368.64</v>
      </c>
      <c r="P9" s="10" t="s">
        <v>4225</v>
      </c>
    </row>
    <row r="10" spans="1:16" ht="42.6" customHeight="1" x14ac:dyDescent="0.3">
      <c r="A10" s="6">
        <v>1401</v>
      </c>
      <c r="B10" s="6" t="s">
        <v>2402</v>
      </c>
      <c r="C10" s="6" t="s">
        <v>329</v>
      </c>
      <c r="D10" s="6" t="s">
        <v>44</v>
      </c>
      <c r="E10" s="6"/>
      <c r="F10" s="6" t="s">
        <v>4059</v>
      </c>
      <c r="G10" s="6" t="s">
        <v>2427</v>
      </c>
      <c r="H10" s="6" t="s">
        <v>2428</v>
      </c>
      <c r="I10" s="6" t="s">
        <v>4052</v>
      </c>
      <c r="J10" s="6">
        <v>24</v>
      </c>
      <c r="K10" s="6" t="s">
        <v>19</v>
      </c>
      <c r="L10" s="10">
        <v>18.649999999999999</v>
      </c>
      <c r="M10" s="6" t="s">
        <v>33</v>
      </c>
      <c r="N10" s="10">
        <v>447.59999999999997</v>
      </c>
      <c r="O10" s="10" cm="1">
        <f t="array" ref="O10">IFERROR((_xlfn.IFS(M10="MXN", N10/$M$1, M10="EUR", N10*$N$1, M10="USD", N10)), 0)</f>
        <v>447.59999999999997</v>
      </c>
      <c r="P10" s="22" t="s">
        <v>4225</v>
      </c>
    </row>
    <row r="11" spans="1:16" ht="42.6" customHeight="1" x14ac:dyDescent="0.3">
      <c r="A11" s="6">
        <v>1397</v>
      </c>
      <c r="B11" s="6" t="s">
        <v>2402</v>
      </c>
      <c r="C11" s="6" t="s">
        <v>329</v>
      </c>
      <c r="D11" s="6" t="s">
        <v>44</v>
      </c>
      <c r="E11" s="6"/>
      <c r="F11" s="6" t="s">
        <v>4063</v>
      </c>
      <c r="G11" s="6" t="s">
        <v>2419</v>
      </c>
      <c r="H11" s="6" t="s">
        <v>70</v>
      </c>
      <c r="I11" s="6" t="s">
        <v>4053</v>
      </c>
      <c r="J11" s="6">
        <v>108</v>
      </c>
      <c r="K11" s="6" t="s">
        <v>19</v>
      </c>
      <c r="L11" s="10">
        <v>1.55</v>
      </c>
      <c r="M11" s="6" t="s">
        <v>33</v>
      </c>
      <c r="N11" s="10">
        <v>167.4</v>
      </c>
      <c r="O11" s="10" cm="1">
        <f t="array" ref="O11">IFERROR((_xlfn.IFS(M11="MXN", N11/$M$1, M11="EUR", N11*$N$1, M11="USD", N11)), 0)</f>
        <v>167.4</v>
      </c>
      <c r="P11" s="10" t="s">
        <v>4225</v>
      </c>
    </row>
    <row r="12" spans="1:16" ht="42.6" customHeight="1" x14ac:dyDescent="0.3">
      <c r="A12" s="6">
        <v>1396</v>
      </c>
      <c r="B12" s="6" t="s">
        <v>2402</v>
      </c>
      <c r="C12" s="6" t="s">
        <v>329</v>
      </c>
      <c r="D12" s="6" t="s">
        <v>44</v>
      </c>
      <c r="E12" s="6"/>
      <c r="F12" s="6" t="s">
        <v>4063</v>
      </c>
      <c r="G12" s="6" t="s">
        <v>2418</v>
      </c>
      <c r="H12" s="6" t="s">
        <v>67</v>
      </c>
      <c r="I12" s="6" t="s">
        <v>4054</v>
      </c>
      <c r="J12" s="6">
        <v>108</v>
      </c>
      <c r="K12" s="6" t="s">
        <v>19</v>
      </c>
      <c r="L12" s="10">
        <v>1</v>
      </c>
      <c r="M12" s="6" t="s">
        <v>33</v>
      </c>
      <c r="N12" s="10">
        <v>108</v>
      </c>
      <c r="O12" s="10" cm="1">
        <f t="array" ref="O12">IFERROR((_xlfn.IFS(M12="MXN", N12/$M$1, M12="EUR", N12*$N$1, M12="USD", N12)), 0)</f>
        <v>108</v>
      </c>
      <c r="P12" s="10" t="s">
        <v>4225</v>
      </c>
    </row>
    <row r="13" spans="1:16" ht="42.6" customHeight="1" x14ac:dyDescent="0.3">
      <c r="A13" s="6">
        <v>1395</v>
      </c>
      <c r="B13" s="6" t="s">
        <v>2402</v>
      </c>
      <c r="C13" s="6" t="s">
        <v>329</v>
      </c>
      <c r="D13" s="6" t="s">
        <v>44</v>
      </c>
      <c r="E13" s="6"/>
      <c r="F13" s="6" t="s">
        <v>4063</v>
      </c>
      <c r="G13" s="6" t="s">
        <v>2417</v>
      </c>
      <c r="H13" s="6" t="s">
        <v>64</v>
      </c>
      <c r="I13" s="6" t="s">
        <v>4055</v>
      </c>
      <c r="J13" s="6">
        <v>72</v>
      </c>
      <c r="K13" s="6" t="s">
        <v>19</v>
      </c>
      <c r="L13" s="10">
        <v>1</v>
      </c>
      <c r="M13" s="6" t="s">
        <v>33</v>
      </c>
      <c r="N13" s="10">
        <v>72</v>
      </c>
      <c r="O13" s="10" cm="1">
        <f t="array" ref="O13">IFERROR((_xlfn.IFS(M13="MXN", N13/$M$1, M13="EUR", N13*$N$1, M13="USD", N13)), 0)</f>
        <v>72</v>
      </c>
      <c r="P13" s="10" t="s">
        <v>4225</v>
      </c>
    </row>
    <row r="14" spans="1:16" ht="42.6" customHeight="1" x14ac:dyDescent="0.3">
      <c r="A14" s="6">
        <v>1390</v>
      </c>
      <c r="B14" s="6" t="s">
        <v>2402</v>
      </c>
      <c r="C14" s="6" t="s">
        <v>357</v>
      </c>
      <c r="D14" s="6" t="s">
        <v>44</v>
      </c>
      <c r="E14" s="6"/>
      <c r="F14" s="6" t="s">
        <v>4063</v>
      </c>
      <c r="G14" s="6" t="s">
        <v>2404</v>
      </c>
      <c r="H14" s="6" t="s">
        <v>2405</v>
      </c>
      <c r="I14" s="6" t="s">
        <v>4056</v>
      </c>
      <c r="J14" s="6">
        <v>72</v>
      </c>
      <c r="K14" s="6" t="s">
        <v>19</v>
      </c>
      <c r="L14" s="10">
        <v>0.81</v>
      </c>
      <c r="M14" s="6" t="s">
        <v>33</v>
      </c>
      <c r="N14" s="10">
        <v>58.320000000000007</v>
      </c>
      <c r="O14" s="10" cm="1">
        <f t="array" ref="O14">IFERROR((_xlfn.IFS(M14="MXN", N14/$M$1, M14="EUR", N14*$N$1, M14="USD", N14)), 0)</f>
        <v>58.320000000000007</v>
      </c>
      <c r="P14" s="10" t="s">
        <v>4225</v>
      </c>
    </row>
    <row r="15" spans="1:16" ht="42.6" customHeight="1" x14ac:dyDescent="0.3">
      <c r="A15" s="6">
        <v>1398</v>
      </c>
      <c r="B15" s="6" t="s">
        <v>2402</v>
      </c>
      <c r="C15" s="6" t="s">
        <v>329</v>
      </c>
      <c r="D15" s="6" t="s">
        <v>44</v>
      </c>
      <c r="E15" s="6"/>
      <c r="F15" s="6" t="s">
        <v>4063</v>
      </c>
      <c r="G15" s="6" t="s">
        <v>2420</v>
      </c>
      <c r="H15" s="6" t="s">
        <v>2421</v>
      </c>
      <c r="I15" s="6" t="s">
        <v>4057</v>
      </c>
      <c r="J15" s="6">
        <v>72</v>
      </c>
      <c r="K15" s="6" t="s">
        <v>19</v>
      </c>
      <c r="L15" s="10">
        <v>0.89</v>
      </c>
      <c r="M15" s="6" t="s">
        <v>33</v>
      </c>
      <c r="N15" s="10">
        <v>64.08</v>
      </c>
      <c r="O15" s="10" cm="1">
        <f t="array" ref="O15">IFERROR((_xlfn.IFS(M15="MXN", N15/$M$1, M15="EUR", N15*$N$1, M15="USD", N15)), 0)</f>
        <v>64.08</v>
      </c>
      <c r="P15" s="10" t="s">
        <v>4225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90F2-D5F0-42C1-B192-590466B7FFBB}">
  <dimension ref="A1:Q56"/>
  <sheetViews>
    <sheetView showGridLines="0" topLeftCell="I2" zoomScale="70" zoomScaleNormal="70" workbookViewId="0">
      <selection activeCell="P2" sqref="P2"/>
    </sheetView>
  </sheetViews>
  <sheetFormatPr baseColWidth="10" defaultColWidth="11.44140625" defaultRowHeight="14.4" x14ac:dyDescent="0.3"/>
  <cols>
    <col min="2" max="2" width="16.6640625" bestFit="1" customWidth="1"/>
    <col min="4" max="4" width="18" bestFit="1" customWidth="1"/>
    <col min="5" max="5" width="20.44140625" bestFit="1" customWidth="1"/>
    <col min="6" max="6" width="14.44140625" bestFit="1" customWidth="1"/>
    <col min="8" max="8" width="30.6640625" bestFit="1" customWidth="1"/>
    <col min="9" max="9" width="83" customWidth="1"/>
    <col min="10" max="10" width="14.33203125" customWidth="1"/>
    <col min="12" max="12" width="12.33203125" bestFit="1" customWidth="1"/>
    <col min="14" max="14" width="12.33203125" bestFit="1" customWidth="1"/>
    <col min="15" max="15" width="14" customWidth="1"/>
    <col min="16" max="16" width="66.6640625" bestFit="1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  <c r="Q2" t="s">
        <v>4247</v>
      </c>
    </row>
    <row r="3" spans="1:17" ht="38.4" customHeight="1" x14ac:dyDescent="0.3">
      <c r="A3" s="6">
        <v>769</v>
      </c>
      <c r="B3" s="6" t="s">
        <v>1370</v>
      </c>
      <c r="C3" s="6" t="s">
        <v>1489</v>
      </c>
      <c r="D3" s="6" t="s">
        <v>1490</v>
      </c>
      <c r="E3" s="6" t="s">
        <v>1371</v>
      </c>
      <c r="F3" s="6" t="s">
        <v>4059</v>
      </c>
      <c r="G3" s="6" t="s">
        <v>1491</v>
      </c>
      <c r="H3" s="6" t="s">
        <v>1492</v>
      </c>
      <c r="I3" s="6" t="s">
        <v>1493</v>
      </c>
      <c r="J3" s="6">
        <v>2</v>
      </c>
      <c r="K3" s="6" t="s">
        <v>19</v>
      </c>
      <c r="L3" s="10">
        <v>15929.27</v>
      </c>
      <c r="M3" s="6" t="s">
        <v>33</v>
      </c>
      <c r="N3" s="10">
        <f>Tabla9[[#This Row],[Price]]*Tabla9[[#This Row],[QTY Adjusted]]</f>
        <v>31858.54</v>
      </c>
      <c r="O3" s="10">
        <v>31858.54</v>
      </c>
      <c r="P3" s="10" t="s">
        <v>4229</v>
      </c>
      <c r="Q3" s="6">
        <v>0</v>
      </c>
    </row>
    <row r="4" spans="1:17" ht="38.4" customHeight="1" x14ac:dyDescent="0.3">
      <c r="A4" s="6">
        <v>769.1</v>
      </c>
      <c r="B4" s="6"/>
      <c r="C4" s="6"/>
      <c r="D4" s="6" t="s">
        <v>1490</v>
      </c>
      <c r="E4" s="6"/>
      <c r="F4" s="6"/>
      <c r="G4" s="6"/>
      <c r="H4" s="6"/>
      <c r="I4" s="6" t="s">
        <v>4068</v>
      </c>
      <c r="J4" s="6">
        <v>2</v>
      </c>
      <c r="K4" s="6" t="s">
        <v>19</v>
      </c>
      <c r="L4" s="10">
        <v>6910.51</v>
      </c>
      <c r="M4" s="6" t="s">
        <v>33</v>
      </c>
      <c r="N4" s="10">
        <f>Tabla9[[#This Row],[Price]]*Tabla9[[#This Row],[QTY Adjusted]]</f>
        <v>13821.02</v>
      </c>
      <c r="O4" s="10">
        <v>13821.02</v>
      </c>
      <c r="P4" s="10" t="s">
        <v>4229</v>
      </c>
      <c r="Q4" s="6">
        <v>0</v>
      </c>
    </row>
    <row r="5" spans="1:17" ht="38.4" customHeight="1" x14ac:dyDescent="0.3">
      <c r="A5" s="6">
        <v>762</v>
      </c>
      <c r="B5" s="6" t="s">
        <v>1370</v>
      </c>
      <c r="C5" s="6" t="s">
        <v>1471</v>
      </c>
      <c r="D5" s="6" t="s">
        <v>44</v>
      </c>
      <c r="E5" s="6" t="s">
        <v>1371</v>
      </c>
      <c r="F5" s="6" t="s">
        <v>4059</v>
      </c>
      <c r="G5" s="6" t="s">
        <v>1472</v>
      </c>
      <c r="H5" s="6" t="s">
        <v>1473</v>
      </c>
      <c r="I5" s="6" t="s">
        <v>1474</v>
      </c>
      <c r="J5" s="6">
        <v>18</v>
      </c>
      <c r="K5" s="6" t="s">
        <v>19</v>
      </c>
      <c r="L5" s="10">
        <v>2211.75</v>
      </c>
      <c r="M5" s="6" t="s">
        <v>33</v>
      </c>
      <c r="N5" s="10">
        <f>Tabla9[[#This Row],[Price]]*Tabla9[[#This Row],[QTY Adjusted]]</f>
        <v>39811.5</v>
      </c>
      <c r="O5" s="10">
        <v>39811.5</v>
      </c>
      <c r="P5" s="22">
        <v>46127</v>
      </c>
      <c r="Q5" s="6">
        <v>0</v>
      </c>
    </row>
    <row r="6" spans="1:17" ht="38.4" customHeight="1" x14ac:dyDescent="0.3">
      <c r="A6" s="6">
        <v>760</v>
      </c>
      <c r="B6" s="6" t="s">
        <v>1370</v>
      </c>
      <c r="C6" s="6" t="s">
        <v>561</v>
      </c>
      <c r="D6" s="6" t="s">
        <v>44</v>
      </c>
      <c r="E6" s="6" t="s">
        <v>1371</v>
      </c>
      <c r="F6" s="6" t="s">
        <v>4059</v>
      </c>
      <c r="G6" s="6" t="s">
        <v>1465</v>
      </c>
      <c r="H6" s="6" t="s">
        <v>1466</v>
      </c>
      <c r="I6" s="6" t="s">
        <v>1467</v>
      </c>
      <c r="J6" s="6">
        <v>30</v>
      </c>
      <c r="K6" s="6" t="s">
        <v>19</v>
      </c>
      <c r="L6" s="10">
        <v>843.0625</v>
      </c>
      <c r="M6" s="6" t="s">
        <v>33</v>
      </c>
      <c r="N6" s="10">
        <f>Tabla9[[#This Row],[Price]]*Tabla9[[#This Row],[QTY Adjusted]]</f>
        <v>25291.875</v>
      </c>
      <c r="O6" s="10">
        <v>25291.875</v>
      </c>
      <c r="P6" s="22">
        <v>46096</v>
      </c>
      <c r="Q6" s="6">
        <v>0</v>
      </c>
    </row>
    <row r="7" spans="1:17" ht="38.4" customHeight="1" x14ac:dyDescent="0.3">
      <c r="A7" s="6">
        <v>763</v>
      </c>
      <c r="B7" s="6" t="s">
        <v>1370</v>
      </c>
      <c r="C7" s="6" t="s">
        <v>1471</v>
      </c>
      <c r="D7" s="6" t="s">
        <v>44</v>
      </c>
      <c r="E7" s="6" t="s">
        <v>1371</v>
      </c>
      <c r="F7" s="6" t="s">
        <v>4059</v>
      </c>
      <c r="G7" s="6" t="s">
        <v>1475</v>
      </c>
      <c r="H7" s="6" t="s">
        <v>1476</v>
      </c>
      <c r="I7" s="6" t="s">
        <v>1477</v>
      </c>
      <c r="J7" s="6">
        <v>18</v>
      </c>
      <c r="K7" s="6" t="s">
        <v>19</v>
      </c>
      <c r="L7" s="10">
        <v>1305</v>
      </c>
      <c r="M7" s="6" t="s">
        <v>33</v>
      </c>
      <c r="N7" s="10">
        <f>Tabla9[[#This Row],[Price]]*Tabla9[[#This Row],[QTY Adjusted]]</f>
        <v>23490</v>
      </c>
      <c r="O7" s="10">
        <v>23490</v>
      </c>
      <c r="P7" s="22">
        <v>46127</v>
      </c>
      <c r="Q7" s="6">
        <v>0</v>
      </c>
    </row>
    <row r="8" spans="1:17" ht="38.4" customHeight="1" x14ac:dyDescent="0.3">
      <c r="A8" s="6">
        <v>764</v>
      </c>
      <c r="B8" s="6" t="s">
        <v>1370</v>
      </c>
      <c r="C8" s="6" t="s">
        <v>1471</v>
      </c>
      <c r="D8" s="6" t="s">
        <v>44</v>
      </c>
      <c r="E8" s="6" t="s">
        <v>1371</v>
      </c>
      <c r="F8" s="6" t="s">
        <v>4059</v>
      </c>
      <c r="G8" s="6" t="s">
        <v>1478</v>
      </c>
      <c r="H8" s="6" t="s">
        <v>1479</v>
      </c>
      <c r="I8" s="6" t="s">
        <v>1480</v>
      </c>
      <c r="J8" s="6">
        <v>3</v>
      </c>
      <c r="K8" s="6" t="s">
        <v>19</v>
      </c>
      <c r="L8" s="10">
        <v>4245.75</v>
      </c>
      <c r="M8" s="6" t="s">
        <v>33</v>
      </c>
      <c r="N8" s="10">
        <f>Tabla9[[#This Row],[Price]]*Tabla9[[#This Row],[QTY Adjusted]]</f>
        <v>12737.25</v>
      </c>
      <c r="O8" s="10">
        <v>12737.25</v>
      </c>
      <c r="P8" s="22">
        <v>46127</v>
      </c>
      <c r="Q8" s="6">
        <v>0</v>
      </c>
    </row>
    <row r="9" spans="1:17" ht="38.4" customHeight="1" x14ac:dyDescent="0.3">
      <c r="A9" s="6">
        <v>768</v>
      </c>
      <c r="B9" s="6" t="s">
        <v>1370</v>
      </c>
      <c r="C9" s="6" t="s">
        <v>34</v>
      </c>
      <c r="D9" s="6" t="str">
        <f>Tabla9[[#This Row],[Vendor]]</f>
        <v>Casa Rovea</v>
      </c>
      <c r="E9" s="6" t="s">
        <v>1482</v>
      </c>
      <c r="F9" s="6" t="s">
        <v>4061</v>
      </c>
      <c r="G9" s="6" t="s">
        <v>178</v>
      </c>
      <c r="H9" s="6" t="s">
        <v>1488</v>
      </c>
      <c r="I9" s="6" t="s">
        <v>1487</v>
      </c>
      <c r="J9" s="6">
        <v>60</v>
      </c>
      <c r="K9" s="6" t="s">
        <v>19</v>
      </c>
      <c r="L9" s="10">
        <v>49.7</v>
      </c>
      <c r="M9" s="6" t="s">
        <v>28</v>
      </c>
      <c r="N9" s="10">
        <f>Tabla9[[#This Row],[Price]]*Tabla9[[#This Row],[QTY Adjusted]]</f>
        <v>2982</v>
      </c>
      <c r="O9" s="10">
        <v>3459.12</v>
      </c>
      <c r="P9" s="10" t="s">
        <v>4224</v>
      </c>
      <c r="Q9" s="6">
        <v>0</v>
      </c>
    </row>
    <row r="10" spans="1:17" ht="38.4" customHeight="1" x14ac:dyDescent="0.3">
      <c r="A10" s="6">
        <v>767</v>
      </c>
      <c r="B10" s="6" t="s">
        <v>1370</v>
      </c>
      <c r="C10" s="6" t="s">
        <v>34</v>
      </c>
      <c r="D10" s="6" t="str">
        <f>Tabla9[[#This Row],[Vendor]]</f>
        <v>Casa Rovea</v>
      </c>
      <c r="E10" s="6" t="s">
        <v>1482</v>
      </c>
      <c r="F10" s="6" t="s">
        <v>4061</v>
      </c>
      <c r="G10" s="6" t="s">
        <v>178</v>
      </c>
      <c r="H10" s="6" t="s">
        <v>1486</v>
      </c>
      <c r="I10" s="6" t="s">
        <v>1487</v>
      </c>
      <c r="J10" s="6">
        <v>30</v>
      </c>
      <c r="K10" s="6" t="s">
        <v>19</v>
      </c>
      <c r="L10" s="10">
        <v>77.599999999999994</v>
      </c>
      <c r="M10" s="6" t="s">
        <v>28</v>
      </c>
      <c r="N10" s="10">
        <f>Tabla9[[#This Row],[Price]]*Tabla9[[#This Row],[QTY Adjusted]]</f>
        <v>2328</v>
      </c>
      <c r="O10" s="10">
        <v>2700.48</v>
      </c>
      <c r="P10" s="10" t="s">
        <v>4224</v>
      </c>
      <c r="Q10" s="6">
        <v>0</v>
      </c>
    </row>
    <row r="11" spans="1:17" ht="38.4" customHeight="1" x14ac:dyDescent="0.3">
      <c r="A11" s="6">
        <v>721</v>
      </c>
      <c r="B11" s="6" t="s">
        <v>1370</v>
      </c>
      <c r="C11" s="6" t="s">
        <v>1378</v>
      </c>
      <c r="D11" s="6" t="s">
        <v>718</v>
      </c>
      <c r="E11" s="6" t="s">
        <v>1371</v>
      </c>
      <c r="F11" s="6" t="s">
        <v>4059</v>
      </c>
      <c r="G11" s="6">
        <v>5428.04</v>
      </c>
      <c r="H11" s="6" t="s">
        <v>1379</v>
      </c>
      <c r="I11" s="6" t="s">
        <v>1380</v>
      </c>
      <c r="J11" s="6">
        <v>24</v>
      </c>
      <c r="K11" s="6" t="s">
        <v>19</v>
      </c>
      <c r="L11" s="10">
        <v>107.8</v>
      </c>
      <c r="M11" s="6" t="s">
        <v>33</v>
      </c>
      <c r="N11" s="10">
        <f>Tabla9[[#This Row],[Price]]*Tabla9[[#This Row],[QTY Adjusted]]</f>
        <v>2587.1999999999998</v>
      </c>
      <c r="O11" s="10">
        <v>2587.1999999999998</v>
      </c>
      <c r="P11" s="10" t="s">
        <v>4238</v>
      </c>
      <c r="Q11" s="6">
        <v>0</v>
      </c>
    </row>
    <row r="12" spans="1:17" ht="38.4" customHeight="1" x14ac:dyDescent="0.3">
      <c r="A12" s="6">
        <v>752</v>
      </c>
      <c r="B12" s="6" t="s">
        <v>1370</v>
      </c>
      <c r="C12" s="6" t="s">
        <v>130</v>
      </c>
      <c r="D12" s="6" t="s">
        <v>130</v>
      </c>
      <c r="E12" s="6" t="s">
        <v>1371</v>
      </c>
      <c r="F12" s="6" t="s">
        <v>4059</v>
      </c>
      <c r="G12" s="6" t="s">
        <v>1448</v>
      </c>
      <c r="H12" s="6" t="s">
        <v>1449</v>
      </c>
      <c r="I12" s="6" t="s">
        <v>1450</v>
      </c>
      <c r="J12" s="6">
        <v>36</v>
      </c>
      <c r="K12" s="6" t="s">
        <v>19</v>
      </c>
      <c r="L12" s="10">
        <v>40.667051560911432</v>
      </c>
      <c r="M12" s="6" t="s">
        <v>33</v>
      </c>
      <c r="N12" s="10">
        <f>Tabla9[[#This Row],[Price]]*Tabla9[[#This Row],[QTY Adjusted]]</f>
        <v>1464.0138561928115</v>
      </c>
      <c r="O12" s="10">
        <v>1464.0138561928115</v>
      </c>
      <c r="P12" s="10" t="s">
        <v>4225</v>
      </c>
      <c r="Q12" s="6">
        <v>0</v>
      </c>
    </row>
    <row r="13" spans="1:17" ht="38.4" customHeight="1" x14ac:dyDescent="0.3">
      <c r="A13" s="6">
        <v>766</v>
      </c>
      <c r="B13" s="6" t="s">
        <v>1370</v>
      </c>
      <c r="C13" s="6" t="s">
        <v>34</v>
      </c>
      <c r="D13" s="6" t="str">
        <f>Tabla9[[#This Row],[Vendor]]</f>
        <v>Casa Rovea</v>
      </c>
      <c r="E13" s="6" t="s">
        <v>1482</v>
      </c>
      <c r="F13" s="6" t="s">
        <v>4061</v>
      </c>
      <c r="G13" s="6" t="s">
        <v>178</v>
      </c>
      <c r="H13" s="6" t="s">
        <v>552</v>
      </c>
      <c r="I13" s="6" t="s">
        <v>1485</v>
      </c>
      <c r="J13" s="6">
        <v>24</v>
      </c>
      <c r="K13" s="6" t="s">
        <v>19</v>
      </c>
      <c r="L13" s="10">
        <v>52.4</v>
      </c>
      <c r="M13" s="6" t="s">
        <v>28</v>
      </c>
      <c r="N13" s="10">
        <f>Tabla9[[#This Row],[Price]]*Tabla9[[#This Row],[QTY Adjusted]]</f>
        <v>1257.5999999999999</v>
      </c>
      <c r="O13" s="10">
        <v>1458.8159999999998</v>
      </c>
      <c r="P13" s="10" t="s">
        <v>4224</v>
      </c>
      <c r="Q13" s="6">
        <v>0</v>
      </c>
    </row>
    <row r="14" spans="1:17" ht="38.4" customHeight="1" x14ac:dyDescent="0.3">
      <c r="A14" s="6">
        <v>753</v>
      </c>
      <c r="B14" s="6" t="s">
        <v>1370</v>
      </c>
      <c r="C14" s="6" t="s">
        <v>130</v>
      </c>
      <c r="D14" s="6" t="s">
        <v>130</v>
      </c>
      <c r="E14" s="6" t="s">
        <v>1371</v>
      </c>
      <c r="F14" s="6" t="s">
        <v>4059</v>
      </c>
      <c r="G14" s="6" t="s">
        <v>1451</v>
      </c>
      <c r="H14" s="6" t="s">
        <v>1452</v>
      </c>
      <c r="I14" s="6" t="s">
        <v>1453</v>
      </c>
      <c r="J14" s="6">
        <v>24</v>
      </c>
      <c r="K14" s="6" t="s">
        <v>19</v>
      </c>
      <c r="L14" s="10">
        <v>44.593209431367569</v>
      </c>
      <c r="M14" s="6" t="s">
        <v>33</v>
      </c>
      <c r="N14" s="10">
        <f>Tabla9[[#This Row],[Price]]*Tabla9[[#This Row],[QTY Adjusted]]</f>
        <v>1070.2370263528217</v>
      </c>
      <c r="O14" s="10">
        <v>1070.2370263528217</v>
      </c>
      <c r="P14" s="10" t="s">
        <v>4225</v>
      </c>
      <c r="Q14" s="6">
        <v>0</v>
      </c>
    </row>
    <row r="15" spans="1:17" ht="38.4" customHeight="1" x14ac:dyDescent="0.3">
      <c r="A15" s="6">
        <v>754</v>
      </c>
      <c r="B15" s="6" t="s">
        <v>1370</v>
      </c>
      <c r="C15" s="6" t="s">
        <v>130</v>
      </c>
      <c r="D15" s="6" t="s">
        <v>130</v>
      </c>
      <c r="E15" s="6" t="s">
        <v>1371</v>
      </c>
      <c r="F15" s="6" t="s">
        <v>4059</v>
      </c>
      <c r="G15" s="6" t="s">
        <v>1454</v>
      </c>
      <c r="H15" s="6" t="s">
        <v>1455</v>
      </c>
      <c r="I15" s="6" t="s">
        <v>1456</v>
      </c>
      <c r="J15" s="6">
        <v>24</v>
      </c>
      <c r="K15" s="6" t="s">
        <v>19</v>
      </c>
      <c r="L15" s="10">
        <v>44.593209431367569</v>
      </c>
      <c r="M15" s="6" t="s">
        <v>33</v>
      </c>
      <c r="N15" s="10">
        <f>Tabla9[[#This Row],[Price]]*Tabla9[[#This Row],[QTY Adjusted]]</f>
        <v>1070.2370263528217</v>
      </c>
      <c r="O15" s="10">
        <v>1070.2370263528217</v>
      </c>
      <c r="P15" s="10" t="s">
        <v>4225</v>
      </c>
      <c r="Q15" s="6">
        <v>0</v>
      </c>
    </row>
    <row r="16" spans="1:17" ht="38.4" customHeight="1" x14ac:dyDescent="0.3">
      <c r="A16" s="6">
        <v>720</v>
      </c>
      <c r="B16" s="6" t="s">
        <v>1370</v>
      </c>
      <c r="C16" s="6" t="s">
        <v>43</v>
      </c>
      <c r="D16" s="6" t="s">
        <v>44</v>
      </c>
      <c r="E16" s="6" t="s">
        <v>1371</v>
      </c>
      <c r="F16" s="6" t="s">
        <v>4059</v>
      </c>
      <c r="G16" s="6">
        <v>411272</v>
      </c>
      <c r="H16" s="6" t="s">
        <v>895</v>
      </c>
      <c r="I16" s="6" t="s">
        <v>1377</v>
      </c>
      <c r="J16" s="6">
        <v>24</v>
      </c>
      <c r="K16" s="6" t="s">
        <v>19</v>
      </c>
      <c r="L16" s="10">
        <v>43.034999999999997</v>
      </c>
      <c r="M16" s="6" t="s">
        <v>33</v>
      </c>
      <c r="N16" s="10">
        <f>Tabla9[[#This Row],[Price]]*Tabla9[[#This Row],[QTY Adjusted]]</f>
        <v>1032.8399999999999</v>
      </c>
      <c r="O16" s="10">
        <v>1032.8399999999999</v>
      </c>
      <c r="P16" s="22">
        <v>46101</v>
      </c>
      <c r="Q16" s="6">
        <v>0</v>
      </c>
    </row>
    <row r="17" spans="1:17" ht="38.4" customHeight="1" x14ac:dyDescent="0.3">
      <c r="A17" s="6">
        <v>751</v>
      </c>
      <c r="B17" s="6" t="s">
        <v>1370</v>
      </c>
      <c r="C17" s="6" t="s">
        <v>1444</v>
      </c>
      <c r="D17" s="6" t="s">
        <v>44</v>
      </c>
      <c r="E17" s="6" t="s">
        <v>1371</v>
      </c>
      <c r="F17" s="6" t="s">
        <v>4059</v>
      </c>
      <c r="G17" s="6" t="s">
        <v>1445</v>
      </c>
      <c r="H17" s="6" t="s">
        <v>1446</v>
      </c>
      <c r="I17" s="6" t="s">
        <v>1447</v>
      </c>
      <c r="J17" s="6">
        <v>36</v>
      </c>
      <c r="K17" s="6" t="s">
        <v>19</v>
      </c>
      <c r="L17" s="10">
        <v>24.9</v>
      </c>
      <c r="M17" s="6" t="s">
        <v>33</v>
      </c>
      <c r="N17" s="10">
        <f>Tabla9[[#This Row],[Price]]*Tabla9[[#This Row],[QTY Adjusted]]</f>
        <v>896.4</v>
      </c>
      <c r="O17" s="10">
        <v>896.4</v>
      </c>
      <c r="P17" s="22">
        <v>46096</v>
      </c>
      <c r="Q17" s="6">
        <v>0</v>
      </c>
    </row>
    <row r="18" spans="1:17" ht="38.4" customHeight="1" x14ac:dyDescent="0.3">
      <c r="A18" s="6">
        <v>717</v>
      </c>
      <c r="B18" s="6" t="s">
        <v>1370</v>
      </c>
      <c r="C18" s="6" t="s">
        <v>38</v>
      </c>
      <c r="D18" s="6" t="str">
        <f>Tabla9[[#This Row],[Vendor]]</f>
        <v>Peugeot</v>
      </c>
      <c r="E18" s="6" t="s">
        <v>1371</v>
      </c>
      <c r="F18" s="6" t="s">
        <v>4059</v>
      </c>
      <c r="G18" s="6">
        <v>39899</v>
      </c>
      <c r="H18" s="6" t="s">
        <v>39</v>
      </c>
      <c r="I18" s="6" t="s">
        <v>1372</v>
      </c>
      <c r="J18" s="6">
        <v>24</v>
      </c>
      <c r="K18" s="6" t="s">
        <v>19</v>
      </c>
      <c r="L18" s="10">
        <v>35</v>
      </c>
      <c r="M18" s="6" t="s">
        <v>33</v>
      </c>
      <c r="N18" s="10">
        <f>Tabla9[[#This Row],[Price]]*Tabla9[[#This Row],[QTY Adjusted]]</f>
        <v>840</v>
      </c>
      <c r="O18" s="10">
        <v>840</v>
      </c>
      <c r="P18" s="10" t="s">
        <v>4232</v>
      </c>
      <c r="Q18" s="6">
        <v>0</v>
      </c>
    </row>
    <row r="19" spans="1:17" ht="38.4" customHeight="1" x14ac:dyDescent="0.3">
      <c r="A19" s="6">
        <v>718</v>
      </c>
      <c r="B19" s="6" t="s">
        <v>1370</v>
      </c>
      <c r="C19" s="6" t="s">
        <v>38</v>
      </c>
      <c r="D19" s="6" t="str">
        <f>Tabla9[[#This Row],[Vendor]]</f>
        <v>Peugeot</v>
      </c>
      <c r="E19" s="6" t="s">
        <v>1371</v>
      </c>
      <c r="F19" s="6" t="s">
        <v>4059</v>
      </c>
      <c r="G19" s="6">
        <v>39929</v>
      </c>
      <c r="H19" s="6" t="s">
        <v>41</v>
      </c>
      <c r="I19" s="6" t="s">
        <v>1373</v>
      </c>
      <c r="J19" s="6">
        <v>24</v>
      </c>
      <c r="K19" s="6" t="s">
        <v>19</v>
      </c>
      <c r="L19" s="10">
        <v>35</v>
      </c>
      <c r="M19" s="6" t="s">
        <v>33</v>
      </c>
      <c r="N19" s="10">
        <f>Tabla9[[#This Row],[Price]]*Tabla9[[#This Row],[QTY Adjusted]]</f>
        <v>840</v>
      </c>
      <c r="O19" s="10">
        <v>840</v>
      </c>
      <c r="P19" s="10" t="s">
        <v>4232</v>
      </c>
      <c r="Q19" s="6">
        <v>0</v>
      </c>
    </row>
    <row r="20" spans="1:17" ht="38.4" customHeight="1" x14ac:dyDescent="0.3">
      <c r="A20" s="6">
        <v>728</v>
      </c>
      <c r="B20" s="6" t="s">
        <v>1370</v>
      </c>
      <c r="C20" s="6" t="s">
        <v>219</v>
      </c>
      <c r="D20" s="6" t="s">
        <v>44</v>
      </c>
      <c r="E20" s="6" t="s">
        <v>1371</v>
      </c>
      <c r="F20" s="6" t="s">
        <v>4063</v>
      </c>
      <c r="G20" s="6">
        <v>1170500001</v>
      </c>
      <c r="H20" s="6" t="s">
        <v>64</v>
      </c>
      <c r="I20" s="6" t="s">
        <v>583</v>
      </c>
      <c r="J20" s="6">
        <v>72</v>
      </c>
      <c r="K20" s="6" t="s">
        <v>19</v>
      </c>
      <c r="L20" s="10">
        <v>9.9659999999999993</v>
      </c>
      <c r="M20" s="6" t="s">
        <v>33</v>
      </c>
      <c r="N20" s="10">
        <f>Tabla9[[#This Row],[Price]]*Tabla9[[#This Row],[QTY Adjusted]]</f>
        <v>717.55199999999991</v>
      </c>
      <c r="O20" s="10">
        <v>717.55199999999991</v>
      </c>
      <c r="P20" s="22">
        <v>46096</v>
      </c>
      <c r="Q20" s="6">
        <v>0</v>
      </c>
    </row>
    <row r="21" spans="1:17" ht="38.4" customHeight="1" x14ac:dyDescent="0.3">
      <c r="A21" s="6">
        <v>729</v>
      </c>
      <c r="B21" s="6" t="s">
        <v>1370</v>
      </c>
      <c r="C21" s="6" t="s">
        <v>219</v>
      </c>
      <c r="D21" s="6" t="s">
        <v>44</v>
      </c>
      <c r="E21" s="6" t="s">
        <v>1371</v>
      </c>
      <c r="F21" s="6" t="s">
        <v>4063</v>
      </c>
      <c r="G21" s="6">
        <v>1170500002</v>
      </c>
      <c r="H21" s="6" t="s">
        <v>67</v>
      </c>
      <c r="I21" s="6" t="s">
        <v>585</v>
      </c>
      <c r="J21" s="6">
        <v>72</v>
      </c>
      <c r="K21" s="6" t="s">
        <v>19</v>
      </c>
      <c r="L21" s="10">
        <v>9.9659999999999993</v>
      </c>
      <c r="M21" s="6" t="s">
        <v>33</v>
      </c>
      <c r="N21" s="10">
        <f>Tabla9[[#This Row],[Price]]*Tabla9[[#This Row],[QTY Adjusted]]</f>
        <v>717.55199999999991</v>
      </c>
      <c r="O21" s="10">
        <v>717.55199999999991</v>
      </c>
      <c r="P21" s="22">
        <v>46096</v>
      </c>
      <c r="Q21" s="6">
        <v>0</v>
      </c>
    </row>
    <row r="22" spans="1:17" ht="38.4" customHeight="1" x14ac:dyDescent="0.3">
      <c r="A22" s="6">
        <v>730</v>
      </c>
      <c r="B22" s="6" t="s">
        <v>1370</v>
      </c>
      <c r="C22" s="6" t="s">
        <v>219</v>
      </c>
      <c r="D22" s="6" t="s">
        <v>44</v>
      </c>
      <c r="E22" s="6" t="s">
        <v>1371</v>
      </c>
      <c r="F22" s="6" t="s">
        <v>4063</v>
      </c>
      <c r="G22" s="6">
        <v>1170500005</v>
      </c>
      <c r="H22" s="6" t="s">
        <v>70</v>
      </c>
      <c r="I22" s="6" t="s">
        <v>587</v>
      </c>
      <c r="J22" s="6">
        <v>72</v>
      </c>
      <c r="K22" s="6" t="s">
        <v>19</v>
      </c>
      <c r="L22" s="10">
        <v>9.7919999999999998</v>
      </c>
      <c r="M22" s="6" t="s">
        <v>33</v>
      </c>
      <c r="N22" s="10">
        <f>Tabla9[[#This Row],[Price]]*Tabla9[[#This Row],[QTY Adjusted]]</f>
        <v>705.024</v>
      </c>
      <c r="O22" s="10">
        <v>705.024</v>
      </c>
      <c r="P22" s="22">
        <v>46096</v>
      </c>
      <c r="Q22" s="6">
        <v>0</v>
      </c>
    </row>
    <row r="23" spans="1:17" ht="38.4" customHeight="1" x14ac:dyDescent="0.3">
      <c r="A23" s="6">
        <v>723</v>
      </c>
      <c r="B23" s="6" t="s">
        <v>1370</v>
      </c>
      <c r="C23" s="6" t="s">
        <v>219</v>
      </c>
      <c r="D23" s="6" t="s">
        <v>44</v>
      </c>
      <c r="E23" s="6" t="s">
        <v>1371</v>
      </c>
      <c r="F23" s="6" t="s">
        <v>4063</v>
      </c>
      <c r="G23" s="6">
        <v>1170500012</v>
      </c>
      <c r="H23" s="6" t="s">
        <v>49</v>
      </c>
      <c r="I23" s="6" t="s">
        <v>572</v>
      </c>
      <c r="J23" s="6">
        <v>72</v>
      </c>
      <c r="K23" s="6" t="s">
        <v>19</v>
      </c>
      <c r="L23" s="10">
        <v>9.06</v>
      </c>
      <c r="M23" s="6" t="s">
        <v>33</v>
      </c>
      <c r="N23" s="10">
        <f>Tabla9[[#This Row],[Price]]*Tabla9[[#This Row],[QTY Adjusted]]</f>
        <v>652.32000000000005</v>
      </c>
      <c r="O23" s="10">
        <v>652.32000000000005</v>
      </c>
      <c r="P23" s="22">
        <v>46096</v>
      </c>
      <c r="Q23" s="6">
        <v>0</v>
      </c>
    </row>
    <row r="24" spans="1:17" ht="38.4" customHeight="1" x14ac:dyDescent="0.3">
      <c r="A24" s="6">
        <v>724</v>
      </c>
      <c r="B24" s="6" t="s">
        <v>1370</v>
      </c>
      <c r="C24" s="6" t="s">
        <v>219</v>
      </c>
      <c r="D24" s="6" t="s">
        <v>44</v>
      </c>
      <c r="E24" s="6" t="s">
        <v>1371</v>
      </c>
      <c r="F24" s="6" t="s">
        <v>4063</v>
      </c>
      <c r="G24" s="6">
        <v>1170500015</v>
      </c>
      <c r="H24" s="6" t="s">
        <v>501</v>
      </c>
      <c r="I24" s="6" t="s">
        <v>575</v>
      </c>
      <c r="J24" s="6">
        <v>72</v>
      </c>
      <c r="K24" s="6" t="s">
        <v>19</v>
      </c>
      <c r="L24" s="10">
        <v>9.06</v>
      </c>
      <c r="M24" s="6" t="s">
        <v>33</v>
      </c>
      <c r="N24" s="10">
        <f>Tabla9[[#This Row],[Price]]*Tabla9[[#This Row],[QTY Adjusted]]</f>
        <v>652.32000000000005</v>
      </c>
      <c r="O24" s="10">
        <v>652.32000000000005</v>
      </c>
      <c r="P24" s="22">
        <v>46096</v>
      </c>
      <c r="Q24" s="6">
        <v>0</v>
      </c>
    </row>
    <row r="25" spans="1:17" ht="38.4" customHeight="1" x14ac:dyDescent="0.3">
      <c r="A25" s="6">
        <v>725</v>
      </c>
      <c r="B25" s="6" t="s">
        <v>1370</v>
      </c>
      <c r="C25" s="6" t="s">
        <v>219</v>
      </c>
      <c r="D25" s="6" t="s">
        <v>44</v>
      </c>
      <c r="E25" s="6" t="s">
        <v>1371</v>
      </c>
      <c r="F25" s="6" t="s">
        <v>4063</v>
      </c>
      <c r="G25" s="6">
        <v>1170500011</v>
      </c>
      <c r="H25" s="6" t="s">
        <v>1385</v>
      </c>
      <c r="I25" s="6" t="s">
        <v>577</v>
      </c>
      <c r="J25" s="6">
        <v>72</v>
      </c>
      <c r="K25" s="6" t="s">
        <v>19</v>
      </c>
      <c r="L25" s="10">
        <v>9.06</v>
      </c>
      <c r="M25" s="6" t="s">
        <v>33</v>
      </c>
      <c r="N25" s="10">
        <f>Tabla9[[#This Row],[Price]]*Tabla9[[#This Row],[QTY Adjusted]]</f>
        <v>652.32000000000005</v>
      </c>
      <c r="O25" s="10">
        <v>652.32000000000005</v>
      </c>
      <c r="P25" s="22">
        <v>46096</v>
      </c>
      <c r="Q25" s="6">
        <v>0</v>
      </c>
    </row>
    <row r="26" spans="1:17" ht="38.4" customHeight="1" x14ac:dyDescent="0.3">
      <c r="A26" s="6">
        <v>726</v>
      </c>
      <c r="B26" s="6" t="s">
        <v>1370</v>
      </c>
      <c r="C26" s="6" t="s">
        <v>219</v>
      </c>
      <c r="D26" s="6" t="s">
        <v>44</v>
      </c>
      <c r="E26" s="6" t="s">
        <v>1371</v>
      </c>
      <c r="F26" s="6" t="s">
        <v>4063</v>
      </c>
      <c r="G26" s="6">
        <v>1170500021</v>
      </c>
      <c r="H26" s="6" t="s">
        <v>1386</v>
      </c>
      <c r="I26" s="6" t="s">
        <v>579</v>
      </c>
      <c r="J26" s="6">
        <v>119</v>
      </c>
      <c r="K26" s="6" t="s">
        <v>19</v>
      </c>
      <c r="L26" s="10">
        <v>5.3280000000000003</v>
      </c>
      <c r="M26" s="6" t="s">
        <v>33</v>
      </c>
      <c r="N26" s="10">
        <f>Tabla9[[#This Row],[Price]]*Tabla9[[#This Row],[QTY Adjusted]]</f>
        <v>634.03200000000004</v>
      </c>
      <c r="O26" s="10">
        <v>634.03200000000004</v>
      </c>
      <c r="P26" s="22">
        <v>46096</v>
      </c>
      <c r="Q26" s="6">
        <v>0</v>
      </c>
    </row>
    <row r="27" spans="1:17" ht="38.4" customHeight="1" x14ac:dyDescent="0.3">
      <c r="A27" s="6">
        <v>735</v>
      </c>
      <c r="B27" s="6" t="s">
        <v>1370</v>
      </c>
      <c r="C27" s="6" t="s">
        <v>1387</v>
      </c>
      <c r="D27" s="6" t="s">
        <v>44</v>
      </c>
      <c r="E27" s="6" t="s">
        <v>1371</v>
      </c>
      <c r="F27" s="6" t="s">
        <v>4060</v>
      </c>
      <c r="G27" s="6" t="s">
        <v>1400</v>
      </c>
      <c r="H27" s="6" t="s">
        <v>1401</v>
      </c>
      <c r="I27" s="6" t="s">
        <v>1402</v>
      </c>
      <c r="J27" s="6">
        <v>29</v>
      </c>
      <c r="K27" s="6" t="s">
        <v>19</v>
      </c>
      <c r="L27" s="10">
        <v>21.155999999999999</v>
      </c>
      <c r="M27" s="6" t="s">
        <v>33</v>
      </c>
      <c r="N27" s="10">
        <f>Tabla9[[#This Row],[Price]]*Tabla9[[#This Row],[QTY Adjusted]]</f>
        <v>613.524</v>
      </c>
      <c r="O27" s="10">
        <v>613.524</v>
      </c>
      <c r="P27" s="22">
        <v>46096</v>
      </c>
      <c r="Q27" s="6">
        <v>0</v>
      </c>
    </row>
    <row r="28" spans="1:17" ht="38.4" customHeight="1" x14ac:dyDescent="0.3">
      <c r="A28" s="6">
        <v>731</v>
      </c>
      <c r="B28" s="6" t="s">
        <v>1370</v>
      </c>
      <c r="C28" s="6" t="s">
        <v>1387</v>
      </c>
      <c r="D28" s="6" t="s">
        <v>44</v>
      </c>
      <c r="E28" s="6" t="s">
        <v>1371</v>
      </c>
      <c r="F28" s="6" t="s">
        <v>4060</v>
      </c>
      <c r="G28" s="6" t="s">
        <v>1388</v>
      </c>
      <c r="H28" s="6" t="s">
        <v>1389</v>
      </c>
      <c r="I28" s="6" t="s">
        <v>1390</v>
      </c>
      <c r="J28" s="6">
        <v>72</v>
      </c>
      <c r="K28" s="6" t="s">
        <v>19</v>
      </c>
      <c r="L28" s="10">
        <v>8.3940000000000001</v>
      </c>
      <c r="M28" s="6" t="s">
        <v>33</v>
      </c>
      <c r="N28" s="10">
        <f>Tabla9[[#This Row],[Price]]*Tabla9[[#This Row],[QTY Adjusted]]</f>
        <v>604.36800000000005</v>
      </c>
      <c r="O28" s="10">
        <v>604.36800000000005</v>
      </c>
      <c r="P28" s="22">
        <v>46096</v>
      </c>
      <c r="Q28" s="6">
        <v>0</v>
      </c>
    </row>
    <row r="29" spans="1:17" ht="38.4" customHeight="1" x14ac:dyDescent="0.3">
      <c r="A29" s="6">
        <v>737</v>
      </c>
      <c r="B29" s="6" t="s">
        <v>1370</v>
      </c>
      <c r="C29" s="6" t="s">
        <v>1387</v>
      </c>
      <c r="D29" s="6" t="s">
        <v>44</v>
      </c>
      <c r="E29" s="6" t="s">
        <v>1371</v>
      </c>
      <c r="F29" s="6" t="s">
        <v>4060</v>
      </c>
      <c r="G29" s="6" t="s">
        <v>1406</v>
      </c>
      <c r="H29" s="6" t="s">
        <v>1407</v>
      </c>
      <c r="I29" s="6" t="s">
        <v>1408</v>
      </c>
      <c r="J29" s="6">
        <v>22</v>
      </c>
      <c r="K29" s="6" t="s">
        <v>19</v>
      </c>
      <c r="L29" s="10">
        <v>24.744</v>
      </c>
      <c r="M29" s="6" t="s">
        <v>33</v>
      </c>
      <c r="N29" s="10">
        <f>Tabla9[[#This Row],[Price]]*Tabla9[[#This Row],[QTY Adjusted]]</f>
        <v>544.36799999999994</v>
      </c>
      <c r="O29" s="10">
        <v>544.36799999999994</v>
      </c>
      <c r="P29" s="22">
        <v>46096</v>
      </c>
      <c r="Q29" s="6">
        <v>0</v>
      </c>
    </row>
    <row r="30" spans="1:17" ht="38.4" customHeight="1" x14ac:dyDescent="0.3">
      <c r="A30" s="6">
        <v>744</v>
      </c>
      <c r="B30" s="6" t="s">
        <v>1370</v>
      </c>
      <c r="C30" s="6" t="s">
        <v>1387</v>
      </c>
      <c r="D30" s="6" t="s">
        <v>44</v>
      </c>
      <c r="E30" s="6" t="s">
        <v>1371</v>
      </c>
      <c r="F30" s="6" t="s">
        <v>4060</v>
      </c>
      <c r="G30" s="6" t="s">
        <v>1427</v>
      </c>
      <c r="H30" s="6" t="s">
        <v>1428</v>
      </c>
      <c r="I30" s="6" t="s">
        <v>1429</v>
      </c>
      <c r="J30" s="6">
        <v>51</v>
      </c>
      <c r="K30" s="6" t="s">
        <v>19</v>
      </c>
      <c r="L30" s="10">
        <v>10.584</v>
      </c>
      <c r="M30" s="6" t="s">
        <v>33</v>
      </c>
      <c r="N30" s="10">
        <f>Tabla9[[#This Row],[Price]]*Tabla9[[#This Row],[QTY Adjusted]]</f>
        <v>539.78399999999999</v>
      </c>
      <c r="O30" s="10">
        <v>539.78399999999999</v>
      </c>
      <c r="P30" s="22">
        <v>46096</v>
      </c>
      <c r="Q30" s="6">
        <v>0</v>
      </c>
    </row>
    <row r="31" spans="1:17" ht="38.4" customHeight="1" x14ac:dyDescent="0.3">
      <c r="A31" s="6">
        <v>733</v>
      </c>
      <c r="B31" s="6" t="s">
        <v>1370</v>
      </c>
      <c r="C31" s="6" t="s">
        <v>1387</v>
      </c>
      <c r="D31" s="6" t="s">
        <v>44</v>
      </c>
      <c r="E31" s="6" t="s">
        <v>1371</v>
      </c>
      <c r="F31" s="6" t="s">
        <v>4060</v>
      </c>
      <c r="G31" s="6" t="s">
        <v>1394</v>
      </c>
      <c r="H31" s="6" t="s">
        <v>1395</v>
      </c>
      <c r="I31" s="6" t="s">
        <v>1396</v>
      </c>
      <c r="J31" s="6">
        <v>29</v>
      </c>
      <c r="K31" s="6" t="s">
        <v>19</v>
      </c>
      <c r="L31" s="10">
        <v>17.13</v>
      </c>
      <c r="M31" s="6" t="s">
        <v>33</v>
      </c>
      <c r="N31" s="10">
        <f>Tabla9[[#This Row],[Price]]*Tabla9[[#This Row],[QTY Adjusted]]</f>
        <v>496.77</v>
      </c>
      <c r="O31" s="10">
        <v>496.77</v>
      </c>
      <c r="P31" s="22">
        <v>46096</v>
      </c>
      <c r="Q31" s="6">
        <v>0</v>
      </c>
    </row>
    <row r="32" spans="1:17" ht="38.4" customHeight="1" x14ac:dyDescent="0.3">
      <c r="A32" s="6">
        <v>734</v>
      </c>
      <c r="B32" s="6" t="s">
        <v>1370</v>
      </c>
      <c r="C32" s="6" t="s">
        <v>1387</v>
      </c>
      <c r="D32" s="6" t="s">
        <v>44</v>
      </c>
      <c r="E32" s="6" t="s">
        <v>1371</v>
      </c>
      <c r="F32" s="6" t="s">
        <v>4060</v>
      </c>
      <c r="G32" s="6" t="s">
        <v>1397</v>
      </c>
      <c r="H32" s="6" t="s">
        <v>1398</v>
      </c>
      <c r="I32" s="6" t="s">
        <v>1399</v>
      </c>
      <c r="J32" s="6">
        <v>29</v>
      </c>
      <c r="K32" s="6" t="s">
        <v>19</v>
      </c>
      <c r="L32" s="10">
        <v>15.635999999999999</v>
      </c>
      <c r="M32" s="6" t="s">
        <v>33</v>
      </c>
      <c r="N32" s="10">
        <f>Tabla9[[#This Row],[Price]]*Tabla9[[#This Row],[QTY Adjusted]]</f>
        <v>453.44399999999996</v>
      </c>
      <c r="O32" s="10">
        <v>453.44399999999996</v>
      </c>
      <c r="P32" s="22">
        <v>46096</v>
      </c>
      <c r="Q32" s="6">
        <v>0</v>
      </c>
    </row>
    <row r="33" spans="1:17" ht="38.4" customHeight="1" x14ac:dyDescent="0.3">
      <c r="A33" s="6">
        <v>756</v>
      </c>
      <c r="B33" s="6" t="s">
        <v>1370</v>
      </c>
      <c r="C33" s="6" t="s">
        <v>232</v>
      </c>
      <c r="D33" s="6" t="s">
        <v>233</v>
      </c>
      <c r="E33" s="6" t="s">
        <v>1371</v>
      </c>
      <c r="F33" s="6" t="s">
        <v>4062</v>
      </c>
      <c r="G33" s="6">
        <v>26.112411999999999</v>
      </c>
      <c r="H33" s="6" t="s">
        <v>1459</v>
      </c>
      <c r="I33" s="6" t="s">
        <v>948</v>
      </c>
      <c r="J33" s="6">
        <v>47</v>
      </c>
      <c r="K33" s="6" t="s">
        <v>19</v>
      </c>
      <c r="L33" s="10">
        <v>8.9499999999999993</v>
      </c>
      <c r="M33" s="6" t="s">
        <v>33</v>
      </c>
      <c r="N33" s="10">
        <f>Tabla9[[#This Row],[Price]]*Tabla9[[#This Row],[QTY Adjusted]]</f>
        <v>420.65</v>
      </c>
      <c r="O33" s="10">
        <v>420.65</v>
      </c>
      <c r="P33" s="10" t="s">
        <v>4239</v>
      </c>
      <c r="Q33" s="6">
        <v>0</v>
      </c>
    </row>
    <row r="34" spans="1:17" ht="38.4" customHeight="1" x14ac:dyDescent="0.3">
      <c r="A34" s="6">
        <v>732</v>
      </c>
      <c r="B34" s="6" t="s">
        <v>1370</v>
      </c>
      <c r="C34" s="6" t="s">
        <v>1387</v>
      </c>
      <c r="D34" s="6" t="s">
        <v>44</v>
      </c>
      <c r="E34" s="6" t="s">
        <v>1371</v>
      </c>
      <c r="F34" s="6" t="s">
        <v>4060</v>
      </c>
      <c r="G34" s="6" t="s">
        <v>1391</v>
      </c>
      <c r="H34" s="6" t="s">
        <v>1392</v>
      </c>
      <c r="I34" s="6" t="s">
        <v>1393</v>
      </c>
      <c r="J34" s="6">
        <v>29</v>
      </c>
      <c r="K34" s="6" t="s">
        <v>19</v>
      </c>
      <c r="L34" s="10">
        <v>13.326000000000001</v>
      </c>
      <c r="M34" s="6" t="s">
        <v>33</v>
      </c>
      <c r="N34" s="10">
        <f>Tabla9[[#This Row],[Price]]*Tabla9[[#This Row],[QTY Adjusted]]</f>
        <v>386.45400000000001</v>
      </c>
      <c r="O34" s="10">
        <v>386.45400000000001</v>
      </c>
      <c r="P34" s="22">
        <v>46096</v>
      </c>
      <c r="Q34" s="6">
        <v>0</v>
      </c>
    </row>
    <row r="35" spans="1:17" ht="38.4" customHeight="1" x14ac:dyDescent="0.3">
      <c r="A35" s="6">
        <v>749</v>
      </c>
      <c r="B35" s="6" t="s">
        <v>1370</v>
      </c>
      <c r="C35" s="6" t="s">
        <v>1387</v>
      </c>
      <c r="D35" s="6" t="s">
        <v>44</v>
      </c>
      <c r="E35" s="6" t="s">
        <v>1371</v>
      </c>
      <c r="F35" s="6" t="s">
        <v>4060</v>
      </c>
      <c r="G35" s="6" t="s">
        <v>1439</v>
      </c>
      <c r="H35" s="6" t="s">
        <v>110</v>
      </c>
      <c r="I35" s="6" t="s">
        <v>1440</v>
      </c>
      <c r="J35" s="6">
        <v>36</v>
      </c>
      <c r="K35" s="6" t="s">
        <v>19</v>
      </c>
      <c r="L35" s="10">
        <v>9.5879999999999992</v>
      </c>
      <c r="M35" s="6" t="s">
        <v>33</v>
      </c>
      <c r="N35" s="10">
        <f>Tabla9[[#This Row],[Price]]*Tabla9[[#This Row],[QTY Adjusted]]</f>
        <v>345.16799999999995</v>
      </c>
      <c r="O35" s="10">
        <v>345.16799999999995</v>
      </c>
      <c r="P35" s="22">
        <v>46096</v>
      </c>
      <c r="Q35" s="6">
        <v>0</v>
      </c>
    </row>
    <row r="36" spans="1:17" ht="38.4" customHeight="1" x14ac:dyDescent="0.3">
      <c r="A36" s="6">
        <v>745</v>
      </c>
      <c r="B36" s="6" t="s">
        <v>1370</v>
      </c>
      <c r="C36" s="6" t="s">
        <v>1387</v>
      </c>
      <c r="D36" s="6" t="s">
        <v>44</v>
      </c>
      <c r="E36" s="6" t="s">
        <v>1371</v>
      </c>
      <c r="F36" s="6" t="s">
        <v>4060</v>
      </c>
      <c r="G36" s="6" t="s">
        <v>1430</v>
      </c>
      <c r="H36" s="6" t="s">
        <v>517</v>
      </c>
      <c r="I36" s="6" t="s">
        <v>1431</v>
      </c>
      <c r="J36" s="6">
        <v>51</v>
      </c>
      <c r="K36" s="6" t="s">
        <v>19</v>
      </c>
      <c r="L36" s="10">
        <v>6.7439999999999998</v>
      </c>
      <c r="M36" s="6" t="s">
        <v>33</v>
      </c>
      <c r="N36" s="10">
        <f>Tabla9[[#This Row],[Price]]*Tabla9[[#This Row],[QTY Adjusted]]</f>
        <v>343.94399999999996</v>
      </c>
      <c r="O36" s="10">
        <v>343.94399999999996</v>
      </c>
      <c r="P36" s="22">
        <v>46096</v>
      </c>
      <c r="Q36" s="6">
        <v>0</v>
      </c>
    </row>
    <row r="37" spans="1:17" ht="38.4" customHeight="1" x14ac:dyDescent="0.3">
      <c r="A37" s="6">
        <v>755</v>
      </c>
      <c r="B37" s="6" t="s">
        <v>1370</v>
      </c>
      <c r="C37" s="6" t="s">
        <v>266</v>
      </c>
      <c r="D37" s="6" t="s">
        <v>44</v>
      </c>
      <c r="E37" s="6" t="s">
        <v>1371</v>
      </c>
      <c r="F37" s="6" t="s">
        <v>4062</v>
      </c>
      <c r="G37" s="6" t="s">
        <v>1457</v>
      </c>
      <c r="H37" s="6" t="s">
        <v>132</v>
      </c>
      <c r="I37" s="6" t="s">
        <v>1458</v>
      </c>
      <c r="J37" s="6">
        <v>72</v>
      </c>
      <c r="K37" s="6" t="s">
        <v>19</v>
      </c>
      <c r="L37" s="10">
        <v>4.476</v>
      </c>
      <c r="M37" s="6" t="s">
        <v>33</v>
      </c>
      <c r="N37" s="10">
        <f>Tabla9[[#This Row],[Price]]*Tabla9[[#This Row],[QTY Adjusted]]</f>
        <v>322.27199999999999</v>
      </c>
      <c r="O37" s="10">
        <v>322.27199999999999</v>
      </c>
      <c r="P37" s="10" t="s">
        <v>4225</v>
      </c>
      <c r="Q37" s="6">
        <v>0</v>
      </c>
    </row>
    <row r="38" spans="1:17" ht="38.4" customHeight="1" x14ac:dyDescent="0.3">
      <c r="A38" s="6">
        <v>757</v>
      </c>
      <c r="B38" s="6" t="s">
        <v>1370</v>
      </c>
      <c r="C38" s="6" t="s">
        <v>232</v>
      </c>
      <c r="D38" s="6" t="s">
        <v>233</v>
      </c>
      <c r="E38" s="6" t="s">
        <v>1371</v>
      </c>
      <c r="F38" s="6" t="s">
        <v>4062</v>
      </c>
      <c r="G38" s="6">
        <v>26.112414999999999</v>
      </c>
      <c r="H38" s="6" t="s">
        <v>142</v>
      </c>
      <c r="I38" s="6" t="s">
        <v>951</v>
      </c>
      <c r="J38" s="6">
        <v>42</v>
      </c>
      <c r="K38" s="6" t="s">
        <v>19</v>
      </c>
      <c r="L38" s="10">
        <v>8.9499999999999993</v>
      </c>
      <c r="M38" s="6" t="s">
        <v>33</v>
      </c>
      <c r="N38" s="10">
        <f>Tabla9[[#This Row],[Price]]*Tabla9[[#This Row],[QTY Adjusted]]</f>
        <v>375.9</v>
      </c>
      <c r="O38" s="10">
        <v>375.9</v>
      </c>
      <c r="P38" s="10" t="s">
        <v>4239</v>
      </c>
      <c r="Q38" s="6">
        <v>0</v>
      </c>
    </row>
    <row r="39" spans="1:17" ht="38.4" customHeight="1" x14ac:dyDescent="0.3">
      <c r="A39" s="6">
        <v>750</v>
      </c>
      <c r="B39" s="6" t="s">
        <v>1370</v>
      </c>
      <c r="C39" s="6" t="s">
        <v>1387</v>
      </c>
      <c r="D39" s="6" t="s">
        <v>44</v>
      </c>
      <c r="E39" s="6" t="s">
        <v>1371</v>
      </c>
      <c r="F39" s="6" t="s">
        <v>4060</v>
      </c>
      <c r="G39" s="6" t="s">
        <v>1441</v>
      </c>
      <c r="H39" s="6" t="s">
        <v>1442</v>
      </c>
      <c r="I39" s="6" t="s">
        <v>1443</v>
      </c>
      <c r="J39" s="6">
        <v>36</v>
      </c>
      <c r="K39" s="6" t="s">
        <v>19</v>
      </c>
      <c r="L39" s="10">
        <v>8.0280000000000005</v>
      </c>
      <c r="M39" s="6" t="s">
        <v>33</v>
      </c>
      <c r="N39" s="10">
        <f>Tabla9[[#This Row],[Price]]*Tabla9[[#This Row],[QTY Adjusted]]</f>
        <v>289.00800000000004</v>
      </c>
      <c r="O39" s="10">
        <v>289.00800000000004</v>
      </c>
      <c r="P39" s="22">
        <v>46096</v>
      </c>
      <c r="Q39" s="6">
        <v>0</v>
      </c>
    </row>
    <row r="40" spans="1:17" ht="38.4" customHeight="1" x14ac:dyDescent="0.3">
      <c r="A40" s="6">
        <v>742</v>
      </c>
      <c r="B40" s="6" t="s">
        <v>1370</v>
      </c>
      <c r="C40" s="6" t="s">
        <v>1387</v>
      </c>
      <c r="D40" s="6" t="s">
        <v>44</v>
      </c>
      <c r="E40" s="6" t="s">
        <v>1371</v>
      </c>
      <c r="F40" s="6" t="s">
        <v>4060</v>
      </c>
      <c r="G40" s="6" t="s">
        <v>1421</v>
      </c>
      <c r="H40" s="6" t="s">
        <v>1422</v>
      </c>
      <c r="I40" s="6" t="s">
        <v>1423</v>
      </c>
      <c r="J40" s="6">
        <v>22</v>
      </c>
      <c r="K40" s="6" t="s">
        <v>19</v>
      </c>
      <c r="L40" s="10">
        <v>12.3</v>
      </c>
      <c r="M40" s="6" t="s">
        <v>33</v>
      </c>
      <c r="N40" s="10">
        <f>Tabla9[[#This Row],[Price]]*Tabla9[[#This Row],[QTY Adjusted]]</f>
        <v>270.60000000000002</v>
      </c>
      <c r="O40" s="10">
        <v>270.60000000000002</v>
      </c>
      <c r="P40" s="22">
        <v>46096</v>
      </c>
      <c r="Q40" s="6">
        <v>0</v>
      </c>
    </row>
    <row r="41" spans="1:17" ht="38.4" customHeight="1" x14ac:dyDescent="0.3">
      <c r="A41" s="6">
        <v>738</v>
      </c>
      <c r="B41" s="6" t="s">
        <v>1370</v>
      </c>
      <c r="C41" s="6" t="s">
        <v>1387</v>
      </c>
      <c r="D41" s="6" t="s">
        <v>44</v>
      </c>
      <c r="E41" s="6" t="s">
        <v>1371</v>
      </c>
      <c r="F41" s="6" t="s">
        <v>4060</v>
      </c>
      <c r="G41" s="6" t="s">
        <v>1409</v>
      </c>
      <c r="H41" s="6" t="s">
        <v>1410</v>
      </c>
      <c r="I41" s="6" t="s">
        <v>1411</v>
      </c>
      <c r="J41" s="6">
        <v>29</v>
      </c>
      <c r="K41" s="6" t="s">
        <v>19</v>
      </c>
      <c r="L41" s="10">
        <v>9.24</v>
      </c>
      <c r="M41" s="6" t="s">
        <v>33</v>
      </c>
      <c r="N41" s="10">
        <f>Tabla9[[#This Row],[Price]]*Tabla9[[#This Row],[QTY Adjusted]]</f>
        <v>267.95999999999998</v>
      </c>
      <c r="O41" s="10">
        <v>267.95999999999998</v>
      </c>
      <c r="P41" s="22">
        <v>46096</v>
      </c>
      <c r="Q41" s="6">
        <v>0</v>
      </c>
    </row>
    <row r="42" spans="1:17" ht="38.4" customHeight="1" x14ac:dyDescent="0.3">
      <c r="A42" s="6">
        <v>765</v>
      </c>
      <c r="B42" s="6" t="s">
        <v>1370</v>
      </c>
      <c r="C42" s="6" t="s">
        <v>1481</v>
      </c>
      <c r="D42" s="6" t="str">
        <f>Tabla9[[#This Row],[Vendor]]</f>
        <v>GT Linens</v>
      </c>
      <c r="E42" s="6" t="s">
        <v>1482</v>
      </c>
      <c r="F42" s="6" t="s">
        <v>4061</v>
      </c>
      <c r="G42" s="6" t="s">
        <v>178</v>
      </c>
      <c r="H42" s="6" t="s">
        <v>1483</v>
      </c>
      <c r="I42" s="6" t="s">
        <v>1484</v>
      </c>
      <c r="J42" s="6">
        <v>144</v>
      </c>
      <c r="K42" s="6" t="s">
        <v>19</v>
      </c>
      <c r="L42" s="10">
        <v>1.82</v>
      </c>
      <c r="M42" s="6" t="s">
        <v>33</v>
      </c>
      <c r="N42" s="10">
        <f>Tabla9[[#This Row],[Price]]*Tabla9[[#This Row],[QTY Adjusted]]</f>
        <v>262.08</v>
      </c>
      <c r="O42" s="10">
        <v>262.08</v>
      </c>
      <c r="P42" s="10" t="s">
        <v>4237</v>
      </c>
      <c r="Q42" s="6" t="s">
        <v>4246</v>
      </c>
    </row>
    <row r="43" spans="1:17" ht="38.4" customHeight="1" x14ac:dyDescent="0.3">
      <c r="A43" s="6">
        <v>719</v>
      </c>
      <c r="B43" s="6" t="s">
        <v>1370</v>
      </c>
      <c r="C43" s="6" t="s">
        <v>92</v>
      </c>
      <c r="D43" s="6" t="s">
        <v>93</v>
      </c>
      <c r="E43" s="6" t="s">
        <v>1371</v>
      </c>
      <c r="F43" s="6" t="s">
        <v>4059</v>
      </c>
      <c r="G43" s="6" t="s">
        <v>1374</v>
      </c>
      <c r="H43" s="6" t="s">
        <v>1375</v>
      </c>
      <c r="I43" s="6" t="s">
        <v>1376</v>
      </c>
      <c r="J43" s="6">
        <v>24</v>
      </c>
      <c r="K43" s="6" t="s">
        <v>19</v>
      </c>
      <c r="L43" s="10">
        <v>12.34</v>
      </c>
      <c r="M43" s="6" t="s">
        <v>33</v>
      </c>
      <c r="N43" s="10">
        <f>Tabla9[[#This Row],[Price]]*Tabla9[[#This Row],[QTY Adjusted]]</f>
        <v>296.15999999999997</v>
      </c>
      <c r="O43" s="10">
        <v>296.15999999999997</v>
      </c>
      <c r="P43" s="10" t="s">
        <v>4225</v>
      </c>
      <c r="Q43" s="6">
        <v>0</v>
      </c>
    </row>
    <row r="44" spans="1:17" ht="38.4" customHeight="1" x14ac:dyDescent="0.3">
      <c r="A44" s="6">
        <v>741</v>
      </c>
      <c r="B44" s="6" t="s">
        <v>1370</v>
      </c>
      <c r="C44" s="6" t="s">
        <v>1387</v>
      </c>
      <c r="D44" s="6" t="s">
        <v>44</v>
      </c>
      <c r="E44" s="6" t="s">
        <v>1371</v>
      </c>
      <c r="F44" s="6" t="s">
        <v>4060</v>
      </c>
      <c r="G44" s="6" t="s">
        <v>1418</v>
      </c>
      <c r="H44" s="6" t="s">
        <v>1419</v>
      </c>
      <c r="I44" s="6" t="s">
        <v>1420</v>
      </c>
      <c r="J44" s="6">
        <v>15</v>
      </c>
      <c r="K44" s="6" t="s">
        <v>19</v>
      </c>
      <c r="L44" s="10">
        <v>16.788</v>
      </c>
      <c r="M44" s="6" t="s">
        <v>33</v>
      </c>
      <c r="N44" s="10">
        <f>Tabla9[[#This Row],[Price]]*Tabla9[[#This Row],[QTY Adjusted]]</f>
        <v>251.82</v>
      </c>
      <c r="O44" s="10">
        <v>251.82</v>
      </c>
      <c r="P44" s="22">
        <v>46096</v>
      </c>
      <c r="Q44" s="6">
        <v>0</v>
      </c>
    </row>
    <row r="45" spans="1:17" ht="38.4" customHeight="1" x14ac:dyDescent="0.3">
      <c r="A45" s="6">
        <v>739</v>
      </c>
      <c r="B45" s="6" t="s">
        <v>1370</v>
      </c>
      <c r="C45" s="6" t="s">
        <v>1387</v>
      </c>
      <c r="D45" s="6" t="s">
        <v>44</v>
      </c>
      <c r="E45" s="6" t="s">
        <v>1371</v>
      </c>
      <c r="F45" s="6" t="s">
        <v>4060</v>
      </c>
      <c r="G45" s="6" t="s">
        <v>1412</v>
      </c>
      <c r="H45" s="6" t="s">
        <v>1413</v>
      </c>
      <c r="I45" s="6" t="s">
        <v>1414</v>
      </c>
      <c r="J45" s="6">
        <v>29</v>
      </c>
      <c r="K45" s="6" t="s">
        <v>19</v>
      </c>
      <c r="L45" s="10">
        <v>7.68</v>
      </c>
      <c r="M45" s="6" t="s">
        <v>33</v>
      </c>
      <c r="N45" s="10">
        <f>Tabla9[[#This Row],[Price]]*Tabla9[[#This Row],[QTY Adjusted]]</f>
        <v>222.72</v>
      </c>
      <c r="O45" s="10">
        <v>222.72</v>
      </c>
      <c r="P45" s="22">
        <v>46096</v>
      </c>
      <c r="Q45" s="6">
        <v>0</v>
      </c>
    </row>
    <row r="46" spans="1:17" ht="38.4" customHeight="1" x14ac:dyDescent="0.3">
      <c r="A46" s="6">
        <v>736</v>
      </c>
      <c r="B46" s="6" t="s">
        <v>1370</v>
      </c>
      <c r="C46" s="6" t="s">
        <v>1387</v>
      </c>
      <c r="D46" s="6" t="s">
        <v>44</v>
      </c>
      <c r="E46" s="6" t="s">
        <v>1371</v>
      </c>
      <c r="F46" s="6" t="s">
        <v>4060</v>
      </c>
      <c r="G46" s="6" t="s">
        <v>1403</v>
      </c>
      <c r="H46" s="6" t="s">
        <v>1404</v>
      </c>
      <c r="I46" s="6" t="s">
        <v>1405</v>
      </c>
      <c r="J46" s="6">
        <v>22</v>
      </c>
      <c r="K46" s="6" t="s">
        <v>19</v>
      </c>
      <c r="L46" s="10">
        <v>9.9600000000000009</v>
      </c>
      <c r="M46" s="6" t="s">
        <v>33</v>
      </c>
      <c r="N46" s="10">
        <f>Tabla9[[#This Row],[Price]]*Tabla9[[#This Row],[QTY Adjusted]]</f>
        <v>219.12</v>
      </c>
      <c r="O46" s="10">
        <v>219.12</v>
      </c>
      <c r="P46" s="22">
        <v>46096</v>
      </c>
      <c r="Q46" s="6">
        <v>0</v>
      </c>
    </row>
    <row r="47" spans="1:17" ht="38.4" customHeight="1" x14ac:dyDescent="0.3">
      <c r="A47" s="6">
        <v>759</v>
      </c>
      <c r="B47" s="6" t="s">
        <v>1370</v>
      </c>
      <c r="C47" s="6" t="s">
        <v>134</v>
      </c>
      <c r="D47" s="6" t="s">
        <v>44</v>
      </c>
      <c r="E47" s="6" t="s">
        <v>1371</v>
      </c>
      <c r="F47" s="6" t="s">
        <v>4062</v>
      </c>
      <c r="G47" s="6" t="s">
        <v>1462</v>
      </c>
      <c r="H47" s="6" t="s">
        <v>1463</v>
      </c>
      <c r="I47" s="6" t="s">
        <v>1464</v>
      </c>
      <c r="J47" s="6">
        <v>42</v>
      </c>
      <c r="K47" s="6" t="s">
        <v>19</v>
      </c>
      <c r="L47" s="10">
        <v>5.1479999999999997</v>
      </c>
      <c r="M47" s="6" t="s">
        <v>33</v>
      </c>
      <c r="N47" s="10">
        <f>Tabla9[[#This Row],[Price]]*Tabla9[[#This Row],[QTY Adjusted]]</f>
        <v>216.21599999999998</v>
      </c>
      <c r="O47" s="10">
        <v>216.21599999999998</v>
      </c>
      <c r="P47" s="10" t="s">
        <v>4225</v>
      </c>
      <c r="Q47" s="6">
        <v>0</v>
      </c>
    </row>
    <row r="48" spans="1:17" ht="38.4" customHeight="1" x14ac:dyDescent="0.3">
      <c r="A48" s="6">
        <v>758</v>
      </c>
      <c r="B48" s="6" t="s">
        <v>1370</v>
      </c>
      <c r="C48" s="6" t="s">
        <v>134</v>
      </c>
      <c r="D48" s="6" t="s">
        <v>44</v>
      </c>
      <c r="E48" s="6" t="s">
        <v>1371</v>
      </c>
      <c r="F48" s="6" t="s">
        <v>4062</v>
      </c>
      <c r="G48" s="6" t="s">
        <v>1460</v>
      </c>
      <c r="H48" s="6" t="s">
        <v>954</v>
      </c>
      <c r="I48" s="6" t="s">
        <v>1461</v>
      </c>
      <c r="J48" s="6">
        <v>42</v>
      </c>
      <c r="K48" s="6" t="s">
        <v>19</v>
      </c>
      <c r="L48" s="10">
        <v>4.8099999999999996</v>
      </c>
      <c r="M48" s="6" t="s">
        <v>33</v>
      </c>
      <c r="N48" s="10">
        <f>Tabla9[[#This Row],[Price]]*Tabla9[[#This Row],[QTY Adjusted]]</f>
        <v>202.01999999999998</v>
      </c>
      <c r="O48" s="10">
        <v>202.01999999999998</v>
      </c>
      <c r="P48" s="10" t="s">
        <v>4225</v>
      </c>
      <c r="Q48" s="6">
        <v>0</v>
      </c>
    </row>
    <row r="49" spans="1:17" ht="38.4" customHeight="1" x14ac:dyDescent="0.3">
      <c r="A49" s="6">
        <v>743</v>
      </c>
      <c r="B49" s="6" t="s">
        <v>1370</v>
      </c>
      <c r="C49" s="6" t="s">
        <v>1387</v>
      </c>
      <c r="D49" s="6" t="s">
        <v>44</v>
      </c>
      <c r="E49" s="6" t="s">
        <v>1371</v>
      </c>
      <c r="F49" s="6" t="s">
        <v>4060</v>
      </c>
      <c r="G49" s="6" t="s">
        <v>1424</v>
      </c>
      <c r="H49" s="6" t="s">
        <v>1425</v>
      </c>
      <c r="I49" s="6" t="s">
        <v>1426</v>
      </c>
      <c r="J49" s="6">
        <v>22</v>
      </c>
      <c r="K49" s="6" t="s">
        <v>19</v>
      </c>
      <c r="L49" s="10">
        <v>6.8639999999999999</v>
      </c>
      <c r="M49" s="6" t="s">
        <v>33</v>
      </c>
      <c r="N49" s="10">
        <f>Tabla9[[#This Row],[Price]]*Tabla9[[#This Row],[QTY Adjusted]]</f>
        <v>151.00800000000001</v>
      </c>
      <c r="O49" s="10">
        <v>151.00800000000001</v>
      </c>
      <c r="P49" s="22">
        <v>46096</v>
      </c>
      <c r="Q49" s="6">
        <v>0</v>
      </c>
    </row>
    <row r="50" spans="1:17" ht="38.4" customHeight="1" x14ac:dyDescent="0.3">
      <c r="A50" s="6">
        <v>740</v>
      </c>
      <c r="B50" s="6" t="s">
        <v>1370</v>
      </c>
      <c r="C50" s="6" t="s">
        <v>1387</v>
      </c>
      <c r="D50" s="6" t="s">
        <v>44</v>
      </c>
      <c r="E50" s="6" t="s">
        <v>1371</v>
      </c>
      <c r="F50" s="6" t="s">
        <v>4060</v>
      </c>
      <c r="G50" s="6" t="s">
        <v>1415</v>
      </c>
      <c r="H50" s="6" t="s">
        <v>1416</v>
      </c>
      <c r="I50" s="6" t="s">
        <v>1417</v>
      </c>
      <c r="J50" s="6">
        <v>15</v>
      </c>
      <c r="K50" s="6" t="s">
        <v>19</v>
      </c>
      <c r="L50" s="10">
        <v>8.8680000000000003</v>
      </c>
      <c r="M50" s="6" t="s">
        <v>33</v>
      </c>
      <c r="N50" s="10">
        <f>Tabla9[[#This Row],[Price]]*Tabla9[[#This Row],[QTY Adjusted]]</f>
        <v>133.02000000000001</v>
      </c>
      <c r="O50" s="10">
        <v>133.02000000000001</v>
      </c>
      <c r="P50" s="22">
        <v>46096</v>
      </c>
      <c r="Q50" s="6">
        <v>0</v>
      </c>
    </row>
    <row r="51" spans="1:17" ht="38.4" customHeight="1" x14ac:dyDescent="0.3">
      <c r="A51" s="6">
        <v>748</v>
      </c>
      <c r="B51" s="6" t="s">
        <v>1370</v>
      </c>
      <c r="C51" s="6" t="s">
        <v>1387</v>
      </c>
      <c r="D51" s="6" t="s">
        <v>44</v>
      </c>
      <c r="E51" s="6" t="s">
        <v>1371</v>
      </c>
      <c r="F51" s="6" t="s">
        <v>4060</v>
      </c>
      <c r="G51" s="6" t="s">
        <v>1437</v>
      </c>
      <c r="H51" s="6" t="s">
        <v>1309</v>
      </c>
      <c r="I51" s="6" t="s">
        <v>1438</v>
      </c>
      <c r="J51" s="6">
        <v>26</v>
      </c>
      <c r="K51" s="6" t="s">
        <v>19</v>
      </c>
      <c r="L51" s="10">
        <v>4.5960000000000001</v>
      </c>
      <c r="M51" s="6" t="s">
        <v>33</v>
      </c>
      <c r="N51" s="10">
        <f>Tabla9[[#This Row],[Price]]*Tabla9[[#This Row],[QTY Adjusted]]</f>
        <v>119.49600000000001</v>
      </c>
      <c r="O51" s="10">
        <v>119.49600000000001</v>
      </c>
      <c r="P51" s="22">
        <v>46096</v>
      </c>
      <c r="Q51" s="6">
        <v>0</v>
      </c>
    </row>
    <row r="52" spans="1:17" ht="38.4" customHeight="1" x14ac:dyDescent="0.3">
      <c r="A52" s="6">
        <v>746</v>
      </c>
      <c r="B52" s="6" t="s">
        <v>1370</v>
      </c>
      <c r="C52" s="6" t="s">
        <v>1387</v>
      </c>
      <c r="D52" s="6" t="s">
        <v>44</v>
      </c>
      <c r="E52" s="6" t="s">
        <v>1371</v>
      </c>
      <c r="F52" s="6" t="s">
        <v>4060</v>
      </c>
      <c r="G52" s="6" t="s">
        <v>1432</v>
      </c>
      <c r="H52" s="6" t="s">
        <v>1433</v>
      </c>
      <c r="I52" s="6" t="s">
        <v>1434</v>
      </c>
      <c r="J52" s="6">
        <v>15</v>
      </c>
      <c r="K52" s="6" t="s">
        <v>19</v>
      </c>
      <c r="L52" s="10">
        <v>7.4880000000000004</v>
      </c>
      <c r="M52" s="6" t="s">
        <v>33</v>
      </c>
      <c r="N52" s="10">
        <f>Tabla9[[#This Row],[Price]]*Tabla9[[#This Row],[QTY Adjusted]]</f>
        <v>112.32000000000001</v>
      </c>
      <c r="O52" s="10">
        <v>112.32000000000001</v>
      </c>
      <c r="P52" s="22">
        <v>46096</v>
      </c>
      <c r="Q52" s="6">
        <v>0</v>
      </c>
    </row>
    <row r="53" spans="1:17" ht="38.4" customHeight="1" x14ac:dyDescent="0.3">
      <c r="A53" s="6">
        <v>727</v>
      </c>
      <c r="B53" s="6" t="s">
        <v>1370</v>
      </c>
      <c r="C53" s="6" t="s">
        <v>219</v>
      </c>
      <c r="D53" s="6" t="s">
        <v>44</v>
      </c>
      <c r="E53" s="6" t="s">
        <v>1371</v>
      </c>
      <c r="F53" s="6" t="s">
        <v>4063</v>
      </c>
      <c r="G53" s="6">
        <v>1170500022</v>
      </c>
      <c r="H53" s="6" t="s">
        <v>61</v>
      </c>
      <c r="I53" s="6" t="s">
        <v>581</v>
      </c>
      <c r="J53" s="6">
        <v>18</v>
      </c>
      <c r="K53" s="6" t="s">
        <v>19</v>
      </c>
      <c r="L53" s="10">
        <v>5.3280000000000003</v>
      </c>
      <c r="M53" s="6" t="s">
        <v>33</v>
      </c>
      <c r="N53" s="10">
        <f>Tabla9[[#This Row],[Price]]*Tabla9[[#This Row],[QTY Adjusted]]</f>
        <v>95.904000000000011</v>
      </c>
      <c r="O53" s="10">
        <v>95.904000000000011</v>
      </c>
      <c r="P53" s="22">
        <v>46096</v>
      </c>
      <c r="Q53" s="6">
        <v>0</v>
      </c>
    </row>
    <row r="54" spans="1:17" ht="38.4" customHeight="1" x14ac:dyDescent="0.3">
      <c r="A54" s="6">
        <v>747</v>
      </c>
      <c r="B54" s="6" t="s">
        <v>1370</v>
      </c>
      <c r="C54" s="6" t="s">
        <v>1387</v>
      </c>
      <c r="D54" s="6" t="s">
        <v>44</v>
      </c>
      <c r="E54" s="6" t="s">
        <v>1371</v>
      </c>
      <c r="F54" s="6" t="s">
        <v>4060</v>
      </c>
      <c r="G54" s="6" t="s">
        <v>1435</v>
      </c>
      <c r="H54" s="6" t="s">
        <v>511</v>
      </c>
      <c r="I54" s="6" t="s">
        <v>1436</v>
      </c>
      <c r="J54" s="6">
        <v>15</v>
      </c>
      <c r="K54" s="6" t="s">
        <v>19</v>
      </c>
      <c r="L54" s="10">
        <v>4.7160000000000002</v>
      </c>
      <c r="M54" s="6" t="s">
        <v>33</v>
      </c>
      <c r="N54" s="10">
        <f>Tabla9[[#This Row],[Price]]*Tabla9[[#This Row],[QTY Adjusted]]</f>
        <v>70.740000000000009</v>
      </c>
      <c r="O54" s="10">
        <v>70.740000000000009</v>
      </c>
      <c r="P54" s="22">
        <v>46096</v>
      </c>
      <c r="Q54" s="6">
        <v>0</v>
      </c>
    </row>
    <row r="55" spans="1:17" ht="38.4" customHeight="1" x14ac:dyDescent="0.3">
      <c r="A55" s="6">
        <v>722</v>
      </c>
      <c r="B55" s="6" t="s">
        <v>1370</v>
      </c>
      <c r="C55" s="6" t="s">
        <v>1381</v>
      </c>
      <c r="D55" s="6"/>
      <c r="E55" s="6" t="s">
        <v>1371</v>
      </c>
      <c r="F55" s="6" t="s">
        <v>4062</v>
      </c>
      <c r="G55" s="6" t="s">
        <v>1382</v>
      </c>
      <c r="H55" s="6" t="s">
        <v>1383</v>
      </c>
      <c r="I55" s="6" t="s">
        <v>1384</v>
      </c>
      <c r="J55" s="6">
        <v>24</v>
      </c>
      <c r="K55" s="6" t="s">
        <v>19</v>
      </c>
      <c r="L55" s="10"/>
      <c r="M55" s="6"/>
      <c r="N55" s="10">
        <f>Tabla9[[#This Row],[Price]]*Tabla9[[#This Row],[QTY Adjusted]]</f>
        <v>0</v>
      </c>
      <c r="O55" s="10">
        <v>0</v>
      </c>
      <c r="P55" s="10" t="s">
        <v>4218</v>
      </c>
      <c r="Q55" s="6" t="s">
        <v>4245</v>
      </c>
    </row>
    <row r="56" spans="1:17" ht="38.4" customHeight="1" x14ac:dyDescent="0.3">
      <c r="A56" s="6">
        <v>761</v>
      </c>
      <c r="B56" s="6" t="s">
        <v>1370</v>
      </c>
      <c r="C56" s="6" t="s">
        <v>1468</v>
      </c>
      <c r="D56" s="6" t="s">
        <v>44</v>
      </c>
      <c r="E56" s="6" t="s">
        <v>1371</v>
      </c>
      <c r="F56" s="6" t="s">
        <v>4059</v>
      </c>
      <c r="G56" s="6" t="s">
        <v>178</v>
      </c>
      <c r="H56" s="6" t="s">
        <v>1469</v>
      </c>
      <c r="I56" s="20" t="s">
        <v>1470</v>
      </c>
      <c r="J56" s="6">
        <v>54</v>
      </c>
      <c r="K56" s="6" t="s">
        <v>19</v>
      </c>
      <c r="L56" s="10" t="s">
        <v>178</v>
      </c>
      <c r="M56" s="6"/>
      <c r="N56" s="10">
        <v>0</v>
      </c>
      <c r="O56" s="10">
        <v>0</v>
      </c>
      <c r="P56" s="10" t="s">
        <v>4218</v>
      </c>
      <c r="Q56" s="6" t="s">
        <v>4245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77E9-30A1-4ED4-B7CA-0F7FAFB3E637}">
  <dimension ref="A1:Q31"/>
  <sheetViews>
    <sheetView showGridLines="0" topLeftCell="D1" zoomScale="55" zoomScaleNormal="55" workbookViewId="0">
      <selection activeCell="J7" sqref="J7"/>
    </sheetView>
  </sheetViews>
  <sheetFormatPr baseColWidth="10" defaultColWidth="11.44140625" defaultRowHeight="14.4" x14ac:dyDescent="0.3"/>
  <cols>
    <col min="2" max="2" width="16" bestFit="1" customWidth="1"/>
    <col min="4" max="4" width="29.6640625" bestFit="1" customWidth="1"/>
    <col min="5" max="5" width="27.33203125" bestFit="1" customWidth="1"/>
    <col min="6" max="6" width="15.44140625" bestFit="1" customWidth="1"/>
    <col min="7" max="7" width="26.88671875" customWidth="1"/>
    <col min="8" max="8" width="28" bestFit="1" customWidth="1"/>
    <col min="9" max="9" width="54.5546875" customWidth="1"/>
    <col min="10" max="10" width="14.33203125" customWidth="1"/>
    <col min="12" max="12" width="15" customWidth="1"/>
    <col min="14" max="14" width="14.5546875" customWidth="1"/>
    <col min="15" max="15" width="18.6640625" customWidth="1"/>
    <col min="16" max="16" width="64.33203125" customWidth="1"/>
    <col min="17" max="17" width="14.6640625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  <c r="Q2" t="s">
        <v>4247</v>
      </c>
    </row>
    <row r="3" spans="1:17" ht="40.200000000000003" customHeight="1" x14ac:dyDescent="0.3">
      <c r="A3" s="6">
        <v>178</v>
      </c>
      <c r="B3" s="6" t="s">
        <v>487</v>
      </c>
      <c r="C3" s="6" t="s">
        <v>488</v>
      </c>
      <c r="D3" s="17" t="s">
        <v>44</v>
      </c>
      <c r="E3" s="6"/>
      <c r="F3" s="6" t="s">
        <v>4059</v>
      </c>
      <c r="G3" s="6" t="s">
        <v>489</v>
      </c>
      <c r="H3" s="6" t="s">
        <v>490</v>
      </c>
      <c r="I3" s="6" t="s">
        <v>491</v>
      </c>
      <c r="J3" s="6">
        <v>12</v>
      </c>
      <c r="K3" s="6" t="s">
        <v>19</v>
      </c>
      <c r="L3" s="10">
        <v>205.53749999999999</v>
      </c>
      <c r="M3" s="6" t="s">
        <v>33</v>
      </c>
      <c r="N3" s="10">
        <f>Tabla10[[#This Row],[Price]]*Tabla10[[#This Row],[QTY Adjusted]]</f>
        <v>2466.4499999999998</v>
      </c>
      <c r="O3" s="15">
        <v>1035</v>
      </c>
      <c r="P3" s="10" t="s">
        <v>4225</v>
      </c>
      <c r="Q3" s="6">
        <v>0</v>
      </c>
    </row>
    <row r="4" spans="1:17" ht="40.200000000000003" customHeight="1" x14ac:dyDescent="0.3">
      <c r="A4" s="6">
        <v>206</v>
      </c>
      <c r="B4" s="6" t="s">
        <v>499</v>
      </c>
      <c r="C4" s="6" t="s">
        <v>14</v>
      </c>
      <c r="D4" s="6" t="str">
        <f>Tabla10[[#This Row],[Vendor]]</f>
        <v>Oaxifornia</v>
      </c>
      <c r="E4" s="6"/>
      <c r="F4" s="6" t="s">
        <v>4059</v>
      </c>
      <c r="G4" s="6" t="s">
        <v>178</v>
      </c>
      <c r="H4" s="6" t="s">
        <v>540</v>
      </c>
      <c r="I4" s="6" t="s">
        <v>541</v>
      </c>
      <c r="J4" s="6">
        <v>24</v>
      </c>
      <c r="K4" s="6" t="s">
        <v>19</v>
      </c>
      <c r="L4" s="10">
        <v>1828</v>
      </c>
      <c r="M4" s="6" t="s">
        <v>20</v>
      </c>
      <c r="N4" s="10">
        <f>Tabla10[[#This Row],[Price]]*Tabla10[[#This Row],[QTY Adjusted]]</f>
        <v>43872</v>
      </c>
      <c r="O4" s="10">
        <v>2249.8461538461538</v>
      </c>
      <c r="P4" s="10" t="s">
        <v>4232</v>
      </c>
      <c r="Q4" s="6">
        <v>0</v>
      </c>
    </row>
    <row r="5" spans="1:17" ht="40.200000000000003" customHeight="1" x14ac:dyDescent="0.3">
      <c r="A5" s="6">
        <v>205</v>
      </c>
      <c r="B5" s="6" t="s">
        <v>499</v>
      </c>
      <c r="C5" s="6" t="s">
        <v>14</v>
      </c>
      <c r="D5" s="6" t="str">
        <f>Tabla10[[#This Row],[Vendor]]</f>
        <v>Oaxifornia</v>
      </c>
      <c r="E5" s="6"/>
      <c r="F5" s="6" t="s">
        <v>4059</v>
      </c>
      <c r="G5" s="6" t="s">
        <v>127</v>
      </c>
      <c r="H5" s="6" t="s">
        <v>539</v>
      </c>
      <c r="I5" s="6" t="s">
        <v>129</v>
      </c>
      <c r="J5" s="6">
        <v>24</v>
      </c>
      <c r="K5" s="6" t="s">
        <v>19</v>
      </c>
      <c r="L5" s="10">
        <v>1608</v>
      </c>
      <c r="M5" s="6" t="s">
        <v>20</v>
      </c>
      <c r="N5" s="10">
        <f>Tabla10[[#This Row],[Price]]*Tabla10[[#This Row],[QTY Adjusted]]</f>
        <v>38592</v>
      </c>
      <c r="O5" s="10">
        <v>1979.0769230769231</v>
      </c>
      <c r="P5" s="10" t="s">
        <v>4232</v>
      </c>
      <c r="Q5" s="6">
        <v>0</v>
      </c>
    </row>
    <row r="6" spans="1:17" ht="40.200000000000003" customHeight="1" x14ac:dyDescent="0.3">
      <c r="A6" s="6">
        <v>179</v>
      </c>
      <c r="B6" s="6" t="s">
        <v>487</v>
      </c>
      <c r="C6" s="6" t="s">
        <v>492</v>
      </c>
      <c r="D6" s="6" t="s">
        <v>493</v>
      </c>
      <c r="E6" s="6"/>
      <c r="F6" s="6" t="s">
        <v>4059</v>
      </c>
      <c r="G6" s="6" t="s">
        <v>494</v>
      </c>
      <c r="H6" s="6" t="s">
        <v>495</v>
      </c>
      <c r="I6" s="6" t="s">
        <v>496</v>
      </c>
      <c r="J6" s="6">
        <v>12</v>
      </c>
      <c r="K6" s="6" t="s">
        <v>19</v>
      </c>
      <c r="L6" s="10">
        <v>147.5</v>
      </c>
      <c r="M6" s="6" t="s">
        <v>33</v>
      </c>
      <c r="N6" s="10">
        <f>Tabla10[[#This Row],[Price]]*Tabla10[[#This Row],[QTY Adjusted]]</f>
        <v>1770</v>
      </c>
      <c r="O6" s="10">
        <v>1770</v>
      </c>
      <c r="P6" s="10" t="s">
        <v>4218</v>
      </c>
      <c r="Q6" s="6" t="s">
        <v>4245</v>
      </c>
    </row>
    <row r="7" spans="1:17" ht="40.200000000000003" customHeight="1" x14ac:dyDescent="0.3">
      <c r="A7" s="6">
        <v>194</v>
      </c>
      <c r="B7" s="6" t="s">
        <v>499</v>
      </c>
      <c r="C7" s="6" t="s">
        <v>525</v>
      </c>
      <c r="D7" s="6" t="s">
        <v>130</v>
      </c>
      <c r="E7" s="6"/>
      <c r="F7" s="6" t="s">
        <v>4059</v>
      </c>
      <c r="G7" s="6" t="s">
        <v>526</v>
      </c>
      <c r="H7" s="6" t="s">
        <v>527</v>
      </c>
      <c r="I7" s="6" t="s">
        <v>528</v>
      </c>
      <c r="J7" s="6">
        <v>8</v>
      </c>
      <c r="K7" s="6" t="s">
        <v>19</v>
      </c>
      <c r="L7" s="10">
        <v>203.74507668563848</v>
      </c>
      <c r="M7" s="6" t="s">
        <v>33</v>
      </c>
      <c r="N7" s="10">
        <f>Tabla10[[#This Row],[Price]]*Tabla10[[#This Row],[QTY Adjusted]]</f>
        <v>1629.9606134851078</v>
      </c>
      <c r="O7" s="10">
        <v>1629.9606134851078</v>
      </c>
      <c r="P7" s="10" t="s">
        <v>4225</v>
      </c>
      <c r="Q7" s="6">
        <v>0</v>
      </c>
    </row>
    <row r="8" spans="1:17" ht="40.200000000000003" customHeight="1" x14ac:dyDescent="0.3">
      <c r="A8" s="6">
        <v>192</v>
      </c>
      <c r="B8" s="6" t="s">
        <v>499</v>
      </c>
      <c r="C8" s="6" t="s">
        <v>519</v>
      </c>
      <c r="D8" s="6" t="s">
        <v>519</v>
      </c>
      <c r="E8" s="6"/>
      <c r="F8" s="6" t="s">
        <v>4059</v>
      </c>
      <c r="G8" s="6" t="s">
        <v>520</v>
      </c>
      <c r="H8" s="6" t="s">
        <v>125</v>
      </c>
      <c r="I8" s="6" t="s">
        <v>521</v>
      </c>
      <c r="J8" s="6">
        <v>12</v>
      </c>
      <c r="K8" s="6" t="s">
        <v>19</v>
      </c>
      <c r="L8" s="10">
        <v>117.8</v>
      </c>
      <c r="M8" s="6" t="s">
        <v>33</v>
      </c>
      <c r="N8" s="10">
        <f>Tabla10[[#This Row],[Price]]*Tabla10[[#This Row],[QTY Adjusted]]</f>
        <v>1413.6</v>
      </c>
      <c r="O8" s="10">
        <v>1413.6</v>
      </c>
      <c r="P8" s="10" t="s">
        <v>4239</v>
      </c>
      <c r="Q8" s="6">
        <v>0</v>
      </c>
    </row>
    <row r="9" spans="1:17" ht="40.200000000000003" customHeight="1" x14ac:dyDescent="0.3">
      <c r="A9" s="6">
        <v>190</v>
      </c>
      <c r="B9" s="6" t="s">
        <v>499</v>
      </c>
      <c r="C9" s="6" t="s">
        <v>502</v>
      </c>
      <c r="D9" s="6" t="str">
        <f>Tabla10[[#This Row],[Vendor]]</f>
        <v>Hacha</v>
      </c>
      <c r="E9" s="6"/>
      <c r="F9" s="6" t="s">
        <v>4060</v>
      </c>
      <c r="G9" s="6" t="s">
        <v>513</v>
      </c>
      <c r="H9" s="6" t="s">
        <v>514</v>
      </c>
      <c r="I9" s="6" t="s">
        <v>515</v>
      </c>
      <c r="J9" s="6">
        <v>87</v>
      </c>
      <c r="K9" s="6" t="s">
        <v>19</v>
      </c>
      <c r="L9" s="10">
        <v>250</v>
      </c>
      <c r="M9" s="6" t="s">
        <v>20</v>
      </c>
      <c r="N9" s="10">
        <f>Tabla10[[#This Row],[Price]]*Tabla10[[#This Row],[QTY Adjusted]]</f>
        <v>21750</v>
      </c>
      <c r="O9" s="10">
        <v>1115.3846153846155</v>
      </c>
      <c r="P9" s="10" t="s">
        <v>4226</v>
      </c>
      <c r="Q9" s="6">
        <v>0</v>
      </c>
    </row>
    <row r="10" spans="1:17" ht="40.200000000000003" customHeight="1" x14ac:dyDescent="0.3">
      <c r="A10" s="6">
        <v>191</v>
      </c>
      <c r="B10" s="6" t="s">
        <v>499</v>
      </c>
      <c r="C10" s="6" t="s">
        <v>502</v>
      </c>
      <c r="D10" s="6" t="str">
        <f>Tabla10[[#This Row],[Vendor]]</f>
        <v>Hacha</v>
      </c>
      <c r="E10" s="6"/>
      <c r="F10" s="6" t="s">
        <v>4060</v>
      </c>
      <c r="G10" s="6" t="s">
        <v>516</v>
      </c>
      <c r="H10" s="6" t="s">
        <v>517</v>
      </c>
      <c r="I10" s="6" t="s">
        <v>518</v>
      </c>
      <c r="J10" s="6">
        <v>87</v>
      </c>
      <c r="K10" s="6" t="s">
        <v>19</v>
      </c>
      <c r="L10" s="10">
        <v>206</v>
      </c>
      <c r="M10" s="6" t="s">
        <v>20</v>
      </c>
      <c r="N10" s="10">
        <f>Tabla10[[#This Row],[Price]]*Tabla10[[#This Row],[QTY Adjusted]]</f>
        <v>17922</v>
      </c>
      <c r="O10" s="10">
        <v>919.07692307692309</v>
      </c>
      <c r="P10" s="10" t="s">
        <v>4226</v>
      </c>
      <c r="Q10" s="6">
        <v>0</v>
      </c>
    </row>
    <row r="11" spans="1:17" ht="40.200000000000003" customHeight="1" x14ac:dyDescent="0.3">
      <c r="A11" s="6">
        <v>196</v>
      </c>
      <c r="B11" s="6" t="s">
        <v>499</v>
      </c>
      <c r="C11" s="6" t="s">
        <v>130</v>
      </c>
      <c r="D11" s="6" t="s">
        <v>130</v>
      </c>
      <c r="E11" s="6"/>
      <c r="F11" s="6" t="s">
        <v>4062</v>
      </c>
      <c r="G11" s="6" t="s">
        <v>530</v>
      </c>
      <c r="H11" s="6" t="s">
        <v>132</v>
      </c>
      <c r="I11" s="20" t="s">
        <v>531</v>
      </c>
      <c r="J11" s="6">
        <v>58</v>
      </c>
      <c r="K11" s="6" t="s">
        <v>19</v>
      </c>
      <c r="L11" s="10">
        <v>12.669846283023318</v>
      </c>
      <c r="M11" s="6" t="s">
        <v>33</v>
      </c>
      <c r="N11" s="10">
        <f>Tabla10[[#This Row],[Price]]*Tabla10[[#This Row],[QTY Adjusted]]</f>
        <v>734.85108441535249</v>
      </c>
      <c r="O11" s="10">
        <v>734.85108441535249</v>
      </c>
      <c r="P11" s="10" t="s">
        <v>4228</v>
      </c>
      <c r="Q11" s="6" t="s">
        <v>4246</v>
      </c>
    </row>
    <row r="12" spans="1:17" ht="40.200000000000003" customHeight="1" x14ac:dyDescent="0.3">
      <c r="A12" s="6">
        <v>180</v>
      </c>
      <c r="B12" s="6" t="s">
        <v>487</v>
      </c>
      <c r="C12" s="6" t="s">
        <v>34</v>
      </c>
      <c r="D12" s="6" t="str">
        <f>Tabla10[[#This Row],[Vendor]]</f>
        <v>Casa Rovea</v>
      </c>
      <c r="E12" s="6"/>
      <c r="F12" s="6" t="s">
        <v>4061</v>
      </c>
      <c r="G12" s="6" t="s">
        <v>497</v>
      </c>
      <c r="H12" s="6" t="s">
        <v>36</v>
      </c>
      <c r="I12" s="6" t="s">
        <v>498</v>
      </c>
      <c r="J12" s="6">
        <v>116</v>
      </c>
      <c r="K12" s="6" t="s">
        <v>19</v>
      </c>
      <c r="L12" s="10">
        <v>4.9800000000000004</v>
      </c>
      <c r="M12" s="6" t="s">
        <v>28</v>
      </c>
      <c r="N12" s="10">
        <f>Tabla10[[#This Row],[Price]]*Tabla10[[#This Row],[QTY Adjusted]]</f>
        <v>577.68000000000006</v>
      </c>
      <c r="O12" s="10">
        <v>670.10879999999997</v>
      </c>
      <c r="P12" s="10" t="s">
        <v>4224</v>
      </c>
      <c r="Q12" s="6">
        <v>0</v>
      </c>
    </row>
    <row r="13" spans="1:17" ht="40.200000000000003" customHeight="1" x14ac:dyDescent="0.3">
      <c r="A13" s="6">
        <v>193</v>
      </c>
      <c r="B13" s="6" t="s">
        <v>499</v>
      </c>
      <c r="C13" s="6" t="s">
        <v>519</v>
      </c>
      <c r="D13" s="6" t="s">
        <v>519</v>
      </c>
      <c r="E13" s="6"/>
      <c r="F13" s="6" t="s">
        <v>4059</v>
      </c>
      <c r="G13" s="6" t="s">
        <v>522</v>
      </c>
      <c r="H13" s="6" t="s">
        <v>523</v>
      </c>
      <c r="I13" s="6" t="s">
        <v>524</v>
      </c>
      <c r="J13" s="6">
        <v>8</v>
      </c>
      <c r="K13" s="6" t="s">
        <v>19</v>
      </c>
      <c r="L13" s="10">
        <v>74</v>
      </c>
      <c r="M13" s="6" t="s">
        <v>33</v>
      </c>
      <c r="N13" s="10">
        <f>Tabla10[[#This Row],[Price]]*Tabla10[[#This Row],[QTY Adjusted]]</f>
        <v>592</v>
      </c>
      <c r="O13" s="10">
        <v>592</v>
      </c>
      <c r="P13" s="10" t="s">
        <v>4239</v>
      </c>
      <c r="Q13" s="6">
        <v>0</v>
      </c>
    </row>
    <row r="14" spans="1:17" ht="40.200000000000003" customHeight="1" x14ac:dyDescent="0.3">
      <c r="A14" s="6">
        <v>195</v>
      </c>
      <c r="B14" s="6" t="s">
        <v>499</v>
      </c>
      <c r="C14" s="6" t="s">
        <v>43</v>
      </c>
      <c r="D14" s="6" t="s">
        <v>44</v>
      </c>
      <c r="E14" s="6"/>
      <c r="F14" s="6" t="s">
        <v>4059</v>
      </c>
      <c r="G14" s="6">
        <v>656390</v>
      </c>
      <c r="H14" s="6" t="s">
        <v>116</v>
      </c>
      <c r="I14" s="6" t="s">
        <v>529</v>
      </c>
      <c r="J14" s="6">
        <v>12</v>
      </c>
      <c r="K14" s="6" t="s">
        <v>19</v>
      </c>
      <c r="L14" s="10">
        <v>46.08</v>
      </c>
      <c r="M14" s="6" t="s">
        <v>33</v>
      </c>
      <c r="N14" s="10">
        <f>Tabla10[[#This Row],[Price]]*Tabla10[[#This Row],[QTY Adjusted]]</f>
        <v>552.96</v>
      </c>
      <c r="O14" s="10">
        <v>552.96</v>
      </c>
      <c r="P14" s="10" t="s">
        <v>4225</v>
      </c>
      <c r="Q14" s="6">
        <v>0</v>
      </c>
    </row>
    <row r="15" spans="1:17" ht="40.200000000000003" customHeight="1" x14ac:dyDescent="0.3">
      <c r="A15" s="6">
        <v>182</v>
      </c>
      <c r="B15" s="6" t="s">
        <v>499</v>
      </c>
      <c r="C15" s="6" t="s">
        <v>47</v>
      </c>
      <c r="D15" s="6" t="s">
        <v>44</v>
      </c>
      <c r="E15" s="6"/>
      <c r="F15" s="6" t="s">
        <v>4063</v>
      </c>
      <c r="G15" s="6" t="s">
        <v>4066</v>
      </c>
      <c r="H15" s="6" t="s">
        <v>501</v>
      </c>
      <c r="I15" s="6" t="s">
        <v>71</v>
      </c>
      <c r="J15" s="6">
        <v>44</v>
      </c>
      <c r="K15" s="6" t="s">
        <v>19</v>
      </c>
      <c r="L15" s="10">
        <v>9.4499999999999993</v>
      </c>
      <c r="M15" s="6" t="s">
        <v>33</v>
      </c>
      <c r="N15" s="10">
        <f>Tabla10[[#This Row],[Price]]*Tabla10[[#This Row],[QTY Adjusted]]</f>
        <v>415.79999999999995</v>
      </c>
      <c r="O15" s="10">
        <v>415.79999999999995</v>
      </c>
      <c r="P15" s="10" t="s">
        <v>4225</v>
      </c>
      <c r="Q15" s="6">
        <v>0</v>
      </c>
    </row>
    <row r="16" spans="1:17" ht="40.200000000000003" customHeight="1" x14ac:dyDescent="0.3">
      <c r="A16" s="6">
        <v>184</v>
      </c>
      <c r="B16" s="6" t="s">
        <v>499</v>
      </c>
      <c r="C16" s="6" t="s">
        <v>47</v>
      </c>
      <c r="D16" s="6" t="s">
        <v>44</v>
      </c>
      <c r="E16" s="6"/>
      <c r="F16" s="6" t="s">
        <v>4063</v>
      </c>
      <c r="G16" s="6" t="s">
        <v>57</v>
      </c>
      <c r="H16" s="6" t="s">
        <v>58</v>
      </c>
      <c r="I16" s="6" t="s">
        <v>59</v>
      </c>
      <c r="J16" s="6">
        <v>72</v>
      </c>
      <c r="K16" s="6" t="s">
        <v>19</v>
      </c>
      <c r="L16" s="10">
        <v>4.74</v>
      </c>
      <c r="M16" s="6" t="s">
        <v>33</v>
      </c>
      <c r="N16" s="10">
        <f>Tabla10[[#This Row],[Price]]*Tabla10[[#This Row],[QTY Adjusted]]</f>
        <v>341.28000000000003</v>
      </c>
      <c r="O16" s="10">
        <v>341.28000000000003</v>
      </c>
      <c r="P16" s="10" t="s">
        <v>4225</v>
      </c>
      <c r="Q16" s="6">
        <v>0</v>
      </c>
    </row>
    <row r="17" spans="1:17" ht="40.200000000000003" customHeight="1" x14ac:dyDescent="0.3">
      <c r="A17" s="6">
        <v>181</v>
      </c>
      <c r="B17" s="6" t="s">
        <v>499</v>
      </c>
      <c r="C17" s="6" t="s">
        <v>47</v>
      </c>
      <c r="D17" s="6" t="s">
        <v>44</v>
      </c>
      <c r="E17" s="6"/>
      <c r="F17" s="6" t="s">
        <v>4063</v>
      </c>
      <c r="G17" s="6" t="s">
        <v>48</v>
      </c>
      <c r="H17" s="6" t="s">
        <v>49</v>
      </c>
      <c r="I17" s="6" t="s">
        <v>50</v>
      </c>
      <c r="J17" s="6">
        <v>44</v>
      </c>
      <c r="K17" s="6" t="s">
        <v>19</v>
      </c>
      <c r="L17" s="10">
        <v>7.56</v>
      </c>
      <c r="M17" s="6" t="s">
        <v>33</v>
      </c>
      <c r="N17" s="10">
        <f>Tabla10[[#This Row],[Price]]*Tabla10[[#This Row],[QTY Adjusted]]</f>
        <v>332.64</v>
      </c>
      <c r="O17" s="10">
        <v>332.64</v>
      </c>
      <c r="P17" s="10" t="s">
        <v>4225</v>
      </c>
      <c r="Q17" s="6">
        <v>0</v>
      </c>
    </row>
    <row r="18" spans="1:17" ht="40.200000000000003" customHeight="1" x14ac:dyDescent="0.3">
      <c r="A18" s="6">
        <v>183</v>
      </c>
      <c r="B18" s="6" t="s">
        <v>499</v>
      </c>
      <c r="C18" s="6" t="s">
        <v>47</v>
      </c>
      <c r="D18" s="6" t="s">
        <v>44</v>
      </c>
      <c r="E18" s="6"/>
      <c r="F18" s="6" t="s">
        <v>4063</v>
      </c>
      <c r="G18" s="6" t="s">
        <v>54</v>
      </c>
      <c r="H18" s="6" t="s">
        <v>55</v>
      </c>
      <c r="I18" s="6" t="s">
        <v>56</v>
      </c>
      <c r="J18" s="6">
        <v>44</v>
      </c>
      <c r="K18" s="6" t="s">
        <v>19</v>
      </c>
      <c r="L18" s="10">
        <v>7.56</v>
      </c>
      <c r="M18" s="6" t="s">
        <v>33</v>
      </c>
      <c r="N18" s="10">
        <f>Tabla10[[#This Row],[Price]]*Tabla10[[#This Row],[QTY Adjusted]]</f>
        <v>332.64</v>
      </c>
      <c r="O18" s="10">
        <v>332.64</v>
      </c>
      <c r="P18" s="10" t="s">
        <v>4225</v>
      </c>
      <c r="Q18" s="6">
        <v>0</v>
      </c>
    </row>
    <row r="19" spans="1:17" ht="40.200000000000003" customHeight="1" x14ac:dyDescent="0.3">
      <c r="A19" s="6">
        <v>197</v>
      </c>
      <c r="B19" s="6" t="s">
        <v>499</v>
      </c>
      <c r="C19" s="6" t="s">
        <v>134</v>
      </c>
      <c r="D19" s="6" t="s">
        <v>44</v>
      </c>
      <c r="E19" s="6"/>
      <c r="F19" s="6" t="s">
        <v>4062</v>
      </c>
      <c r="G19" s="6" t="s">
        <v>135</v>
      </c>
      <c r="H19" s="6" t="s">
        <v>532</v>
      </c>
      <c r="I19" s="6" t="s">
        <v>137</v>
      </c>
      <c r="J19" s="6">
        <v>29</v>
      </c>
      <c r="K19" s="6" t="s">
        <v>19</v>
      </c>
      <c r="L19" s="10">
        <v>11.186500000000001</v>
      </c>
      <c r="M19" s="6" t="s">
        <v>33</v>
      </c>
      <c r="N19" s="10">
        <f>Tabla10[[#This Row],[Price]]*Tabla10[[#This Row],[QTY Adjusted]]</f>
        <v>324.4085</v>
      </c>
      <c r="O19" s="10">
        <v>324.4085</v>
      </c>
      <c r="P19" s="10" t="s">
        <v>4225</v>
      </c>
      <c r="Q19" s="6">
        <v>0</v>
      </c>
    </row>
    <row r="20" spans="1:17" ht="40.200000000000003" customHeight="1" x14ac:dyDescent="0.3">
      <c r="A20" s="6">
        <v>204</v>
      </c>
      <c r="B20" s="6" t="s">
        <v>499</v>
      </c>
      <c r="C20" s="6" t="s">
        <v>134</v>
      </c>
      <c r="D20" s="6" t="s">
        <v>44</v>
      </c>
      <c r="E20" s="6"/>
      <c r="F20" s="6" t="s">
        <v>4062</v>
      </c>
      <c r="G20" s="6">
        <v>1200019</v>
      </c>
      <c r="H20" s="6" t="s">
        <v>156</v>
      </c>
      <c r="I20" s="6" t="s">
        <v>157</v>
      </c>
      <c r="J20" s="6">
        <v>24</v>
      </c>
      <c r="K20" s="6" t="s">
        <v>19</v>
      </c>
      <c r="L20" s="10">
        <v>12.1225</v>
      </c>
      <c r="M20" s="6" t="s">
        <v>33</v>
      </c>
      <c r="N20" s="10">
        <f>Tabla10[[#This Row],[Price]]*Tabla10[[#This Row],[QTY Adjusted]]</f>
        <v>290.94</v>
      </c>
      <c r="O20" s="10">
        <v>290.94</v>
      </c>
      <c r="P20" s="22">
        <v>46096</v>
      </c>
      <c r="Q20" s="6">
        <v>0</v>
      </c>
    </row>
    <row r="21" spans="1:17" ht="40.200000000000003" customHeight="1" x14ac:dyDescent="0.3">
      <c r="A21" s="6">
        <v>198</v>
      </c>
      <c r="B21" s="6" t="s">
        <v>499</v>
      </c>
      <c r="C21" s="6" t="s">
        <v>134</v>
      </c>
      <c r="D21" s="6" t="s">
        <v>44</v>
      </c>
      <c r="E21" s="6"/>
      <c r="F21" s="6" t="s">
        <v>4062</v>
      </c>
      <c r="G21" s="6" t="s">
        <v>141</v>
      </c>
      <c r="H21" s="6" t="s">
        <v>142</v>
      </c>
      <c r="I21" s="6" t="s">
        <v>143</v>
      </c>
      <c r="J21" s="6">
        <v>24</v>
      </c>
      <c r="K21" s="6" t="s">
        <v>19</v>
      </c>
      <c r="L21" s="10">
        <v>11.576499999999999</v>
      </c>
      <c r="M21" s="6" t="s">
        <v>33</v>
      </c>
      <c r="N21" s="10">
        <f>Tabla10[[#This Row],[Price]]*Tabla10[[#This Row],[QTY Adjusted]]</f>
        <v>277.83600000000001</v>
      </c>
      <c r="O21" s="10">
        <v>277.83600000000001</v>
      </c>
      <c r="P21" s="10" t="s">
        <v>4225</v>
      </c>
      <c r="Q21" s="6">
        <v>0</v>
      </c>
    </row>
    <row r="22" spans="1:17" ht="40.200000000000003" customHeight="1" x14ac:dyDescent="0.3">
      <c r="A22" s="6">
        <v>187</v>
      </c>
      <c r="B22" s="6" t="s">
        <v>499</v>
      </c>
      <c r="C22" s="6" t="s">
        <v>502</v>
      </c>
      <c r="D22" s="6" t="str">
        <f>Tabla10[[#This Row],[Vendor]]</f>
        <v>Hacha</v>
      </c>
      <c r="E22" s="6"/>
      <c r="F22" s="6" t="s">
        <v>4060</v>
      </c>
      <c r="G22" s="6" t="s">
        <v>505</v>
      </c>
      <c r="H22" s="6" t="s">
        <v>112</v>
      </c>
      <c r="I22" s="6" t="s">
        <v>506</v>
      </c>
      <c r="J22" s="6">
        <v>12</v>
      </c>
      <c r="K22" s="6" t="s">
        <v>19</v>
      </c>
      <c r="L22" s="10">
        <v>401</v>
      </c>
      <c r="M22" s="6" t="s">
        <v>20</v>
      </c>
      <c r="N22" s="10">
        <f>Tabla10[[#This Row],[Price]]*Tabla10[[#This Row],[QTY Adjusted]]</f>
        <v>4812</v>
      </c>
      <c r="O22" s="10">
        <v>246.76923076923077</v>
      </c>
      <c r="P22" s="10" t="s">
        <v>4226</v>
      </c>
      <c r="Q22" s="6">
        <v>0</v>
      </c>
    </row>
    <row r="23" spans="1:17" ht="40.200000000000003" customHeight="1" x14ac:dyDescent="0.3">
      <c r="A23" s="6">
        <v>203</v>
      </c>
      <c r="B23" s="6" t="s">
        <v>499</v>
      </c>
      <c r="C23" s="6" t="s">
        <v>134</v>
      </c>
      <c r="D23" s="6" t="s">
        <v>44</v>
      </c>
      <c r="E23" s="6"/>
      <c r="F23" s="6" t="s">
        <v>4062</v>
      </c>
      <c r="G23" s="6" t="s">
        <v>536</v>
      </c>
      <c r="H23" s="6" t="s">
        <v>537</v>
      </c>
      <c r="I23" s="6" t="s">
        <v>538</v>
      </c>
      <c r="J23" s="6">
        <v>24</v>
      </c>
      <c r="K23" s="6" t="s">
        <v>19</v>
      </c>
      <c r="L23" s="10">
        <v>9.36</v>
      </c>
      <c r="M23" s="6" t="s">
        <v>33</v>
      </c>
      <c r="N23" s="10">
        <f>Tabla10[[#This Row],[Price]]*Tabla10[[#This Row],[QTY Adjusted]]</f>
        <v>224.64</v>
      </c>
      <c r="O23" s="10">
        <v>224.64</v>
      </c>
      <c r="P23" s="22">
        <v>46096</v>
      </c>
      <c r="Q23" s="6">
        <v>0</v>
      </c>
    </row>
    <row r="24" spans="1:17" ht="40.200000000000003" customHeight="1" x14ac:dyDescent="0.3">
      <c r="A24" s="6">
        <v>202</v>
      </c>
      <c r="B24" s="6" t="s">
        <v>499</v>
      </c>
      <c r="C24" s="6" t="s">
        <v>134</v>
      </c>
      <c r="D24" s="6" t="s">
        <v>44</v>
      </c>
      <c r="E24" s="6"/>
      <c r="F24" s="6" t="s">
        <v>4067</v>
      </c>
      <c r="G24" s="6" t="s">
        <v>150</v>
      </c>
      <c r="H24" s="6" t="s">
        <v>151</v>
      </c>
      <c r="I24" s="6" t="s">
        <v>152</v>
      </c>
      <c r="J24" s="6">
        <v>24</v>
      </c>
      <c r="K24" s="6" t="s">
        <v>19</v>
      </c>
      <c r="L24" s="10">
        <v>8.8919999999999995</v>
      </c>
      <c r="M24" s="6" t="s">
        <v>33</v>
      </c>
      <c r="N24" s="10">
        <f>Tabla10[[#This Row],[Price]]*Tabla10[[#This Row],[QTY Adjusted]]</f>
        <v>213.40799999999999</v>
      </c>
      <c r="O24" s="10">
        <v>213.40799999999999</v>
      </c>
      <c r="P24" s="10" t="s">
        <v>4225</v>
      </c>
      <c r="Q24" s="6">
        <v>0</v>
      </c>
    </row>
    <row r="25" spans="1:17" ht="40.200000000000003" customHeight="1" x14ac:dyDescent="0.3">
      <c r="A25" s="6">
        <v>200</v>
      </c>
      <c r="B25" s="6" t="s">
        <v>499</v>
      </c>
      <c r="C25" s="6" t="s">
        <v>134</v>
      </c>
      <c r="D25" s="6" t="s">
        <v>44</v>
      </c>
      <c r="E25" s="6"/>
      <c r="F25" s="6" t="s">
        <v>4062</v>
      </c>
      <c r="G25" s="6" t="s">
        <v>147</v>
      </c>
      <c r="H25" s="6" t="s">
        <v>148</v>
      </c>
      <c r="I25" s="6" t="s">
        <v>149</v>
      </c>
      <c r="J25" s="6">
        <v>24</v>
      </c>
      <c r="K25" s="6" t="s">
        <v>19</v>
      </c>
      <c r="L25" s="10">
        <v>8.6125000000000007</v>
      </c>
      <c r="M25" s="6" t="s">
        <v>33</v>
      </c>
      <c r="N25" s="10">
        <f>Tabla10[[#This Row],[Price]]*Tabla10[[#This Row],[QTY Adjusted]]</f>
        <v>206.70000000000002</v>
      </c>
      <c r="O25" s="10">
        <v>206.70000000000002</v>
      </c>
      <c r="P25" s="10" t="s">
        <v>4225</v>
      </c>
      <c r="Q25" s="6">
        <v>0</v>
      </c>
    </row>
    <row r="26" spans="1:17" ht="40.200000000000003" customHeight="1" x14ac:dyDescent="0.3">
      <c r="A26" s="6">
        <v>201</v>
      </c>
      <c r="B26" s="6" t="s">
        <v>499</v>
      </c>
      <c r="C26" s="6" t="s">
        <v>134</v>
      </c>
      <c r="D26" s="6" t="s">
        <v>44</v>
      </c>
      <c r="E26" s="6"/>
      <c r="F26" s="6" t="s">
        <v>4062</v>
      </c>
      <c r="G26" s="6" t="s">
        <v>144</v>
      </c>
      <c r="H26" s="6" t="s">
        <v>145</v>
      </c>
      <c r="I26" s="6" t="s">
        <v>146</v>
      </c>
      <c r="J26" s="6">
        <v>24</v>
      </c>
      <c r="K26" s="6" t="s">
        <v>19</v>
      </c>
      <c r="L26" s="10">
        <v>8.19</v>
      </c>
      <c r="M26" s="6" t="s">
        <v>33</v>
      </c>
      <c r="N26" s="10">
        <f>Tabla10[[#This Row],[Price]]*Tabla10[[#This Row],[QTY Adjusted]]</f>
        <v>196.56</v>
      </c>
      <c r="O26" s="10">
        <v>196.56</v>
      </c>
      <c r="P26" s="10" t="s">
        <v>4225</v>
      </c>
      <c r="Q26" s="6">
        <v>0</v>
      </c>
    </row>
    <row r="27" spans="1:17" ht="40.200000000000003" customHeight="1" x14ac:dyDescent="0.3">
      <c r="A27" s="6">
        <v>186</v>
      </c>
      <c r="B27" s="6" t="s">
        <v>499</v>
      </c>
      <c r="C27" s="6" t="s">
        <v>502</v>
      </c>
      <c r="D27" s="6" t="str">
        <f>Tabla10[[#This Row],[Vendor]]</f>
        <v>Hacha</v>
      </c>
      <c r="E27" s="6"/>
      <c r="F27" s="6" t="s">
        <v>4060</v>
      </c>
      <c r="G27" s="6" t="s">
        <v>503</v>
      </c>
      <c r="H27" s="6" t="s">
        <v>110</v>
      </c>
      <c r="I27" s="6" t="s">
        <v>504</v>
      </c>
      <c r="J27" s="6">
        <v>12</v>
      </c>
      <c r="K27" s="6" t="s">
        <v>19</v>
      </c>
      <c r="L27" s="10">
        <v>304</v>
      </c>
      <c r="M27" s="6" t="s">
        <v>20</v>
      </c>
      <c r="N27" s="10">
        <f>Tabla10[[#This Row],[Price]]*Tabla10[[#This Row],[QTY Adjusted]]</f>
        <v>3648</v>
      </c>
      <c r="O27" s="10">
        <v>187.07692307692307</v>
      </c>
      <c r="P27" s="10" t="s">
        <v>4226</v>
      </c>
      <c r="Q27" s="6">
        <v>0</v>
      </c>
    </row>
    <row r="28" spans="1:17" ht="40.200000000000003" customHeight="1" x14ac:dyDescent="0.3">
      <c r="A28" s="6">
        <v>188</v>
      </c>
      <c r="B28" s="6" t="s">
        <v>499</v>
      </c>
      <c r="C28" s="6" t="s">
        <v>502</v>
      </c>
      <c r="D28" s="6" t="str">
        <f>Tabla10[[#This Row],[Vendor]]</f>
        <v>Hacha</v>
      </c>
      <c r="E28" s="6"/>
      <c r="F28" s="6" t="s">
        <v>4060</v>
      </c>
      <c r="G28" s="6" t="s">
        <v>507</v>
      </c>
      <c r="H28" s="6" t="s">
        <v>508</v>
      </c>
      <c r="I28" s="6" t="s">
        <v>509</v>
      </c>
      <c r="J28" s="6">
        <v>15</v>
      </c>
      <c r="K28" s="6" t="s">
        <v>19</v>
      </c>
      <c r="L28" s="10">
        <v>184</v>
      </c>
      <c r="M28" s="6" t="s">
        <v>20</v>
      </c>
      <c r="N28" s="10">
        <f>Tabla10[[#This Row],[Price]]*Tabla10[[#This Row],[QTY Adjusted]]</f>
        <v>2760</v>
      </c>
      <c r="O28" s="10">
        <v>141.53846153846155</v>
      </c>
      <c r="P28" s="10" t="s">
        <v>4226</v>
      </c>
      <c r="Q28" s="6">
        <v>0</v>
      </c>
    </row>
    <row r="29" spans="1:17" ht="40.200000000000003" customHeight="1" x14ac:dyDescent="0.3">
      <c r="A29" s="6">
        <v>189</v>
      </c>
      <c r="B29" s="6" t="s">
        <v>499</v>
      </c>
      <c r="C29" s="6" t="s">
        <v>502</v>
      </c>
      <c r="D29" s="6" t="str">
        <f>Tabla10[[#This Row],[Vendor]]</f>
        <v>Hacha</v>
      </c>
      <c r="E29" s="6"/>
      <c r="F29" s="6" t="s">
        <v>4060</v>
      </c>
      <c r="G29" s="6" t="s">
        <v>510</v>
      </c>
      <c r="H29" s="6" t="s">
        <v>511</v>
      </c>
      <c r="I29" s="6" t="s">
        <v>512</v>
      </c>
      <c r="J29" s="6">
        <v>15</v>
      </c>
      <c r="K29" s="6" t="s">
        <v>19</v>
      </c>
      <c r="L29" s="10">
        <v>162</v>
      </c>
      <c r="M29" s="6" t="s">
        <v>20</v>
      </c>
      <c r="N29" s="10">
        <f>Tabla10[[#This Row],[Price]]*Tabla10[[#This Row],[QTY Adjusted]]</f>
        <v>2430</v>
      </c>
      <c r="O29" s="10">
        <v>124.61538461538461</v>
      </c>
      <c r="P29" s="10" t="s">
        <v>4226</v>
      </c>
      <c r="Q29" s="6">
        <v>0</v>
      </c>
    </row>
    <row r="30" spans="1:17" ht="40.200000000000003" customHeight="1" x14ac:dyDescent="0.3">
      <c r="A30" s="6">
        <v>199</v>
      </c>
      <c r="B30" s="6" t="s">
        <v>499</v>
      </c>
      <c r="C30" s="6" t="s">
        <v>228</v>
      </c>
      <c r="D30" s="6" t="s">
        <v>44</v>
      </c>
      <c r="E30" s="6"/>
      <c r="F30" s="6" t="s">
        <v>4062</v>
      </c>
      <c r="G30" s="6" t="s">
        <v>533</v>
      </c>
      <c r="H30" s="6" t="s">
        <v>534</v>
      </c>
      <c r="I30" s="6" t="s">
        <v>535</v>
      </c>
      <c r="J30" s="6">
        <v>24</v>
      </c>
      <c r="K30" s="6" t="s">
        <v>19</v>
      </c>
      <c r="L30" s="10">
        <v>5.04</v>
      </c>
      <c r="M30" s="6" t="s">
        <v>33</v>
      </c>
      <c r="N30" s="10">
        <f>Tabla10[[#This Row],[Price]]*Tabla10[[#This Row],[QTY Adjusted]]</f>
        <v>120.96000000000001</v>
      </c>
      <c r="O30" s="10">
        <v>120.96000000000001</v>
      </c>
      <c r="P30" s="22" t="s">
        <v>4225</v>
      </c>
      <c r="Q30" s="6">
        <v>0</v>
      </c>
    </row>
    <row r="31" spans="1:17" ht="40.200000000000003" customHeight="1" x14ac:dyDescent="0.3">
      <c r="A31" s="6">
        <v>185</v>
      </c>
      <c r="B31" s="6" t="s">
        <v>499</v>
      </c>
      <c r="C31" s="6" t="s">
        <v>47</v>
      </c>
      <c r="D31" s="6" t="s">
        <v>44</v>
      </c>
      <c r="E31" s="6"/>
      <c r="F31" s="6" t="s">
        <v>4063</v>
      </c>
      <c r="G31" s="6" t="s">
        <v>60</v>
      </c>
      <c r="H31" s="6" t="s">
        <v>61</v>
      </c>
      <c r="I31" s="6" t="s">
        <v>62</v>
      </c>
      <c r="J31" s="6">
        <v>15</v>
      </c>
      <c r="K31" s="6" t="s">
        <v>19</v>
      </c>
      <c r="L31" s="10">
        <v>6.7859999999999996</v>
      </c>
      <c r="M31" s="6" t="s">
        <v>33</v>
      </c>
      <c r="N31" s="10">
        <f>Tabla10[[#This Row],[Price]]*Tabla10[[#This Row],[QTY Adjusted]]</f>
        <v>101.78999999999999</v>
      </c>
      <c r="O31" s="10">
        <v>101.78999999999999</v>
      </c>
      <c r="P31" s="10" t="s">
        <v>4225</v>
      </c>
      <c r="Q31" s="6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89DB-8B6E-4898-AF69-C4266EA046EA}">
  <dimension ref="A1:Q465"/>
  <sheetViews>
    <sheetView showGridLines="0" topLeftCell="F1" zoomScale="55" zoomScaleNormal="55" workbookViewId="0">
      <selection activeCell="U6" sqref="U6"/>
    </sheetView>
  </sheetViews>
  <sheetFormatPr baseColWidth="10" defaultColWidth="11.44140625" defaultRowHeight="14.4" x14ac:dyDescent="0.3"/>
  <cols>
    <col min="2" max="3" width="11.5546875" customWidth="1"/>
    <col min="4" max="4" width="24" bestFit="1" customWidth="1"/>
    <col min="5" max="5" width="27.33203125" bestFit="1" customWidth="1"/>
    <col min="6" max="6" width="27.33203125" customWidth="1"/>
    <col min="7" max="7" width="22.6640625" customWidth="1"/>
    <col min="8" max="8" width="41.33203125" customWidth="1"/>
    <col min="9" max="9" width="52" customWidth="1"/>
    <col min="10" max="10" width="14.33203125" customWidth="1"/>
    <col min="11" max="11" width="11.5546875" customWidth="1"/>
    <col min="12" max="12" width="14" customWidth="1"/>
    <col min="13" max="13" width="11.5546875" customWidth="1"/>
    <col min="14" max="14" width="14.6640625" customWidth="1"/>
    <col min="15" max="15" width="18" customWidth="1"/>
    <col min="16" max="16" width="35.6640625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  <c r="Q2" t="s">
        <v>4247</v>
      </c>
    </row>
    <row r="3" spans="1:17" ht="40.200000000000003" customHeight="1" x14ac:dyDescent="0.3">
      <c r="A3" s="5">
        <v>1867</v>
      </c>
      <c r="B3" s="5" t="s">
        <v>2429</v>
      </c>
      <c r="C3" s="5" t="s">
        <v>1489</v>
      </c>
      <c r="D3" s="5" t="s">
        <v>1490</v>
      </c>
      <c r="E3" s="5" t="s">
        <v>3723</v>
      </c>
      <c r="F3" s="5" t="s">
        <v>4211</v>
      </c>
      <c r="G3" s="5" t="s">
        <v>3758</v>
      </c>
      <c r="H3" s="5" t="s">
        <v>3759</v>
      </c>
      <c r="I3" s="5" t="s">
        <v>3760</v>
      </c>
      <c r="J3" s="5">
        <v>2</v>
      </c>
      <c r="K3" s="5" t="s">
        <v>19</v>
      </c>
      <c r="L3" s="11">
        <v>15929.27</v>
      </c>
      <c r="M3" s="5" t="s">
        <v>33</v>
      </c>
      <c r="N3" s="11">
        <f>Tabla11[[#This Row],[Price]]*Tabla11[[#This Row],[QTY Adjusted]]</f>
        <v>31858.54</v>
      </c>
      <c r="O3" s="11">
        <v>31858.54</v>
      </c>
      <c r="P3" s="10" t="s">
        <v>4229</v>
      </c>
      <c r="Q3" s="6">
        <v>0</v>
      </c>
    </row>
    <row r="4" spans="1:17" ht="40.200000000000003" customHeight="1" x14ac:dyDescent="0.3">
      <c r="A4" s="5">
        <v>1867.1</v>
      </c>
      <c r="B4" s="5"/>
      <c r="C4" s="5"/>
      <c r="D4" s="5" t="s">
        <v>1490</v>
      </c>
      <c r="E4" s="5"/>
      <c r="F4" s="5" t="s">
        <v>4211</v>
      </c>
      <c r="G4" s="5"/>
      <c r="H4" s="5"/>
      <c r="I4" s="5" t="s">
        <v>4068</v>
      </c>
      <c r="J4" s="5">
        <v>2</v>
      </c>
      <c r="K4" s="5" t="s">
        <v>19</v>
      </c>
      <c r="L4" s="11">
        <v>6910.51</v>
      </c>
      <c r="M4" s="5" t="s">
        <v>33</v>
      </c>
      <c r="N4" s="11">
        <f>Tabla11[[#This Row],[Price]]*Tabla11[[#This Row],[QTY Adjusted]]</f>
        <v>13821.02</v>
      </c>
      <c r="O4" s="11">
        <v>13821.02</v>
      </c>
      <c r="P4" s="10" t="s">
        <v>4229</v>
      </c>
      <c r="Q4" s="6">
        <v>0</v>
      </c>
    </row>
    <row r="5" spans="1:17" ht="40.200000000000003" customHeight="1" x14ac:dyDescent="0.3">
      <c r="A5" s="5">
        <v>1602</v>
      </c>
      <c r="B5" s="5" t="s">
        <v>2429</v>
      </c>
      <c r="C5" s="5" t="s">
        <v>2998</v>
      </c>
      <c r="D5" s="5" t="s">
        <v>362</v>
      </c>
      <c r="E5" s="5" t="s">
        <v>2999</v>
      </c>
      <c r="F5" s="5" t="s">
        <v>4211</v>
      </c>
      <c r="G5" s="5" t="s">
        <v>3012</v>
      </c>
      <c r="H5" s="5" t="s">
        <v>3013</v>
      </c>
      <c r="I5" s="5" t="s">
        <v>3014</v>
      </c>
      <c r="J5" s="5">
        <v>2</v>
      </c>
      <c r="K5" s="5" t="s">
        <v>19</v>
      </c>
      <c r="L5" s="11">
        <v>2421.2941176470586</v>
      </c>
      <c r="M5" s="5" t="s">
        <v>33</v>
      </c>
      <c r="N5" s="11">
        <f>Tabla11[[#This Row],[Price]]*Tabla11[[#This Row],[QTY Adjusted]]</f>
        <v>4842.5882352941171</v>
      </c>
      <c r="O5" s="11">
        <v>4842.5882352941171</v>
      </c>
      <c r="P5" s="10" t="s">
        <v>4225</v>
      </c>
      <c r="Q5" s="6">
        <v>0</v>
      </c>
    </row>
    <row r="6" spans="1:17" ht="40.200000000000003" customHeight="1" x14ac:dyDescent="0.3">
      <c r="A6" s="5">
        <v>1617</v>
      </c>
      <c r="B6" s="5" t="s">
        <v>2429</v>
      </c>
      <c r="C6" s="5" t="s">
        <v>309</v>
      </c>
      <c r="D6" s="5" t="s">
        <v>362</v>
      </c>
      <c r="E6" s="5" t="s">
        <v>2999</v>
      </c>
      <c r="F6" s="5" t="s">
        <v>4211</v>
      </c>
      <c r="G6" s="5">
        <v>182955</v>
      </c>
      <c r="H6" s="5" t="s">
        <v>3060</v>
      </c>
      <c r="I6" s="5" t="s">
        <v>3061</v>
      </c>
      <c r="J6" s="5">
        <v>2</v>
      </c>
      <c r="K6" s="5" t="s">
        <v>19</v>
      </c>
      <c r="L6" s="11">
        <v>8224.7999999999993</v>
      </c>
      <c r="M6" s="5" t="s">
        <v>33</v>
      </c>
      <c r="N6" s="11">
        <f>Tabla11[[#This Row],[Price]]*Tabla11[[#This Row],[QTY Adjusted]]</f>
        <v>16449.599999999999</v>
      </c>
      <c r="O6" s="11">
        <v>16449.599999999999</v>
      </c>
      <c r="P6" s="10" t="s">
        <v>4225</v>
      </c>
      <c r="Q6" s="6">
        <v>0</v>
      </c>
    </row>
    <row r="7" spans="1:17" ht="40.200000000000003" customHeight="1" x14ac:dyDescent="0.3">
      <c r="A7" s="5">
        <v>1866</v>
      </c>
      <c r="B7" s="5" t="s">
        <v>2429</v>
      </c>
      <c r="C7" s="5" t="s">
        <v>723</v>
      </c>
      <c r="D7" s="5" t="s">
        <v>362</v>
      </c>
      <c r="E7" s="5" t="s">
        <v>3723</v>
      </c>
      <c r="F7" s="5" t="s">
        <v>4211</v>
      </c>
      <c r="G7" s="5" t="s">
        <v>3755</v>
      </c>
      <c r="H7" s="5" t="s">
        <v>3756</v>
      </c>
      <c r="I7" s="5" t="s">
        <v>3757</v>
      </c>
      <c r="J7" s="5">
        <v>10</v>
      </c>
      <c r="K7" s="5" t="s">
        <v>19</v>
      </c>
      <c r="L7" s="11">
        <v>1216.0945791224999</v>
      </c>
      <c r="M7" s="5" t="s">
        <v>33</v>
      </c>
      <c r="N7" s="11">
        <f>Tabla11[[#This Row],[Price]]*Tabla11[[#This Row],[QTY Adjusted]]</f>
        <v>12160.945791225</v>
      </c>
      <c r="O7" s="11">
        <v>12160.945791225</v>
      </c>
      <c r="P7" s="10" t="s">
        <v>4225</v>
      </c>
      <c r="Q7" s="6">
        <v>0</v>
      </c>
    </row>
    <row r="8" spans="1:17" ht="40.200000000000003" customHeight="1" x14ac:dyDescent="0.3">
      <c r="A8" s="5">
        <v>1861</v>
      </c>
      <c r="B8" s="5" t="s">
        <v>2429</v>
      </c>
      <c r="C8" s="5" t="s">
        <v>723</v>
      </c>
      <c r="D8" s="5" t="s">
        <v>362</v>
      </c>
      <c r="E8" s="5" t="s">
        <v>3723</v>
      </c>
      <c r="F8" s="5" t="s">
        <v>4211</v>
      </c>
      <c r="G8" s="5" t="s">
        <v>3740</v>
      </c>
      <c r="H8" s="5" t="s">
        <v>3741</v>
      </c>
      <c r="I8" s="5" t="s">
        <v>3742</v>
      </c>
      <c r="J8" s="5">
        <v>6</v>
      </c>
      <c r="K8" s="5" t="s">
        <v>19</v>
      </c>
      <c r="L8" s="11">
        <v>1836.1964003624996</v>
      </c>
      <c r="M8" s="5" t="s">
        <v>33</v>
      </c>
      <c r="N8" s="11">
        <f>Tabla11[[#This Row],[Price]]*Tabla11[[#This Row],[QTY Adjusted]]</f>
        <v>11017.178402174997</v>
      </c>
      <c r="O8" s="11">
        <v>11017.178402174997</v>
      </c>
      <c r="P8" s="10" t="s">
        <v>4225</v>
      </c>
      <c r="Q8" s="6">
        <v>0</v>
      </c>
    </row>
    <row r="9" spans="1:17" ht="40.200000000000003" customHeight="1" x14ac:dyDescent="0.3">
      <c r="A9" s="5">
        <v>1739</v>
      </c>
      <c r="B9" s="5" t="s">
        <v>2429</v>
      </c>
      <c r="C9" s="5" t="s">
        <v>329</v>
      </c>
      <c r="D9" s="5" t="s">
        <v>362</v>
      </c>
      <c r="E9" s="5" t="s">
        <v>3402</v>
      </c>
      <c r="F9" s="5" t="s">
        <v>4211</v>
      </c>
      <c r="G9" s="5" t="s">
        <v>3403</v>
      </c>
      <c r="H9" s="5" t="s">
        <v>3404</v>
      </c>
      <c r="I9" s="5" t="s">
        <v>3405</v>
      </c>
      <c r="J9" s="5">
        <v>408</v>
      </c>
      <c r="K9" s="5" t="s">
        <v>19</v>
      </c>
      <c r="L9" s="11">
        <v>24.434999999999995</v>
      </c>
      <c r="M9" s="5" t="s">
        <v>33</v>
      </c>
      <c r="N9" s="11">
        <f>Tabla11[[#This Row],[Price]]*Tabla11[[#This Row],[QTY Adjusted]]</f>
        <v>9969.4799999999977</v>
      </c>
      <c r="O9" s="11">
        <v>9969.4799999999977</v>
      </c>
      <c r="P9" s="10" t="s">
        <v>4225</v>
      </c>
      <c r="Q9" s="6">
        <v>0</v>
      </c>
    </row>
    <row r="10" spans="1:17" ht="40.200000000000003" customHeight="1" x14ac:dyDescent="0.3">
      <c r="A10" s="5">
        <v>1698</v>
      </c>
      <c r="B10" s="5" t="s">
        <v>2429</v>
      </c>
      <c r="C10" s="5" t="s">
        <v>723</v>
      </c>
      <c r="D10" s="5" t="s">
        <v>362</v>
      </c>
      <c r="E10" s="5" t="s">
        <v>3282</v>
      </c>
      <c r="F10" s="5" t="s">
        <v>4211</v>
      </c>
      <c r="G10" s="5" t="s">
        <v>3283</v>
      </c>
      <c r="H10" s="5" t="s">
        <v>3284</v>
      </c>
      <c r="I10" s="5" t="s">
        <v>3285</v>
      </c>
      <c r="J10" s="5">
        <v>72</v>
      </c>
      <c r="K10" s="5" t="s">
        <v>19</v>
      </c>
      <c r="L10" s="11">
        <v>119.95549260749999</v>
      </c>
      <c r="M10" s="5" t="s">
        <v>33</v>
      </c>
      <c r="N10" s="11">
        <f>Tabla11[[#This Row],[Price]]*Tabla11[[#This Row],[QTY Adjusted]]</f>
        <v>8636.7954677399994</v>
      </c>
      <c r="O10" s="11">
        <v>8636.7954677399994</v>
      </c>
      <c r="P10" s="10" t="s">
        <v>4225</v>
      </c>
      <c r="Q10" s="6">
        <v>0</v>
      </c>
    </row>
    <row r="11" spans="1:17" ht="40.200000000000003" customHeight="1" x14ac:dyDescent="0.3">
      <c r="A11" s="5">
        <v>1859</v>
      </c>
      <c r="B11" s="5" t="s">
        <v>2429</v>
      </c>
      <c r="C11" s="5" t="s">
        <v>723</v>
      </c>
      <c r="D11" s="5" t="s">
        <v>362</v>
      </c>
      <c r="E11" s="5" t="s">
        <v>3723</v>
      </c>
      <c r="F11" s="5" t="s">
        <v>4211</v>
      </c>
      <c r="G11" s="5" t="s">
        <v>3734</v>
      </c>
      <c r="H11" s="5" t="s">
        <v>3735</v>
      </c>
      <c r="I11" s="5" t="s">
        <v>3736</v>
      </c>
      <c r="J11" s="5">
        <v>10</v>
      </c>
      <c r="K11" s="5" t="s">
        <v>19</v>
      </c>
      <c r="L11" s="11">
        <v>708.69013627499987</v>
      </c>
      <c r="M11" s="5" t="s">
        <v>33</v>
      </c>
      <c r="N11" s="11">
        <f>Tabla11[[#This Row],[Price]]*Tabla11[[#This Row],[QTY Adjusted]]</f>
        <v>7086.901362749999</v>
      </c>
      <c r="O11" s="11">
        <v>7086.901362749999</v>
      </c>
      <c r="P11" s="10" t="s">
        <v>4225</v>
      </c>
      <c r="Q11" s="6">
        <v>0</v>
      </c>
    </row>
    <row r="12" spans="1:17" ht="40.200000000000003" customHeight="1" x14ac:dyDescent="0.3">
      <c r="A12" s="5">
        <v>1604</v>
      </c>
      <c r="B12" s="5" t="s">
        <v>2429</v>
      </c>
      <c r="C12" s="5" t="s">
        <v>3019</v>
      </c>
      <c r="D12" s="5" t="s">
        <v>362</v>
      </c>
      <c r="E12" s="5" t="s">
        <v>2999</v>
      </c>
      <c r="F12" s="5" t="s">
        <v>4211</v>
      </c>
      <c r="G12" s="5" t="s">
        <v>3020</v>
      </c>
      <c r="H12" s="5" t="s">
        <v>3021</v>
      </c>
      <c r="I12" s="5" t="s">
        <v>3022</v>
      </c>
      <c r="J12" s="5">
        <v>2</v>
      </c>
      <c r="K12" s="5" t="s">
        <v>19</v>
      </c>
      <c r="L12" s="11">
        <v>2357.56</v>
      </c>
      <c r="M12" s="5" t="s">
        <v>33</v>
      </c>
      <c r="N12" s="11">
        <f>Tabla11[[#This Row],[Price]]*Tabla11[[#This Row],[QTY Adjusted]]</f>
        <v>4715.12</v>
      </c>
      <c r="O12" s="11">
        <v>4715.12</v>
      </c>
      <c r="P12" s="10" t="s">
        <v>4225</v>
      </c>
      <c r="Q12" s="6">
        <v>0</v>
      </c>
    </row>
    <row r="13" spans="1:17" ht="40.200000000000003" customHeight="1" x14ac:dyDescent="0.3">
      <c r="A13" s="5">
        <v>1607</v>
      </c>
      <c r="B13" s="5" t="s">
        <v>2429</v>
      </c>
      <c r="C13" s="5" t="s">
        <v>2998</v>
      </c>
      <c r="D13" s="5" t="s">
        <v>362</v>
      </c>
      <c r="E13" s="5" t="s">
        <v>2999</v>
      </c>
      <c r="F13" s="5" t="s">
        <v>4211</v>
      </c>
      <c r="G13" s="5" t="s">
        <v>3030</v>
      </c>
      <c r="H13" s="5" t="s">
        <v>3031</v>
      </c>
      <c r="I13" s="5" t="s">
        <v>3032</v>
      </c>
      <c r="J13" s="5">
        <v>1</v>
      </c>
      <c r="K13" s="5" t="s">
        <v>19</v>
      </c>
      <c r="L13" s="11">
        <v>3267.9529411764711</v>
      </c>
      <c r="M13" s="5" t="s">
        <v>33</v>
      </c>
      <c r="N13" s="11">
        <f>Tabla11[[#This Row],[Price]]*Tabla11[[#This Row],[QTY Adjusted]]</f>
        <v>3267.9529411764711</v>
      </c>
      <c r="O13" s="11">
        <v>3267.9529411764711</v>
      </c>
      <c r="P13" s="10" t="s">
        <v>4225</v>
      </c>
      <c r="Q13" s="6">
        <v>0</v>
      </c>
    </row>
    <row r="14" spans="1:17" ht="40.200000000000003" customHeight="1" x14ac:dyDescent="0.3">
      <c r="A14" s="5">
        <v>1699</v>
      </c>
      <c r="B14" s="5" t="s">
        <v>2429</v>
      </c>
      <c r="C14" s="5" t="s">
        <v>723</v>
      </c>
      <c r="D14" s="5" t="s">
        <v>362</v>
      </c>
      <c r="E14" s="5" t="s">
        <v>3282</v>
      </c>
      <c r="F14" s="5" t="s">
        <v>4211</v>
      </c>
      <c r="G14" s="5" t="s">
        <v>3286</v>
      </c>
      <c r="H14" s="5" t="s">
        <v>3287</v>
      </c>
      <c r="I14" s="5" t="s">
        <v>3288</v>
      </c>
      <c r="J14" s="5">
        <v>60</v>
      </c>
      <c r="K14" s="5" t="s">
        <v>19</v>
      </c>
      <c r="L14" s="11">
        <v>88.915995135000003</v>
      </c>
      <c r="M14" s="5" t="s">
        <v>33</v>
      </c>
      <c r="N14" s="11">
        <f>Tabla11[[#This Row],[Price]]*Tabla11[[#This Row],[QTY Adjusted]]</f>
        <v>5334.9597081000002</v>
      </c>
      <c r="O14" s="11">
        <v>5334.9597081000002</v>
      </c>
      <c r="P14" s="10" t="s">
        <v>4225</v>
      </c>
      <c r="Q14" s="6">
        <v>0</v>
      </c>
    </row>
    <row r="15" spans="1:17" ht="40.200000000000003" customHeight="1" x14ac:dyDescent="0.3">
      <c r="A15" s="5">
        <v>1858</v>
      </c>
      <c r="B15" s="5" t="s">
        <v>2429</v>
      </c>
      <c r="C15" s="5" t="s">
        <v>723</v>
      </c>
      <c r="D15" s="5" t="s">
        <v>362</v>
      </c>
      <c r="E15" s="5" t="s">
        <v>3723</v>
      </c>
      <c r="F15" s="5" t="s">
        <v>4211</v>
      </c>
      <c r="G15" s="5" t="s">
        <v>3731</v>
      </c>
      <c r="H15" s="5" t="s">
        <v>3732</v>
      </c>
      <c r="I15" s="5" t="s">
        <v>3733</v>
      </c>
      <c r="J15" s="5">
        <v>8</v>
      </c>
      <c r="K15" s="5" t="s">
        <v>19</v>
      </c>
      <c r="L15" s="11">
        <v>525.83644847250002</v>
      </c>
      <c r="M15" s="5" t="s">
        <v>33</v>
      </c>
      <c r="N15" s="11">
        <f>Tabla11[[#This Row],[Price]]*Tabla11[[#This Row],[QTY Adjusted]]</f>
        <v>4206.6915877800002</v>
      </c>
      <c r="O15" s="11">
        <v>4206.6915877800002</v>
      </c>
      <c r="P15" s="10" t="s">
        <v>4225</v>
      </c>
      <c r="Q15" s="6">
        <v>0</v>
      </c>
    </row>
    <row r="16" spans="1:17" ht="40.200000000000003" customHeight="1" x14ac:dyDescent="0.3">
      <c r="A16" s="5">
        <v>1603</v>
      </c>
      <c r="B16" s="5" t="s">
        <v>2429</v>
      </c>
      <c r="C16" s="5" t="s">
        <v>3015</v>
      </c>
      <c r="D16" s="5" t="s">
        <v>362</v>
      </c>
      <c r="E16" s="5" t="s">
        <v>2999</v>
      </c>
      <c r="F16" s="5" t="s">
        <v>4211</v>
      </c>
      <c r="G16" s="5" t="s">
        <v>3016</v>
      </c>
      <c r="H16" s="5" t="s">
        <v>3017</v>
      </c>
      <c r="I16" s="5" t="s">
        <v>3018</v>
      </c>
      <c r="J16" s="5">
        <v>2</v>
      </c>
      <c r="K16" s="5" t="s">
        <v>19</v>
      </c>
      <c r="L16" s="11">
        <v>1933.1549999999997</v>
      </c>
      <c r="M16" s="5" t="s">
        <v>33</v>
      </c>
      <c r="N16" s="11">
        <f>Tabla11[[#This Row],[Price]]*Tabla11[[#This Row],[QTY Adjusted]]</f>
        <v>3866.3099999999995</v>
      </c>
      <c r="O16" s="11">
        <v>3866.3099999999995</v>
      </c>
      <c r="P16" s="10" t="s">
        <v>4225</v>
      </c>
      <c r="Q16" s="6">
        <v>0</v>
      </c>
    </row>
    <row r="17" spans="1:17" ht="40.200000000000003" customHeight="1" x14ac:dyDescent="0.3">
      <c r="A17" s="5">
        <v>1755</v>
      </c>
      <c r="B17" s="5" t="s">
        <v>2429</v>
      </c>
      <c r="C17" s="5" t="s">
        <v>723</v>
      </c>
      <c r="D17" s="5" t="s">
        <v>362</v>
      </c>
      <c r="E17" s="5" t="s">
        <v>3402</v>
      </c>
      <c r="F17" s="5" t="s">
        <v>4211</v>
      </c>
      <c r="G17" s="5" t="s">
        <v>3451</v>
      </c>
      <c r="H17" s="5" t="s">
        <v>3452</v>
      </c>
      <c r="I17" s="5" t="s">
        <v>3453</v>
      </c>
      <c r="J17" s="5">
        <v>464</v>
      </c>
      <c r="K17" s="5" t="s">
        <v>19</v>
      </c>
      <c r="L17" s="11">
        <v>11.116547392499999</v>
      </c>
      <c r="M17" s="5" t="s">
        <v>33</v>
      </c>
      <c r="N17" s="11">
        <f>Tabla11[[#This Row],[Price]]*Tabla11[[#This Row],[QTY Adjusted]]</f>
        <v>5158.0779901199994</v>
      </c>
      <c r="O17" s="11">
        <v>5158.0779901199994</v>
      </c>
      <c r="P17" s="10" t="s">
        <v>4225</v>
      </c>
      <c r="Q17" s="6">
        <v>0</v>
      </c>
    </row>
    <row r="18" spans="1:17" ht="40.200000000000003" customHeight="1" x14ac:dyDescent="0.3">
      <c r="A18" s="5">
        <v>1757</v>
      </c>
      <c r="B18" s="5" t="s">
        <v>2429</v>
      </c>
      <c r="C18" s="5" t="s">
        <v>723</v>
      </c>
      <c r="D18" s="5" t="s">
        <v>362</v>
      </c>
      <c r="E18" s="5" t="s">
        <v>3402</v>
      </c>
      <c r="F18" s="5" t="s">
        <v>4211</v>
      </c>
      <c r="G18" s="5" t="s">
        <v>3457</v>
      </c>
      <c r="H18" s="5" t="s">
        <v>3458</v>
      </c>
      <c r="I18" s="5" t="s">
        <v>3459</v>
      </c>
      <c r="J18" s="5">
        <v>432</v>
      </c>
      <c r="K18" s="5" t="s">
        <v>19</v>
      </c>
      <c r="L18" s="11">
        <v>10.125315089999999</v>
      </c>
      <c r="M18" s="5" t="s">
        <v>33</v>
      </c>
      <c r="N18" s="11">
        <f>Tabla11[[#This Row],[Price]]*Tabla11[[#This Row],[QTY Adjusted]]</f>
        <v>4374.1361188799992</v>
      </c>
      <c r="O18" s="11">
        <v>4374.1361188799992</v>
      </c>
      <c r="P18" s="10" t="s">
        <v>4225</v>
      </c>
      <c r="Q18" s="6">
        <v>0</v>
      </c>
    </row>
    <row r="19" spans="1:17" ht="40.200000000000003" customHeight="1" x14ac:dyDescent="0.3">
      <c r="A19" s="5">
        <v>1819</v>
      </c>
      <c r="B19" s="5" t="s">
        <v>2429</v>
      </c>
      <c r="C19" s="5" t="s">
        <v>3620</v>
      </c>
      <c r="D19" s="5" t="s">
        <v>178</v>
      </c>
      <c r="E19" s="5" t="s">
        <v>3621</v>
      </c>
      <c r="F19" s="5" t="s">
        <v>4211</v>
      </c>
      <c r="G19" s="5" t="s">
        <v>3622</v>
      </c>
      <c r="H19" s="5" t="s">
        <v>3623</v>
      </c>
      <c r="I19" s="5" t="s">
        <v>3624</v>
      </c>
      <c r="J19" s="5">
        <v>6</v>
      </c>
      <c r="K19" s="5" t="s">
        <v>19</v>
      </c>
      <c r="L19" s="11">
        <v>538.41999999999996</v>
      </c>
      <c r="M19" s="5" t="s">
        <v>33</v>
      </c>
      <c r="N19" s="11">
        <f>Tabla11[[#This Row],[Price]]*Tabla11[[#This Row],[QTY Adjusted]]</f>
        <v>3230.5199999999995</v>
      </c>
      <c r="O19" s="11">
        <v>3230.5199999999995</v>
      </c>
      <c r="P19" s="10" t="s">
        <v>4232</v>
      </c>
      <c r="Q19" s="6">
        <v>0</v>
      </c>
    </row>
    <row r="20" spans="1:17" ht="40.200000000000003" customHeight="1" x14ac:dyDescent="0.3">
      <c r="A20" s="5">
        <v>1732</v>
      </c>
      <c r="B20" s="5" t="s">
        <v>2429</v>
      </c>
      <c r="C20" s="5" t="s">
        <v>723</v>
      </c>
      <c r="D20" s="5" t="s">
        <v>362</v>
      </c>
      <c r="E20" s="5" t="s">
        <v>3325</v>
      </c>
      <c r="F20" s="5" t="s">
        <v>4211</v>
      </c>
      <c r="G20" s="5" t="s">
        <v>3383</v>
      </c>
      <c r="H20" s="5" t="s">
        <v>3384</v>
      </c>
      <c r="I20" s="5" t="s">
        <v>3385</v>
      </c>
      <c r="J20" s="5">
        <v>48</v>
      </c>
      <c r="K20" s="5" t="s">
        <v>19</v>
      </c>
      <c r="L20" s="11">
        <v>77.471767642499998</v>
      </c>
      <c r="M20" s="5" t="s">
        <v>33</v>
      </c>
      <c r="N20" s="11">
        <f>Tabla11[[#This Row],[Price]]*Tabla11[[#This Row],[QTY Adjusted]]</f>
        <v>3718.6448468399999</v>
      </c>
      <c r="O20" s="11">
        <v>3718.6448468399999</v>
      </c>
      <c r="P20" s="10" t="s">
        <v>4225</v>
      </c>
      <c r="Q20" s="6">
        <v>0</v>
      </c>
    </row>
    <row r="21" spans="1:17" ht="40.200000000000003" customHeight="1" x14ac:dyDescent="0.3">
      <c r="A21" s="5">
        <v>1741</v>
      </c>
      <c r="B21" s="5" t="s">
        <v>2429</v>
      </c>
      <c r="C21" s="5" t="s">
        <v>723</v>
      </c>
      <c r="D21" s="5" t="s">
        <v>362</v>
      </c>
      <c r="E21" s="5" t="s">
        <v>3402</v>
      </c>
      <c r="F21" s="5" t="s">
        <v>4211</v>
      </c>
      <c r="G21" s="5" t="s">
        <v>3409</v>
      </c>
      <c r="H21" s="5" t="s">
        <v>3410</v>
      </c>
      <c r="I21" s="5" t="s">
        <v>3411</v>
      </c>
      <c r="J21" s="5">
        <v>252</v>
      </c>
      <c r="K21" s="5" t="s">
        <v>19</v>
      </c>
      <c r="L21" s="11">
        <v>14.5735724475</v>
      </c>
      <c r="M21" s="5" t="s">
        <v>33</v>
      </c>
      <c r="N21" s="11">
        <f>Tabla11[[#This Row],[Price]]*Tabla11[[#This Row],[QTY Adjusted]]</f>
        <v>3672.5402567699998</v>
      </c>
      <c r="O21" s="11">
        <v>3672.5402567699998</v>
      </c>
      <c r="P21" s="10" t="s">
        <v>4225</v>
      </c>
      <c r="Q21" s="6">
        <v>0</v>
      </c>
    </row>
    <row r="22" spans="1:17" ht="40.200000000000003" customHeight="1" x14ac:dyDescent="0.3">
      <c r="A22" s="5">
        <v>1598</v>
      </c>
      <c r="B22" s="5" t="s">
        <v>2429</v>
      </c>
      <c r="C22" s="5" t="s">
        <v>2998</v>
      </c>
      <c r="D22" s="5" t="s">
        <v>362</v>
      </c>
      <c r="E22" s="5" t="s">
        <v>2999</v>
      </c>
      <c r="F22" s="5" t="s">
        <v>4211</v>
      </c>
      <c r="G22" s="5" t="s">
        <v>3000</v>
      </c>
      <c r="H22" s="5" t="s">
        <v>3001</v>
      </c>
      <c r="I22" s="5" t="s">
        <v>3002</v>
      </c>
      <c r="J22" s="5">
        <v>1</v>
      </c>
      <c r="K22" s="5" t="s">
        <v>19</v>
      </c>
      <c r="L22" s="11">
        <v>4262.5411764705877</v>
      </c>
      <c r="M22" s="5" t="s">
        <v>33</v>
      </c>
      <c r="N22" s="11">
        <f>Tabla11[[#This Row],[Price]]*Tabla11[[#This Row],[QTY Adjusted]]</f>
        <v>4262.5411764705877</v>
      </c>
      <c r="O22" s="11">
        <v>4262.5411764705877</v>
      </c>
      <c r="P22" s="10" t="s">
        <v>4225</v>
      </c>
      <c r="Q22" s="6">
        <v>0</v>
      </c>
    </row>
    <row r="23" spans="1:17" ht="40.200000000000003" customHeight="1" x14ac:dyDescent="0.3">
      <c r="A23" s="5">
        <v>1855</v>
      </c>
      <c r="B23" s="5" t="s">
        <v>2429</v>
      </c>
      <c r="C23" s="5" t="s">
        <v>3722</v>
      </c>
      <c r="D23" s="5" t="s">
        <v>178</v>
      </c>
      <c r="E23" s="5" t="s">
        <v>3723</v>
      </c>
      <c r="F23" s="5" t="s">
        <v>4211</v>
      </c>
      <c r="G23" s="5">
        <v>564</v>
      </c>
      <c r="H23" s="5" t="s">
        <v>3724</v>
      </c>
      <c r="I23" s="29" t="s">
        <v>3725</v>
      </c>
      <c r="J23" s="5">
        <v>4</v>
      </c>
      <c r="K23" s="5" t="s">
        <v>19</v>
      </c>
      <c r="L23" s="11">
        <v>658.69768250000004</v>
      </c>
      <c r="M23" s="5" t="s">
        <v>33</v>
      </c>
      <c r="N23" s="11">
        <f>Tabla11[[#This Row],[Price]]*Tabla11[[#This Row],[QTY Adjusted]]</f>
        <v>2634.7907300000002</v>
      </c>
      <c r="O23" s="11">
        <v>2634.7907300000002</v>
      </c>
      <c r="P23" s="10" t="s">
        <v>4218</v>
      </c>
      <c r="Q23" s="6" t="s">
        <v>4246</v>
      </c>
    </row>
    <row r="24" spans="1:17" ht="40.200000000000003" customHeight="1" x14ac:dyDescent="0.3">
      <c r="A24" s="5">
        <v>1656</v>
      </c>
      <c r="B24" s="5" t="s">
        <v>2429</v>
      </c>
      <c r="C24" s="5" t="s">
        <v>723</v>
      </c>
      <c r="D24" s="5" t="s">
        <v>362</v>
      </c>
      <c r="E24" s="5" t="s">
        <v>3107</v>
      </c>
      <c r="F24" s="5" t="s">
        <v>4211</v>
      </c>
      <c r="G24" s="5" t="s">
        <v>3178</v>
      </c>
      <c r="H24" s="5" t="s">
        <v>3179</v>
      </c>
      <c r="I24" s="5" t="s">
        <v>3180</v>
      </c>
      <c r="J24" s="5">
        <v>5</v>
      </c>
      <c r="K24" s="5" t="s">
        <v>19</v>
      </c>
      <c r="L24" s="11">
        <v>788.55396864749991</v>
      </c>
      <c r="M24" s="5" t="s">
        <v>33</v>
      </c>
      <c r="N24" s="11">
        <f>Tabla11[[#This Row],[Price]]*Tabla11[[#This Row],[QTY Adjusted]]</f>
        <v>3942.7698432374996</v>
      </c>
      <c r="O24" s="11">
        <v>3942.7698432374996</v>
      </c>
      <c r="P24" s="10" t="s">
        <v>4225</v>
      </c>
      <c r="Q24" s="6">
        <v>0</v>
      </c>
    </row>
    <row r="25" spans="1:17" ht="40.200000000000003" customHeight="1" x14ac:dyDescent="0.3">
      <c r="A25" s="5">
        <v>1733</v>
      </c>
      <c r="B25" s="5" t="s">
        <v>2429</v>
      </c>
      <c r="C25" s="5" t="s">
        <v>723</v>
      </c>
      <c r="D25" s="5" t="s">
        <v>362</v>
      </c>
      <c r="E25" s="5" t="s">
        <v>3325</v>
      </c>
      <c r="F25" s="5" t="s">
        <v>4211</v>
      </c>
      <c r="G25" s="5" t="s">
        <v>3386</v>
      </c>
      <c r="H25" s="5" t="s">
        <v>3387</v>
      </c>
      <c r="I25" s="5" t="s">
        <v>3388</v>
      </c>
      <c r="J25" s="5">
        <v>38</v>
      </c>
      <c r="K25" s="5" t="s">
        <v>19</v>
      </c>
      <c r="L25" s="11">
        <v>90.726427687500006</v>
      </c>
      <c r="M25" s="5" t="s">
        <v>33</v>
      </c>
      <c r="N25" s="11">
        <f>Tabla11[[#This Row],[Price]]*Tabla11[[#This Row],[QTY Adjusted]]</f>
        <v>3447.6042521250001</v>
      </c>
      <c r="O25" s="11">
        <v>3447.6042521250001</v>
      </c>
      <c r="P25" s="10" t="s">
        <v>4225</v>
      </c>
      <c r="Q25" s="6">
        <v>0</v>
      </c>
    </row>
    <row r="26" spans="1:17" ht="40.200000000000003" customHeight="1" x14ac:dyDescent="0.3">
      <c r="A26" s="5">
        <v>1608</v>
      </c>
      <c r="B26" s="5" t="s">
        <v>2429</v>
      </c>
      <c r="C26" s="5" t="s">
        <v>309</v>
      </c>
      <c r="D26" s="5" t="s">
        <v>362</v>
      </c>
      <c r="E26" s="5" t="s">
        <v>2999</v>
      </c>
      <c r="F26" s="5" t="s">
        <v>4211</v>
      </c>
      <c r="G26" s="5" t="s">
        <v>3033</v>
      </c>
      <c r="H26" s="5" t="s">
        <v>3034</v>
      </c>
      <c r="I26" s="5" t="s">
        <v>3035</v>
      </c>
      <c r="J26" s="5">
        <v>1</v>
      </c>
      <c r="K26" s="5" t="s">
        <v>19</v>
      </c>
      <c r="L26" s="11">
        <v>3789.1958823529417</v>
      </c>
      <c r="M26" s="5" t="s">
        <v>33</v>
      </c>
      <c r="N26" s="11">
        <f>Tabla11[[#This Row],[Price]]*Tabla11[[#This Row],[QTY Adjusted]]</f>
        <v>3789.1958823529417</v>
      </c>
      <c r="O26" s="11">
        <v>3789.1958823529417</v>
      </c>
      <c r="P26" s="10" t="s">
        <v>4225</v>
      </c>
      <c r="Q26" s="6">
        <v>0</v>
      </c>
    </row>
    <row r="27" spans="1:17" ht="40.200000000000003" customHeight="1" x14ac:dyDescent="0.3">
      <c r="A27" s="5">
        <v>1742</v>
      </c>
      <c r="B27" s="5" t="s">
        <v>2429</v>
      </c>
      <c r="C27" s="5" t="s">
        <v>723</v>
      </c>
      <c r="D27" s="5" t="s">
        <v>362</v>
      </c>
      <c r="E27" s="5" t="s">
        <v>3402</v>
      </c>
      <c r="F27" s="5" t="s">
        <v>4211</v>
      </c>
      <c r="G27" s="5" t="s">
        <v>3412</v>
      </c>
      <c r="H27" s="5" t="s">
        <v>3413</v>
      </c>
      <c r="I27" s="5" t="s">
        <v>3414</v>
      </c>
      <c r="J27" s="5">
        <v>180</v>
      </c>
      <c r="K27" s="5" t="s">
        <v>19</v>
      </c>
      <c r="L27" s="11">
        <v>20.668422307499998</v>
      </c>
      <c r="M27" s="5" t="s">
        <v>33</v>
      </c>
      <c r="N27" s="11">
        <f>Tabla11[[#This Row],[Price]]*Tabla11[[#This Row],[QTY Adjusted]]</f>
        <v>3720.3160153499998</v>
      </c>
      <c r="O27" s="11">
        <v>3720.3160153499998</v>
      </c>
      <c r="P27" s="10" t="s">
        <v>4225</v>
      </c>
      <c r="Q27" s="6">
        <v>0</v>
      </c>
    </row>
    <row r="28" spans="1:17" ht="40.200000000000003" customHeight="1" x14ac:dyDescent="0.3">
      <c r="A28" s="5">
        <v>1599</v>
      </c>
      <c r="B28" s="5" t="s">
        <v>2429</v>
      </c>
      <c r="C28" s="5" t="s">
        <v>2998</v>
      </c>
      <c r="D28" s="5" t="s">
        <v>362</v>
      </c>
      <c r="E28" s="5" t="s">
        <v>2999</v>
      </c>
      <c r="F28" s="5" t="s">
        <v>4211</v>
      </c>
      <c r="G28" s="5" t="s">
        <v>3003</v>
      </c>
      <c r="H28" s="5" t="s">
        <v>3004</v>
      </c>
      <c r="I28" s="5" t="s">
        <v>3005</v>
      </c>
      <c r="J28" s="5">
        <v>1</v>
      </c>
      <c r="K28" s="5" t="s">
        <v>19</v>
      </c>
      <c r="L28" s="11">
        <v>3577.0235294117647</v>
      </c>
      <c r="M28" s="5" t="s">
        <v>33</v>
      </c>
      <c r="N28" s="11">
        <f>Tabla11[[#This Row],[Price]]*Tabla11[[#This Row],[QTY Adjusted]]</f>
        <v>3577.0235294117647</v>
      </c>
      <c r="O28" s="11">
        <v>3577.0235294117647</v>
      </c>
      <c r="P28" s="10" t="s">
        <v>4225</v>
      </c>
      <c r="Q28" s="6">
        <v>0</v>
      </c>
    </row>
    <row r="29" spans="1:17" ht="40.200000000000003" customHeight="1" x14ac:dyDescent="0.3">
      <c r="A29" s="5">
        <v>1734</v>
      </c>
      <c r="B29" s="5" t="s">
        <v>2429</v>
      </c>
      <c r="C29" s="5" t="s">
        <v>723</v>
      </c>
      <c r="D29" s="5" t="s">
        <v>362</v>
      </c>
      <c r="E29" s="5" t="s">
        <v>3325</v>
      </c>
      <c r="F29" s="5" t="s">
        <v>4211</v>
      </c>
      <c r="G29" s="5" t="s">
        <v>3389</v>
      </c>
      <c r="H29" s="5" t="s">
        <v>3390</v>
      </c>
      <c r="I29" s="5" t="s">
        <v>3391</v>
      </c>
      <c r="J29" s="5">
        <v>28</v>
      </c>
      <c r="K29" s="5" t="s">
        <v>19</v>
      </c>
      <c r="L29" s="11">
        <v>109.74825749249997</v>
      </c>
      <c r="M29" s="5" t="s">
        <v>33</v>
      </c>
      <c r="N29" s="11">
        <f>Tabla11[[#This Row],[Price]]*Tabla11[[#This Row],[QTY Adjusted]]</f>
        <v>3072.9512097899992</v>
      </c>
      <c r="O29" s="11">
        <v>3072.9512097899992</v>
      </c>
      <c r="P29" s="10" t="s">
        <v>4225</v>
      </c>
      <c r="Q29" s="6">
        <v>0</v>
      </c>
    </row>
    <row r="30" spans="1:17" ht="40.200000000000003" customHeight="1" x14ac:dyDescent="0.3">
      <c r="A30" s="5">
        <v>1740</v>
      </c>
      <c r="B30" s="5" t="s">
        <v>2429</v>
      </c>
      <c r="C30" s="5" t="s">
        <v>329</v>
      </c>
      <c r="D30" s="5" t="s">
        <v>362</v>
      </c>
      <c r="E30" s="5" t="s">
        <v>3402</v>
      </c>
      <c r="F30" s="5" t="s">
        <v>4211</v>
      </c>
      <c r="G30" s="5" t="s">
        <v>3406</v>
      </c>
      <c r="H30" s="5" t="s">
        <v>3407</v>
      </c>
      <c r="I30" s="5" t="s">
        <v>3408</v>
      </c>
      <c r="J30" s="5">
        <v>180</v>
      </c>
      <c r="K30" s="5" t="s">
        <v>19</v>
      </c>
      <c r="L30" s="11">
        <v>11.37</v>
      </c>
      <c r="M30" s="5" t="s">
        <v>33</v>
      </c>
      <c r="N30" s="11">
        <f>Tabla11[[#This Row],[Price]]*Tabla11[[#This Row],[QTY Adjusted]]</f>
        <v>2046.6</v>
      </c>
      <c r="O30" s="11">
        <v>2046.6</v>
      </c>
      <c r="P30" s="10" t="s">
        <v>4225</v>
      </c>
      <c r="Q30" s="6">
        <v>0</v>
      </c>
    </row>
    <row r="31" spans="1:17" ht="40.200000000000003" customHeight="1" x14ac:dyDescent="0.3">
      <c r="A31" s="5">
        <v>1744</v>
      </c>
      <c r="B31" s="5" t="s">
        <v>2429</v>
      </c>
      <c r="C31" s="5" t="s">
        <v>723</v>
      </c>
      <c r="D31" s="5" t="s">
        <v>362</v>
      </c>
      <c r="E31" s="5" t="s">
        <v>3402</v>
      </c>
      <c r="F31" s="5" t="s">
        <v>4211</v>
      </c>
      <c r="G31" s="5" t="s">
        <v>3418</v>
      </c>
      <c r="H31" s="5" t="s">
        <v>3419</v>
      </c>
      <c r="I31" s="5" t="s">
        <v>3420</v>
      </c>
      <c r="J31" s="5">
        <v>92</v>
      </c>
      <c r="K31" s="5" t="s">
        <v>19</v>
      </c>
      <c r="L31" s="11">
        <v>34.005002377499999</v>
      </c>
      <c r="M31" s="5" t="s">
        <v>33</v>
      </c>
      <c r="N31" s="11">
        <f>Tabla11[[#This Row],[Price]]*Tabla11[[#This Row],[QTY Adjusted]]</f>
        <v>3128.4602187299997</v>
      </c>
      <c r="O31" s="11">
        <v>3128.4602187299997</v>
      </c>
      <c r="P31" s="10" t="s">
        <v>4225</v>
      </c>
      <c r="Q31" s="6">
        <v>0</v>
      </c>
    </row>
    <row r="32" spans="1:17" ht="40.200000000000003" customHeight="1" x14ac:dyDescent="0.3">
      <c r="A32" s="5">
        <v>1754</v>
      </c>
      <c r="B32" s="5" t="s">
        <v>2429</v>
      </c>
      <c r="C32" s="5" t="s">
        <v>723</v>
      </c>
      <c r="D32" s="5" t="s">
        <v>362</v>
      </c>
      <c r="E32" s="5" t="s">
        <v>3402</v>
      </c>
      <c r="F32" s="5" t="s">
        <v>4211</v>
      </c>
      <c r="G32" s="5" t="s">
        <v>3448</v>
      </c>
      <c r="H32" s="5" t="s">
        <v>3449</v>
      </c>
      <c r="I32" s="5" t="s">
        <v>3450</v>
      </c>
      <c r="J32" s="5">
        <v>360</v>
      </c>
      <c r="K32" s="5" t="s">
        <v>19</v>
      </c>
      <c r="L32" s="11">
        <v>8.4787225875000019</v>
      </c>
      <c r="M32" s="5" t="s">
        <v>33</v>
      </c>
      <c r="N32" s="11">
        <f>Tabla11[[#This Row],[Price]]*Tabla11[[#This Row],[QTY Adjusted]]</f>
        <v>3052.3401315000006</v>
      </c>
      <c r="O32" s="11">
        <v>3052.3401315000006</v>
      </c>
      <c r="P32" s="10" t="s">
        <v>4225</v>
      </c>
      <c r="Q32" s="6">
        <v>0</v>
      </c>
    </row>
    <row r="33" spans="1:17" ht="40.200000000000003" customHeight="1" x14ac:dyDescent="0.3">
      <c r="A33" s="5">
        <v>1630</v>
      </c>
      <c r="B33" s="5" t="s">
        <v>2429</v>
      </c>
      <c r="C33" s="5" t="s">
        <v>3072</v>
      </c>
      <c r="D33" s="5" t="s">
        <v>178</v>
      </c>
      <c r="E33" s="5" t="s">
        <v>2999</v>
      </c>
      <c r="F33" s="5" t="s">
        <v>4211</v>
      </c>
      <c r="G33" s="5" t="s">
        <v>3101</v>
      </c>
      <c r="H33" s="5" t="s">
        <v>3102</v>
      </c>
      <c r="I33" s="5" t="s">
        <v>3103</v>
      </c>
      <c r="J33" s="5">
        <v>1</v>
      </c>
      <c r="K33" s="5" t="s">
        <v>19</v>
      </c>
      <c r="L33" s="11">
        <v>2891.9625000000001</v>
      </c>
      <c r="M33" s="5" t="s">
        <v>33</v>
      </c>
      <c r="N33" s="11">
        <f>Tabla11[[#This Row],[Price]]*Tabla11[[#This Row],[QTY Adjusted]]</f>
        <v>2891.9625000000001</v>
      </c>
      <c r="O33" s="11">
        <v>2891.9625000000001</v>
      </c>
      <c r="P33" s="10" t="s">
        <v>4234</v>
      </c>
      <c r="Q33" s="6" t="s">
        <v>4246</v>
      </c>
    </row>
    <row r="34" spans="1:17" ht="40.200000000000003" customHeight="1" x14ac:dyDescent="0.3">
      <c r="A34" s="5">
        <v>1623</v>
      </c>
      <c r="B34" s="5" t="s">
        <v>2429</v>
      </c>
      <c r="C34" s="5" t="s">
        <v>2424</v>
      </c>
      <c r="D34" s="5" t="s">
        <v>362</v>
      </c>
      <c r="E34" s="5" t="s">
        <v>2999</v>
      </c>
      <c r="F34" s="5" t="s">
        <v>4211</v>
      </c>
      <c r="G34" s="5">
        <v>737245</v>
      </c>
      <c r="H34" s="5" t="s">
        <v>3080</v>
      </c>
      <c r="I34" s="5" t="s">
        <v>3081</v>
      </c>
      <c r="J34" s="5">
        <v>2</v>
      </c>
      <c r="K34" s="5" t="s">
        <v>19</v>
      </c>
      <c r="L34" s="11">
        <v>909.9009705882354</v>
      </c>
      <c r="M34" s="5" t="s">
        <v>33</v>
      </c>
      <c r="N34" s="11">
        <f>Tabla11[[#This Row],[Price]]*Tabla11[[#This Row],[QTY Adjusted]]</f>
        <v>1819.8019411764708</v>
      </c>
      <c r="O34" s="11">
        <v>1819.8019411764708</v>
      </c>
      <c r="P34" s="10" t="s">
        <v>4225</v>
      </c>
      <c r="Q34" s="6">
        <v>0</v>
      </c>
    </row>
    <row r="35" spans="1:17" ht="40.200000000000003" customHeight="1" x14ac:dyDescent="0.3">
      <c r="A35" s="5">
        <v>1743</v>
      </c>
      <c r="B35" s="5" t="s">
        <v>2429</v>
      </c>
      <c r="C35" s="5" t="s">
        <v>723</v>
      </c>
      <c r="D35" s="5" t="s">
        <v>362</v>
      </c>
      <c r="E35" s="5" t="s">
        <v>3402</v>
      </c>
      <c r="F35" s="5" t="s">
        <v>4211</v>
      </c>
      <c r="G35" s="5" t="s">
        <v>3415</v>
      </c>
      <c r="H35" s="5" t="s">
        <v>3416</v>
      </c>
      <c r="I35" s="5" t="s">
        <v>3417</v>
      </c>
      <c r="J35" s="5">
        <v>108</v>
      </c>
      <c r="K35" s="5" t="s">
        <v>19</v>
      </c>
      <c r="L35" s="11">
        <v>24.125447362499994</v>
      </c>
      <c r="M35" s="5" t="s">
        <v>33</v>
      </c>
      <c r="N35" s="11">
        <f>Tabla11[[#This Row],[Price]]*Tabla11[[#This Row],[QTY Adjusted]]</f>
        <v>2605.5483151499993</v>
      </c>
      <c r="O35" s="11">
        <v>2605.5483151499993</v>
      </c>
      <c r="P35" s="10" t="s">
        <v>4225</v>
      </c>
      <c r="Q35" s="6">
        <v>0</v>
      </c>
    </row>
    <row r="36" spans="1:17" ht="40.200000000000003" customHeight="1" x14ac:dyDescent="0.3">
      <c r="A36" s="5">
        <v>1756</v>
      </c>
      <c r="B36" s="5" t="s">
        <v>2429</v>
      </c>
      <c r="C36" s="5" t="s">
        <v>723</v>
      </c>
      <c r="D36" s="5" t="s">
        <v>362</v>
      </c>
      <c r="E36" s="5" t="s">
        <v>3402</v>
      </c>
      <c r="F36" s="5" t="s">
        <v>4211</v>
      </c>
      <c r="G36" s="5" t="s">
        <v>3454</v>
      </c>
      <c r="H36" s="5" t="s">
        <v>3455</v>
      </c>
      <c r="I36" s="5" t="s">
        <v>3456</v>
      </c>
      <c r="J36" s="5">
        <v>336</v>
      </c>
      <c r="K36" s="5" t="s">
        <v>19</v>
      </c>
      <c r="L36" s="11">
        <v>7.7414423625</v>
      </c>
      <c r="M36" s="5" t="s">
        <v>33</v>
      </c>
      <c r="N36" s="11">
        <f>Tabla11[[#This Row],[Price]]*Tabla11[[#This Row],[QTY Adjusted]]</f>
        <v>2601.1246338000001</v>
      </c>
      <c r="O36" s="11">
        <v>2601.1246338000001</v>
      </c>
      <c r="P36" s="10" t="s">
        <v>4225</v>
      </c>
      <c r="Q36" s="6">
        <v>0</v>
      </c>
    </row>
    <row r="37" spans="1:17" ht="40.200000000000003" customHeight="1" x14ac:dyDescent="0.3">
      <c r="A37" s="5">
        <v>1823</v>
      </c>
      <c r="B37" s="5" t="s">
        <v>2429</v>
      </c>
      <c r="C37" s="5" t="s">
        <v>3633</v>
      </c>
      <c r="D37" s="5" t="s">
        <v>362</v>
      </c>
      <c r="E37" s="5" t="s">
        <v>3621</v>
      </c>
      <c r="F37" s="5" t="s">
        <v>4211</v>
      </c>
      <c r="G37" s="5" t="s">
        <v>3634</v>
      </c>
      <c r="H37" s="5" t="s">
        <v>3635</v>
      </c>
      <c r="I37" s="5" t="s">
        <v>3636</v>
      </c>
      <c r="J37" s="5">
        <v>6</v>
      </c>
      <c r="K37" s="5" t="s">
        <v>19</v>
      </c>
      <c r="L37" s="11">
        <v>424.89624999999995</v>
      </c>
      <c r="M37" s="5" t="s">
        <v>33</v>
      </c>
      <c r="N37" s="11">
        <f>Tabla11[[#This Row],[Price]]*Tabla11[[#This Row],[QTY Adjusted]]</f>
        <v>2549.3774999999996</v>
      </c>
      <c r="O37" s="11">
        <v>2549.3774999999996</v>
      </c>
      <c r="P37" s="10" t="s">
        <v>4225</v>
      </c>
      <c r="Q37" s="6">
        <v>0</v>
      </c>
    </row>
    <row r="38" spans="1:17" ht="40.200000000000003" customHeight="1" x14ac:dyDescent="0.3">
      <c r="A38" s="5">
        <v>1523</v>
      </c>
      <c r="B38" s="5" t="s">
        <v>2429</v>
      </c>
      <c r="C38" s="5" t="s">
        <v>723</v>
      </c>
      <c r="D38" s="5" t="s">
        <v>362</v>
      </c>
      <c r="E38" s="5" t="s">
        <v>2747</v>
      </c>
      <c r="F38" s="5" t="s">
        <v>4211</v>
      </c>
      <c r="G38" s="5" t="s">
        <v>2780</v>
      </c>
      <c r="H38" s="5" t="s">
        <v>2781</v>
      </c>
      <c r="I38" s="5" t="s">
        <v>2782</v>
      </c>
      <c r="J38" s="5">
        <v>96</v>
      </c>
      <c r="K38" s="5" t="s">
        <v>19</v>
      </c>
      <c r="L38" s="11">
        <v>20.9961024075</v>
      </c>
      <c r="M38" s="5" t="s">
        <v>33</v>
      </c>
      <c r="N38" s="11">
        <f>Tabla11[[#This Row],[Price]]*Tabla11[[#This Row],[QTY Adjusted]]</f>
        <v>2015.6258311199999</v>
      </c>
      <c r="O38" s="11">
        <v>2015.6258311199999</v>
      </c>
      <c r="P38" s="10" t="s">
        <v>4225</v>
      </c>
      <c r="Q38" s="6">
        <v>0</v>
      </c>
    </row>
    <row r="39" spans="1:17" ht="40.200000000000003" customHeight="1" x14ac:dyDescent="0.3">
      <c r="A39" s="5">
        <v>1657</v>
      </c>
      <c r="B39" s="5" t="s">
        <v>2429</v>
      </c>
      <c r="C39" s="5" t="s">
        <v>723</v>
      </c>
      <c r="D39" s="5" t="s">
        <v>362</v>
      </c>
      <c r="E39" s="5" t="s">
        <v>3107</v>
      </c>
      <c r="F39" s="5" t="s">
        <v>4211</v>
      </c>
      <c r="G39" s="5" t="s">
        <v>3181</v>
      </c>
      <c r="H39" s="5" t="s">
        <v>3182</v>
      </c>
      <c r="I39" s="5" t="s">
        <v>3183</v>
      </c>
      <c r="J39" s="5">
        <v>8</v>
      </c>
      <c r="K39" s="5" t="s">
        <v>19</v>
      </c>
      <c r="L39" s="11">
        <v>205.98790286249994</v>
      </c>
      <c r="M39" s="5" t="s">
        <v>33</v>
      </c>
      <c r="N39" s="11">
        <f>Tabla11[[#This Row],[Price]]*Tabla11[[#This Row],[QTY Adjusted]]</f>
        <v>1647.9032228999995</v>
      </c>
      <c r="O39" s="11">
        <v>1647.9032228999995</v>
      </c>
      <c r="P39" s="10" t="s">
        <v>4225</v>
      </c>
      <c r="Q39" s="6">
        <v>0</v>
      </c>
    </row>
    <row r="40" spans="1:17" ht="40.200000000000003" customHeight="1" x14ac:dyDescent="0.3">
      <c r="A40" s="5">
        <v>1619</v>
      </c>
      <c r="B40" s="5" t="s">
        <v>2429</v>
      </c>
      <c r="C40" s="5" t="s">
        <v>3062</v>
      </c>
      <c r="D40" s="5" t="s">
        <v>362</v>
      </c>
      <c r="E40" s="5" t="s">
        <v>2999</v>
      </c>
      <c r="F40" s="5" t="s">
        <v>4211</v>
      </c>
      <c r="G40" s="5" t="s">
        <v>3066</v>
      </c>
      <c r="H40" s="5" t="s">
        <v>3067</v>
      </c>
      <c r="I40" s="5" t="s">
        <v>3068</v>
      </c>
      <c r="J40" s="5">
        <v>6</v>
      </c>
      <c r="K40" s="5" t="s">
        <v>19</v>
      </c>
      <c r="L40" s="11">
        <v>386.40000000000003</v>
      </c>
      <c r="M40" s="5" t="s">
        <v>33</v>
      </c>
      <c r="N40" s="11">
        <f>Tabla11[[#This Row],[Price]]*Tabla11[[#This Row],[QTY Adjusted]]</f>
        <v>2318.4</v>
      </c>
      <c r="O40" s="11">
        <v>2318.4</v>
      </c>
      <c r="P40" s="10" t="s">
        <v>4225</v>
      </c>
      <c r="Q40" s="6">
        <v>0</v>
      </c>
    </row>
    <row r="41" spans="1:17" ht="40.200000000000003" customHeight="1" x14ac:dyDescent="0.3">
      <c r="A41" s="5">
        <v>1809</v>
      </c>
      <c r="B41" s="5" t="s">
        <v>2429</v>
      </c>
      <c r="C41" s="5" t="s">
        <v>723</v>
      </c>
      <c r="D41" s="5" t="s">
        <v>362</v>
      </c>
      <c r="E41" s="5" t="s">
        <v>3520</v>
      </c>
      <c r="F41" s="5" t="s">
        <v>4211</v>
      </c>
      <c r="G41" s="5" t="s">
        <v>3590</v>
      </c>
      <c r="H41" s="5" t="s">
        <v>3591</v>
      </c>
      <c r="I41" s="5" t="s">
        <v>3592</v>
      </c>
      <c r="J41" s="5">
        <v>54</v>
      </c>
      <c r="K41" s="5" t="s">
        <v>19</v>
      </c>
      <c r="L41" s="11">
        <v>42.483724965000008</v>
      </c>
      <c r="M41" s="5" t="s">
        <v>33</v>
      </c>
      <c r="N41" s="11">
        <f>Tabla11[[#This Row],[Price]]*Tabla11[[#This Row],[QTY Adjusted]]</f>
        <v>2294.1211481100004</v>
      </c>
      <c r="O41" s="11">
        <v>2294.1211481100004</v>
      </c>
      <c r="P41" s="10" t="s">
        <v>4225</v>
      </c>
      <c r="Q41" s="6">
        <v>0</v>
      </c>
    </row>
    <row r="42" spans="1:17" ht="40.200000000000003" customHeight="1" x14ac:dyDescent="0.3">
      <c r="A42" s="5">
        <v>1628</v>
      </c>
      <c r="B42" s="5" t="s">
        <v>2429</v>
      </c>
      <c r="C42" s="5" t="s">
        <v>3093</v>
      </c>
      <c r="D42" s="5" t="s">
        <v>362</v>
      </c>
      <c r="E42" s="5" t="s">
        <v>2999</v>
      </c>
      <c r="F42" s="5" t="s">
        <v>4211</v>
      </c>
      <c r="G42" s="5" t="s">
        <v>3094</v>
      </c>
      <c r="H42" s="5" t="s">
        <v>3095</v>
      </c>
      <c r="I42" s="5" t="s">
        <v>3096</v>
      </c>
      <c r="J42" s="5">
        <v>1</v>
      </c>
      <c r="K42" s="5" t="s">
        <v>19</v>
      </c>
      <c r="L42" s="11">
        <v>2105.2631578947367</v>
      </c>
      <c r="M42" s="5" t="s">
        <v>33</v>
      </c>
      <c r="N42" s="11">
        <f>Tabla11[[#This Row],[Price]]*Tabla11[[#This Row],[QTY Adjusted]]</f>
        <v>2105.2631578947367</v>
      </c>
      <c r="O42" s="11">
        <v>2105.2631578947367</v>
      </c>
      <c r="P42" s="10" t="s">
        <v>4225</v>
      </c>
      <c r="Q42" s="6">
        <v>0</v>
      </c>
    </row>
    <row r="43" spans="1:17" ht="40.200000000000003" customHeight="1" x14ac:dyDescent="0.3">
      <c r="A43" s="5">
        <v>1707</v>
      </c>
      <c r="B43" s="5" t="s">
        <v>2429</v>
      </c>
      <c r="C43" s="5" t="s">
        <v>723</v>
      </c>
      <c r="D43" s="5" t="s">
        <v>362</v>
      </c>
      <c r="E43" s="5" t="s">
        <v>3282</v>
      </c>
      <c r="F43" s="5" t="s">
        <v>4211</v>
      </c>
      <c r="G43" s="5" t="s">
        <v>3310</v>
      </c>
      <c r="H43" s="5" t="s">
        <v>3311</v>
      </c>
      <c r="I43" s="5" t="s">
        <v>3312</v>
      </c>
      <c r="J43" s="5">
        <v>26</v>
      </c>
      <c r="K43" s="5" t="s">
        <v>19</v>
      </c>
      <c r="L43" s="11">
        <v>80.519192572500003</v>
      </c>
      <c r="M43" s="5" t="s">
        <v>33</v>
      </c>
      <c r="N43" s="11">
        <f>Tabla11[[#This Row],[Price]]*Tabla11[[#This Row],[QTY Adjusted]]</f>
        <v>2093.4990068850002</v>
      </c>
      <c r="O43" s="11">
        <v>2093.4990068850002</v>
      </c>
      <c r="P43" s="10" t="s">
        <v>4225</v>
      </c>
      <c r="Q43" s="6">
        <v>0</v>
      </c>
    </row>
    <row r="44" spans="1:17" ht="40.200000000000003" customHeight="1" x14ac:dyDescent="0.3">
      <c r="A44" s="5">
        <v>1625</v>
      </c>
      <c r="B44" s="5" t="s">
        <v>2429</v>
      </c>
      <c r="C44" s="5" t="s">
        <v>3072</v>
      </c>
      <c r="D44" s="5" t="s">
        <v>178</v>
      </c>
      <c r="E44" s="5" t="s">
        <v>2999</v>
      </c>
      <c r="F44" s="5" t="s">
        <v>4211</v>
      </c>
      <c r="G44" s="5" t="s">
        <v>3085</v>
      </c>
      <c r="H44" s="5" t="s">
        <v>3086</v>
      </c>
      <c r="I44" s="5" t="s">
        <v>3087</v>
      </c>
      <c r="J44" s="5">
        <v>2</v>
      </c>
      <c r="K44" s="5" t="s">
        <v>19</v>
      </c>
      <c r="L44" s="11">
        <v>697.04</v>
      </c>
      <c r="M44" s="5" t="s">
        <v>33</v>
      </c>
      <c r="N44" s="11">
        <f>Tabla11[[#This Row],[Price]]*Tabla11[[#This Row],[QTY Adjusted]]</f>
        <v>1394.08</v>
      </c>
      <c r="O44" s="11">
        <v>1394.08</v>
      </c>
      <c r="P44" s="10" t="s">
        <v>4232</v>
      </c>
      <c r="Q44" s="6">
        <v>0</v>
      </c>
    </row>
    <row r="45" spans="1:17" ht="40.200000000000003" customHeight="1" x14ac:dyDescent="0.3">
      <c r="A45" s="5">
        <v>1730</v>
      </c>
      <c r="B45" s="5" t="s">
        <v>2429</v>
      </c>
      <c r="C45" s="5" t="s">
        <v>723</v>
      </c>
      <c r="D45" s="5" t="s">
        <v>362</v>
      </c>
      <c r="E45" s="5" t="s">
        <v>3325</v>
      </c>
      <c r="F45" s="5" t="s">
        <v>4211</v>
      </c>
      <c r="G45" s="5" t="s">
        <v>3377</v>
      </c>
      <c r="H45" s="5" t="s">
        <v>3378</v>
      </c>
      <c r="I45" s="5" t="s">
        <v>3379</v>
      </c>
      <c r="J45" s="5">
        <v>60</v>
      </c>
      <c r="K45" s="5" t="s">
        <v>19</v>
      </c>
      <c r="L45" s="11">
        <v>31.4490975975</v>
      </c>
      <c r="M45" s="5" t="s">
        <v>33</v>
      </c>
      <c r="N45" s="11">
        <f>Tabla11[[#This Row],[Price]]*Tabla11[[#This Row],[QTY Adjusted]]</f>
        <v>1886.94585585</v>
      </c>
      <c r="O45" s="11">
        <v>1886.94585585</v>
      </c>
      <c r="P45" s="10" t="s">
        <v>4225</v>
      </c>
      <c r="Q45" s="6">
        <v>0</v>
      </c>
    </row>
    <row r="46" spans="1:17" ht="40.200000000000003" customHeight="1" x14ac:dyDescent="0.3">
      <c r="A46" s="5">
        <v>1810</v>
      </c>
      <c r="B46" s="5" t="s">
        <v>2429</v>
      </c>
      <c r="C46" s="5" t="s">
        <v>723</v>
      </c>
      <c r="D46" s="5" t="s">
        <v>362</v>
      </c>
      <c r="E46" s="5" t="s">
        <v>3520</v>
      </c>
      <c r="F46" s="5" t="s">
        <v>4211</v>
      </c>
      <c r="G46" s="5" t="s">
        <v>3593</v>
      </c>
      <c r="H46" s="5" t="s">
        <v>3594</v>
      </c>
      <c r="I46" s="5" t="s">
        <v>3595</v>
      </c>
      <c r="J46" s="5">
        <v>32</v>
      </c>
      <c r="K46" s="5" t="s">
        <v>19</v>
      </c>
      <c r="L46" s="11">
        <v>62.980115220000009</v>
      </c>
      <c r="M46" s="5" t="s">
        <v>33</v>
      </c>
      <c r="N46" s="11">
        <f>Tabla11[[#This Row],[Price]]*Tabla11[[#This Row],[QTY Adjusted]]</f>
        <v>2015.3636870400003</v>
      </c>
      <c r="O46" s="11">
        <v>2015.3636870400003</v>
      </c>
      <c r="P46" s="10" t="s">
        <v>4225</v>
      </c>
      <c r="Q46" s="6">
        <v>0</v>
      </c>
    </row>
    <row r="47" spans="1:17" ht="40.200000000000003" customHeight="1" x14ac:dyDescent="0.3">
      <c r="A47" s="5">
        <v>1806</v>
      </c>
      <c r="B47" s="5" t="s">
        <v>2429</v>
      </c>
      <c r="C47" s="5" t="s">
        <v>723</v>
      </c>
      <c r="D47" s="5" t="s">
        <v>362</v>
      </c>
      <c r="E47" s="5" t="s">
        <v>3520</v>
      </c>
      <c r="F47" s="5" t="s">
        <v>4211</v>
      </c>
      <c r="G47" s="5" t="s">
        <v>3581</v>
      </c>
      <c r="H47" s="5" t="s">
        <v>3582</v>
      </c>
      <c r="I47" s="5" t="s">
        <v>3583</v>
      </c>
      <c r="J47" s="5">
        <v>96</v>
      </c>
      <c r="K47" s="5" t="s">
        <v>19</v>
      </c>
      <c r="L47" s="11">
        <v>20.914182382500002</v>
      </c>
      <c r="M47" s="5" t="s">
        <v>33</v>
      </c>
      <c r="N47" s="11">
        <f>Tabla11[[#This Row],[Price]]*Tabla11[[#This Row],[QTY Adjusted]]</f>
        <v>2007.7615087200002</v>
      </c>
      <c r="O47" s="11">
        <v>2007.7615087200002</v>
      </c>
      <c r="P47" s="10" t="s">
        <v>4225</v>
      </c>
      <c r="Q47" s="6">
        <v>0</v>
      </c>
    </row>
    <row r="48" spans="1:17" ht="40.200000000000003" customHeight="1" x14ac:dyDescent="0.3">
      <c r="A48" s="5">
        <v>1820</v>
      </c>
      <c r="B48" s="5" t="s">
        <v>2429</v>
      </c>
      <c r="C48" s="5" t="s">
        <v>2330</v>
      </c>
      <c r="D48" s="5" t="s">
        <v>362</v>
      </c>
      <c r="E48" s="5" t="s">
        <v>3621</v>
      </c>
      <c r="F48" s="5" t="s">
        <v>4211</v>
      </c>
      <c r="G48" s="5">
        <v>1883609</v>
      </c>
      <c r="H48" s="5" t="s">
        <v>3625</v>
      </c>
      <c r="I48" s="5" t="s">
        <v>3626</v>
      </c>
      <c r="J48" s="5">
        <v>21</v>
      </c>
      <c r="K48" s="5" t="s">
        <v>19</v>
      </c>
      <c r="L48" s="11">
        <v>94.07</v>
      </c>
      <c r="M48" s="5" t="s">
        <v>33</v>
      </c>
      <c r="N48" s="11">
        <f>Tabla11[[#This Row],[Price]]*Tabla11[[#This Row],[QTY Adjusted]]</f>
        <v>1975.4699999999998</v>
      </c>
      <c r="O48" s="11">
        <v>1975.4699999999998</v>
      </c>
      <c r="P48" s="10" t="s">
        <v>4225</v>
      </c>
      <c r="Q48" s="6">
        <v>0</v>
      </c>
    </row>
    <row r="49" spans="1:17" ht="40.200000000000003" customHeight="1" x14ac:dyDescent="0.3">
      <c r="A49" s="5">
        <v>1601</v>
      </c>
      <c r="B49" s="5" t="s">
        <v>2429</v>
      </c>
      <c r="C49" s="5" t="s">
        <v>2424</v>
      </c>
      <c r="D49" s="5" t="s">
        <v>362</v>
      </c>
      <c r="E49" s="5" t="s">
        <v>2999</v>
      </c>
      <c r="F49" s="5" t="s">
        <v>4211</v>
      </c>
      <c r="G49" s="5" t="s">
        <v>3009</v>
      </c>
      <c r="H49" s="5" t="s">
        <v>3010</v>
      </c>
      <c r="I49" s="5" t="s">
        <v>3011</v>
      </c>
      <c r="J49" s="5">
        <v>2</v>
      </c>
      <c r="K49" s="5" t="s">
        <v>19</v>
      </c>
      <c r="L49" s="11">
        <v>646.93499999999995</v>
      </c>
      <c r="M49" s="5" t="s">
        <v>33</v>
      </c>
      <c r="N49" s="11">
        <f>Tabla11[[#This Row],[Price]]*Tabla11[[#This Row],[QTY Adjusted]]</f>
        <v>1293.8699999999999</v>
      </c>
      <c r="O49" s="11">
        <v>1293.8699999999999</v>
      </c>
      <c r="P49" s="10" t="s">
        <v>4225</v>
      </c>
      <c r="Q49" s="6">
        <v>0</v>
      </c>
    </row>
    <row r="50" spans="1:17" ht="40.200000000000003" customHeight="1" x14ac:dyDescent="0.3">
      <c r="A50" s="5">
        <v>1750</v>
      </c>
      <c r="B50" s="5" t="s">
        <v>2429</v>
      </c>
      <c r="C50" s="5" t="s">
        <v>723</v>
      </c>
      <c r="D50" s="5" t="s">
        <v>362</v>
      </c>
      <c r="E50" s="5" t="s">
        <v>3402</v>
      </c>
      <c r="F50" s="5" t="s">
        <v>4211</v>
      </c>
      <c r="G50" s="5" t="s">
        <v>3436</v>
      </c>
      <c r="H50" s="5" t="s">
        <v>3437</v>
      </c>
      <c r="I50" s="5" t="s">
        <v>3438</v>
      </c>
      <c r="J50" s="5">
        <v>72</v>
      </c>
      <c r="K50" s="5" t="s">
        <v>19</v>
      </c>
      <c r="L50" s="11">
        <v>20.004870105000006</v>
      </c>
      <c r="M50" s="5" t="s">
        <v>33</v>
      </c>
      <c r="N50" s="11">
        <f>Tabla11[[#This Row],[Price]]*Tabla11[[#This Row],[QTY Adjusted]]</f>
        <v>1440.3506475600004</v>
      </c>
      <c r="O50" s="11">
        <v>1440.3506475600004</v>
      </c>
      <c r="P50" s="10" t="s">
        <v>4225</v>
      </c>
      <c r="Q50" s="6">
        <v>0</v>
      </c>
    </row>
    <row r="51" spans="1:17" ht="40.200000000000003" customHeight="1" x14ac:dyDescent="0.3">
      <c r="A51" s="5">
        <v>1808</v>
      </c>
      <c r="B51" s="5" t="s">
        <v>2429</v>
      </c>
      <c r="C51" s="5" t="s">
        <v>723</v>
      </c>
      <c r="D51" s="5" t="s">
        <v>362</v>
      </c>
      <c r="E51" s="5" t="s">
        <v>3520</v>
      </c>
      <c r="F51" s="5" t="s">
        <v>4211</v>
      </c>
      <c r="G51" s="5" t="s">
        <v>3587</v>
      </c>
      <c r="H51" s="5" t="s">
        <v>3588</v>
      </c>
      <c r="I51" s="5" t="s">
        <v>3589</v>
      </c>
      <c r="J51" s="5">
        <v>60</v>
      </c>
      <c r="K51" s="5" t="s">
        <v>19</v>
      </c>
      <c r="L51" s="11">
        <v>31.858697722500001</v>
      </c>
      <c r="M51" s="5" t="s">
        <v>33</v>
      </c>
      <c r="N51" s="11">
        <f>Tabla11[[#This Row],[Price]]*Tabla11[[#This Row],[QTY Adjusted]]</f>
        <v>1911.5218633500001</v>
      </c>
      <c r="O51" s="11">
        <v>1911.5218633500001</v>
      </c>
      <c r="P51" s="10" t="s">
        <v>4225</v>
      </c>
      <c r="Q51" s="6">
        <v>0</v>
      </c>
    </row>
    <row r="52" spans="1:17" ht="40.200000000000003" customHeight="1" x14ac:dyDescent="0.3">
      <c r="A52" s="5">
        <v>1627</v>
      </c>
      <c r="B52" s="5" t="s">
        <v>2429</v>
      </c>
      <c r="C52" s="5" t="s">
        <v>309</v>
      </c>
      <c r="D52" s="5" t="s">
        <v>178</v>
      </c>
      <c r="E52" s="5" t="s">
        <v>2999</v>
      </c>
      <c r="F52" s="5" t="s">
        <v>4211</v>
      </c>
      <c r="G52" s="5">
        <v>120751</v>
      </c>
      <c r="H52" s="5" t="s">
        <v>3091</v>
      </c>
      <c r="I52" s="5" t="s">
        <v>3092</v>
      </c>
      <c r="J52" s="5">
        <v>2</v>
      </c>
      <c r="K52" s="5" t="s">
        <v>19</v>
      </c>
      <c r="L52" s="11">
        <v>948.3552631578948</v>
      </c>
      <c r="M52" s="5" t="s">
        <v>33</v>
      </c>
      <c r="N52" s="11">
        <f>Tabla11[[#This Row],[Price]]*Tabla11[[#This Row],[QTY Adjusted]]</f>
        <v>1896.7105263157896</v>
      </c>
      <c r="O52" s="11">
        <v>1896.7105263157896</v>
      </c>
      <c r="P52" s="10" t="s">
        <v>4218</v>
      </c>
      <c r="Q52" s="6" t="s">
        <v>4246</v>
      </c>
    </row>
    <row r="53" spans="1:17" ht="40.200000000000003" customHeight="1" x14ac:dyDescent="0.3">
      <c r="A53" s="5">
        <v>1613</v>
      </c>
      <c r="B53" s="5" t="s">
        <v>2429</v>
      </c>
      <c r="C53" s="5" t="s">
        <v>3048</v>
      </c>
      <c r="D53" s="5" t="s">
        <v>178</v>
      </c>
      <c r="E53" s="5" t="s">
        <v>2999</v>
      </c>
      <c r="F53" s="5" t="s">
        <v>4211</v>
      </c>
      <c r="G53" s="5">
        <v>47240</v>
      </c>
      <c r="H53" s="5" t="s">
        <v>3049</v>
      </c>
      <c r="I53" s="5" t="s">
        <v>3050</v>
      </c>
      <c r="J53" s="5">
        <v>6</v>
      </c>
      <c r="K53" s="5" t="s">
        <v>19</v>
      </c>
      <c r="L53" s="11">
        <v>314.99</v>
      </c>
      <c r="M53" s="5" t="s">
        <v>33</v>
      </c>
      <c r="N53" s="11">
        <f>Tabla11[[#This Row],[Price]]*Tabla11[[#This Row],[QTY Adjusted]]</f>
        <v>1889.94</v>
      </c>
      <c r="O53" s="11">
        <v>1889.94</v>
      </c>
      <c r="P53" s="10" t="s">
        <v>4232</v>
      </c>
      <c r="Q53" s="6">
        <v>0</v>
      </c>
    </row>
    <row r="54" spans="1:17" ht="40.200000000000003" customHeight="1" x14ac:dyDescent="0.3">
      <c r="A54" s="5">
        <v>1605</v>
      </c>
      <c r="B54" s="5" t="s">
        <v>2429</v>
      </c>
      <c r="C54" s="5" t="s">
        <v>3023</v>
      </c>
      <c r="D54" s="5" t="s">
        <v>362</v>
      </c>
      <c r="E54" s="5" t="s">
        <v>2999</v>
      </c>
      <c r="F54" s="5" t="s">
        <v>4211</v>
      </c>
      <c r="G54" s="5" t="s">
        <v>3024</v>
      </c>
      <c r="H54" s="5" t="s">
        <v>3025</v>
      </c>
      <c r="I54" s="5" t="s">
        <v>3026</v>
      </c>
      <c r="J54" s="5">
        <v>2</v>
      </c>
      <c r="K54" s="5" t="s">
        <v>19</v>
      </c>
      <c r="L54" s="11">
        <v>621.64</v>
      </c>
      <c r="M54" s="5" t="s">
        <v>33</v>
      </c>
      <c r="N54" s="11">
        <f>Tabla11[[#This Row],[Price]]*Tabla11[[#This Row],[QTY Adjusted]]</f>
        <v>1243.28</v>
      </c>
      <c r="O54" s="11">
        <v>1243.28</v>
      </c>
      <c r="P54" s="10" t="s">
        <v>4225</v>
      </c>
      <c r="Q54" s="6">
        <v>0</v>
      </c>
    </row>
    <row r="55" spans="1:17" ht="40.200000000000003" customHeight="1" x14ac:dyDescent="0.3">
      <c r="A55" s="5">
        <v>1715</v>
      </c>
      <c r="B55" s="5" t="s">
        <v>2429</v>
      </c>
      <c r="C55" s="5" t="s">
        <v>723</v>
      </c>
      <c r="D55" s="5" t="s">
        <v>362</v>
      </c>
      <c r="E55" s="5" t="s">
        <v>3325</v>
      </c>
      <c r="F55" s="5" t="s">
        <v>4211</v>
      </c>
      <c r="G55" s="5" t="s">
        <v>3332</v>
      </c>
      <c r="H55" s="5" t="s">
        <v>3333</v>
      </c>
      <c r="I55" s="5" t="s">
        <v>3334</v>
      </c>
      <c r="J55" s="5">
        <v>30</v>
      </c>
      <c r="K55" s="5" t="s">
        <v>19</v>
      </c>
      <c r="L55" s="11">
        <v>61.661202817499991</v>
      </c>
      <c r="M55" s="5" t="s">
        <v>33</v>
      </c>
      <c r="N55" s="11">
        <f>Tabla11[[#This Row],[Price]]*Tabla11[[#This Row],[QTY Adjusted]]</f>
        <v>1849.8360845249997</v>
      </c>
      <c r="O55" s="11">
        <v>1849.8360845249997</v>
      </c>
      <c r="P55" s="10" t="s">
        <v>4225</v>
      </c>
      <c r="Q55" s="6">
        <v>0</v>
      </c>
    </row>
    <row r="56" spans="1:17" ht="40.200000000000003" customHeight="1" x14ac:dyDescent="0.3">
      <c r="A56" s="5">
        <v>1807</v>
      </c>
      <c r="B56" s="5" t="s">
        <v>2429</v>
      </c>
      <c r="C56" s="5" t="s">
        <v>723</v>
      </c>
      <c r="D56" s="5" t="s">
        <v>362</v>
      </c>
      <c r="E56" s="5" t="s">
        <v>3520</v>
      </c>
      <c r="F56" s="5" t="s">
        <v>4211</v>
      </c>
      <c r="G56" s="5" t="s">
        <v>3584</v>
      </c>
      <c r="H56" s="5" t="s">
        <v>3585</v>
      </c>
      <c r="I56" s="5" t="s">
        <v>3586</v>
      </c>
      <c r="J56" s="5">
        <v>68</v>
      </c>
      <c r="K56" s="5" t="s">
        <v>19</v>
      </c>
      <c r="L56" s="11">
        <v>27.082760265000008</v>
      </c>
      <c r="M56" s="5" t="s">
        <v>33</v>
      </c>
      <c r="N56" s="11">
        <f>Tabla11[[#This Row],[Price]]*Tabla11[[#This Row],[QTY Adjusted]]</f>
        <v>1841.6276980200005</v>
      </c>
      <c r="O56" s="11">
        <v>1841.6276980200005</v>
      </c>
      <c r="P56" s="10" t="s">
        <v>4225</v>
      </c>
      <c r="Q56" s="6">
        <v>0</v>
      </c>
    </row>
    <row r="57" spans="1:17" ht="40.200000000000003" customHeight="1" x14ac:dyDescent="0.3">
      <c r="A57" s="5">
        <v>1703</v>
      </c>
      <c r="B57" s="5" t="s">
        <v>2429</v>
      </c>
      <c r="C57" s="5" t="s">
        <v>723</v>
      </c>
      <c r="D57" s="5" t="s">
        <v>362</v>
      </c>
      <c r="E57" s="5" t="s">
        <v>3282</v>
      </c>
      <c r="F57" s="5" t="s">
        <v>4211</v>
      </c>
      <c r="G57" s="5" t="s">
        <v>3298</v>
      </c>
      <c r="H57" s="5" t="s">
        <v>3299</v>
      </c>
      <c r="I57" s="5" t="s">
        <v>3300</v>
      </c>
      <c r="J57" s="5">
        <v>108</v>
      </c>
      <c r="K57" s="5" t="s">
        <v>19</v>
      </c>
      <c r="L57" s="11">
        <v>10.788867292500001</v>
      </c>
      <c r="M57" s="5" t="s">
        <v>33</v>
      </c>
      <c r="N57" s="11">
        <f>Tabla11[[#This Row],[Price]]*Tabla11[[#This Row],[QTY Adjusted]]</f>
        <v>1165.19766759</v>
      </c>
      <c r="O57" s="11">
        <v>1165.19766759</v>
      </c>
      <c r="P57" s="10" t="s">
        <v>4225</v>
      </c>
      <c r="Q57" s="6">
        <v>0</v>
      </c>
    </row>
    <row r="58" spans="1:17" ht="40.200000000000003" customHeight="1" x14ac:dyDescent="0.3">
      <c r="A58" s="5">
        <v>1862</v>
      </c>
      <c r="B58" s="5" t="s">
        <v>2429</v>
      </c>
      <c r="C58" s="5" t="s">
        <v>723</v>
      </c>
      <c r="D58" s="5" t="s">
        <v>362</v>
      </c>
      <c r="E58" s="5" t="s">
        <v>3723</v>
      </c>
      <c r="F58" s="5" t="s">
        <v>4211</v>
      </c>
      <c r="G58" s="5" t="s">
        <v>3743</v>
      </c>
      <c r="H58" s="5" t="s">
        <v>3744</v>
      </c>
      <c r="I58" s="5" t="s">
        <v>3745</v>
      </c>
      <c r="J58" s="5">
        <v>5</v>
      </c>
      <c r="K58" s="5" t="s">
        <v>19</v>
      </c>
      <c r="L58" s="11">
        <v>254.40263763750002</v>
      </c>
      <c r="M58" s="5" t="s">
        <v>33</v>
      </c>
      <c r="N58" s="11">
        <f>Tabla11[[#This Row],[Price]]*Tabla11[[#This Row],[QTY Adjusted]]</f>
        <v>1272.0131881875002</v>
      </c>
      <c r="O58" s="11">
        <v>1272.0131881875002</v>
      </c>
      <c r="P58" s="10" t="s">
        <v>4225</v>
      </c>
      <c r="Q58" s="6">
        <v>0</v>
      </c>
    </row>
    <row r="59" spans="1:17" ht="40.200000000000003" customHeight="1" x14ac:dyDescent="0.3">
      <c r="A59" s="5">
        <v>1706</v>
      </c>
      <c r="B59" s="5" t="s">
        <v>2429</v>
      </c>
      <c r="C59" s="5" t="s">
        <v>723</v>
      </c>
      <c r="D59" s="5" t="s">
        <v>362</v>
      </c>
      <c r="E59" s="5" t="s">
        <v>3282</v>
      </c>
      <c r="F59" s="5" t="s">
        <v>4211</v>
      </c>
      <c r="G59" s="5" t="s">
        <v>3307</v>
      </c>
      <c r="H59" s="5" t="s">
        <v>3308</v>
      </c>
      <c r="I59" s="5" t="s">
        <v>3309</v>
      </c>
      <c r="J59" s="5">
        <v>48</v>
      </c>
      <c r="K59" s="5" t="s">
        <v>19</v>
      </c>
      <c r="L59" s="11">
        <v>29.474824994999999</v>
      </c>
      <c r="M59" s="5" t="s">
        <v>33</v>
      </c>
      <c r="N59" s="11">
        <f>Tabla11[[#This Row],[Price]]*Tabla11[[#This Row],[QTY Adjusted]]</f>
        <v>1414.7915997599998</v>
      </c>
      <c r="O59" s="11">
        <v>1414.7915997599998</v>
      </c>
      <c r="P59" s="10" t="s">
        <v>4225</v>
      </c>
      <c r="Q59" s="6">
        <v>0</v>
      </c>
    </row>
    <row r="60" spans="1:17" ht="40.200000000000003" customHeight="1" x14ac:dyDescent="0.3">
      <c r="A60" s="5">
        <v>1865</v>
      </c>
      <c r="B60" s="5" t="s">
        <v>2429</v>
      </c>
      <c r="C60" s="5" t="s">
        <v>723</v>
      </c>
      <c r="D60" s="5" t="s">
        <v>362</v>
      </c>
      <c r="E60" s="5" t="s">
        <v>3723</v>
      </c>
      <c r="F60" s="5" t="s">
        <v>4211</v>
      </c>
      <c r="G60" s="5" t="s">
        <v>3752</v>
      </c>
      <c r="H60" s="5" t="s">
        <v>3753</v>
      </c>
      <c r="I60" s="5" t="s">
        <v>3754</v>
      </c>
      <c r="J60" s="5">
        <v>8</v>
      </c>
      <c r="K60" s="5" t="s">
        <v>19</v>
      </c>
      <c r="L60" s="11">
        <v>145.97329254749999</v>
      </c>
      <c r="M60" s="5" t="s">
        <v>33</v>
      </c>
      <c r="N60" s="11">
        <f>Tabla11[[#This Row],[Price]]*Tabla11[[#This Row],[QTY Adjusted]]</f>
        <v>1167.78634038</v>
      </c>
      <c r="O60" s="11">
        <v>1167.78634038</v>
      </c>
      <c r="P60" s="10" t="s">
        <v>4225</v>
      </c>
      <c r="Q60" s="6">
        <v>0</v>
      </c>
    </row>
    <row r="61" spans="1:17" ht="40.200000000000003" customHeight="1" x14ac:dyDescent="0.3">
      <c r="A61" s="5">
        <v>1745</v>
      </c>
      <c r="B61" s="5" t="s">
        <v>2429</v>
      </c>
      <c r="C61" s="5" t="s">
        <v>723</v>
      </c>
      <c r="D61" s="5" t="s">
        <v>362</v>
      </c>
      <c r="E61" s="5" t="s">
        <v>3402</v>
      </c>
      <c r="F61" s="5" t="s">
        <v>4211</v>
      </c>
      <c r="G61" s="5" t="s">
        <v>3421</v>
      </c>
      <c r="H61" s="5" t="s">
        <v>3422</v>
      </c>
      <c r="I61" s="5" t="s">
        <v>3423</v>
      </c>
      <c r="J61" s="5">
        <v>42</v>
      </c>
      <c r="K61" s="5" t="s">
        <v>19</v>
      </c>
      <c r="L61" s="11">
        <v>41.246732587500006</v>
      </c>
      <c r="M61" s="5" t="s">
        <v>33</v>
      </c>
      <c r="N61" s="11">
        <f>Tabla11[[#This Row],[Price]]*Tabla11[[#This Row],[QTY Adjusted]]</f>
        <v>1732.3627686750003</v>
      </c>
      <c r="O61" s="11">
        <v>1732.3627686750003</v>
      </c>
      <c r="P61" s="10" t="s">
        <v>4225</v>
      </c>
      <c r="Q61" s="6">
        <v>0</v>
      </c>
    </row>
    <row r="62" spans="1:17" ht="40.200000000000003" customHeight="1" x14ac:dyDescent="0.3">
      <c r="A62" s="5">
        <v>1787</v>
      </c>
      <c r="B62" s="5" t="s">
        <v>2429</v>
      </c>
      <c r="C62" s="5" t="s">
        <v>723</v>
      </c>
      <c r="D62" s="5" t="s">
        <v>362</v>
      </c>
      <c r="E62" s="5" t="s">
        <v>3520</v>
      </c>
      <c r="F62" s="5" t="s">
        <v>4211</v>
      </c>
      <c r="G62" s="5" t="s">
        <v>3524</v>
      </c>
      <c r="H62" s="5" t="s">
        <v>3525</v>
      </c>
      <c r="I62" s="5" t="s">
        <v>3526</v>
      </c>
      <c r="J62" s="5">
        <v>96</v>
      </c>
      <c r="K62" s="5" t="s">
        <v>19</v>
      </c>
      <c r="L62" s="11">
        <v>17.948677477499999</v>
      </c>
      <c r="M62" s="5" t="s">
        <v>33</v>
      </c>
      <c r="N62" s="11">
        <f>Tabla11[[#This Row],[Price]]*Tabla11[[#This Row],[QTY Adjusted]]</f>
        <v>1723.0730378399999</v>
      </c>
      <c r="O62" s="11">
        <v>1723.0730378399999</v>
      </c>
      <c r="P62" s="10" t="s">
        <v>4225</v>
      </c>
      <c r="Q62" s="6">
        <v>0</v>
      </c>
    </row>
    <row r="63" spans="1:17" ht="40.200000000000003" customHeight="1" x14ac:dyDescent="0.3">
      <c r="A63" s="5">
        <v>1651</v>
      </c>
      <c r="B63" s="5" t="s">
        <v>2429</v>
      </c>
      <c r="C63" s="5" t="s">
        <v>723</v>
      </c>
      <c r="D63" s="5" t="s">
        <v>362</v>
      </c>
      <c r="E63" s="5" t="s">
        <v>3107</v>
      </c>
      <c r="F63" s="5" t="s">
        <v>4211</v>
      </c>
      <c r="G63" s="5" t="s">
        <v>3163</v>
      </c>
      <c r="H63" s="5" t="s">
        <v>3164</v>
      </c>
      <c r="I63" s="5" t="s">
        <v>3165</v>
      </c>
      <c r="J63" s="5">
        <v>32</v>
      </c>
      <c r="K63" s="5" t="s">
        <v>19</v>
      </c>
      <c r="L63" s="11">
        <v>51.953679855000004</v>
      </c>
      <c r="M63" s="5" t="s">
        <v>33</v>
      </c>
      <c r="N63" s="11">
        <f>Tabla11[[#This Row],[Price]]*Tabla11[[#This Row],[QTY Adjusted]]</f>
        <v>1662.5177553600001</v>
      </c>
      <c r="O63" s="11">
        <v>1662.5177553600001</v>
      </c>
      <c r="P63" s="10" t="s">
        <v>4225</v>
      </c>
      <c r="Q63" s="6">
        <v>0</v>
      </c>
    </row>
    <row r="64" spans="1:17" ht="40.200000000000003" customHeight="1" x14ac:dyDescent="0.3">
      <c r="A64" s="5">
        <v>1748</v>
      </c>
      <c r="B64" s="5" t="s">
        <v>2429</v>
      </c>
      <c r="C64" s="5" t="s">
        <v>723</v>
      </c>
      <c r="D64" s="5" t="s">
        <v>362</v>
      </c>
      <c r="E64" s="5" t="s">
        <v>3402</v>
      </c>
      <c r="F64" s="5" t="s">
        <v>4211</v>
      </c>
      <c r="G64" s="5" t="s">
        <v>3430</v>
      </c>
      <c r="H64" s="5" t="s">
        <v>3431</v>
      </c>
      <c r="I64" s="5" t="s">
        <v>3432</v>
      </c>
      <c r="J64" s="5">
        <v>96</v>
      </c>
      <c r="K64" s="5" t="s">
        <v>19</v>
      </c>
      <c r="L64" s="11">
        <v>12.517379819999999</v>
      </c>
      <c r="M64" s="5" t="s">
        <v>33</v>
      </c>
      <c r="N64" s="11">
        <f>Tabla11[[#This Row],[Price]]*Tabla11[[#This Row],[QTY Adjusted]]</f>
        <v>1201.6684627199998</v>
      </c>
      <c r="O64" s="11">
        <v>1201.6684627199998</v>
      </c>
      <c r="P64" s="10" t="s">
        <v>4225</v>
      </c>
      <c r="Q64" s="6">
        <v>0</v>
      </c>
    </row>
    <row r="65" spans="1:17" ht="40.200000000000003" customHeight="1" x14ac:dyDescent="0.3">
      <c r="A65" s="5">
        <v>1622</v>
      </c>
      <c r="B65" s="5" t="s">
        <v>2429</v>
      </c>
      <c r="C65" s="5" t="s">
        <v>3076</v>
      </c>
      <c r="D65" s="5" t="s">
        <v>178</v>
      </c>
      <c r="E65" s="5" t="s">
        <v>2999</v>
      </c>
      <c r="F65" s="5" t="s">
        <v>4211</v>
      </c>
      <c r="G65" s="5" t="s">
        <v>3077</v>
      </c>
      <c r="H65" s="5" t="s">
        <v>3078</v>
      </c>
      <c r="I65" s="5" t="s">
        <v>3079</v>
      </c>
      <c r="J65" s="5">
        <v>1</v>
      </c>
      <c r="K65" s="5" t="s">
        <v>19</v>
      </c>
      <c r="L65" s="11">
        <v>1651.6</v>
      </c>
      <c r="M65" s="5" t="s">
        <v>33</v>
      </c>
      <c r="N65" s="11">
        <f>Tabla11[[#This Row],[Price]]*Tabla11[[#This Row],[QTY Adjusted]]</f>
        <v>1651.6</v>
      </c>
      <c r="O65" s="11">
        <v>1651.6</v>
      </c>
      <c r="P65" s="10" t="s">
        <v>4232</v>
      </c>
      <c r="Q65" s="6">
        <v>0</v>
      </c>
    </row>
    <row r="66" spans="1:17" ht="40.200000000000003" customHeight="1" x14ac:dyDescent="0.3">
      <c r="A66" s="5">
        <v>1425</v>
      </c>
      <c r="B66" s="5" t="s">
        <v>2429</v>
      </c>
      <c r="C66" s="5" t="s">
        <v>723</v>
      </c>
      <c r="D66" s="5" t="s">
        <v>362</v>
      </c>
      <c r="E66" s="5" t="s">
        <v>2430</v>
      </c>
      <c r="F66" s="5" t="s">
        <v>4211</v>
      </c>
      <c r="G66" s="5" t="s">
        <v>2495</v>
      </c>
      <c r="H66" s="5" t="s">
        <v>2496</v>
      </c>
      <c r="I66" s="5" t="s">
        <v>2497</v>
      </c>
      <c r="J66" s="5">
        <v>8</v>
      </c>
      <c r="K66" s="5" t="s">
        <v>19</v>
      </c>
      <c r="L66" s="11">
        <v>205.49638271250004</v>
      </c>
      <c r="M66" s="5" t="s">
        <v>33</v>
      </c>
      <c r="N66" s="11">
        <f>Tabla11[[#This Row],[Price]]*Tabla11[[#This Row],[QTY Adjusted]]</f>
        <v>1643.9710617000003</v>
      </c>
      <c r="O66" s="11">
        <v>1643.9710617000003</v>
      </c>
      <c r="P66" s="10" t="s">
        <v>4225</v>
      </c>
      <c r="Q66" s="6">
        <v>0</v>
      </c>
    </row>
    <row r="67" spans="1:17" ht="40.200000000000003" customHeight="1" x14ac:dyDescent="0.3">
      <c r="A67" s="5">
        <v>1415</v>
      </c>
      <c r="B67" s="5" t="s">
        <v>2429</v>
      </c>
      <c r="C67" s="5" t="s">
        <v>723</v>
      </c>
      <c r="D67" s="5" t="s">
        <v>362</v>
      </c>
      <c r="E67" s="5" t="s">
        <v>2430</v>
      </c>
      <c r="F67" s="5" t="s">
        <v>4211</v>
      </c>
      <c r="G67" s="5" t="s">
        <v>2467</v>
      </c>
      <c r="H67" s="5" t="s">
        <v>2468</v>
      </c>
      <c r="I67" s="5" t="s">
        <v>2469</v>
      </c>
      <c r="J67" s="5">
        <v>134</v>
      </c>
      <c r="K67" s="5" t="s">
        <v>19</v>
      </c>
      <c r="L67" s="11">
        <v>11.771907592499998</v>
      </c>
      <c r="M67" s="5" t="s">
        <v>33</v>
      </c>
      <c r="N67" s="11">
        <f>Tabla11[[#This Row],[Price]]*Tabla11[[#This Row],[QTY Adjusted]]</f>
        <v>1577.4356173949998</v>
      </c>
      <c r="O67" s="11">
        <v>1577.4356173949998</v>
      </c>
      <c r="P67" s="10" t="s">
        <v>4225</v>
      </c>
      <c r="Q67" s="6">
        <v>0</v>
      </c>
    </row>
    <row r="68" spans="1:17" ht="40.200000000000003" customHeight="1" x14ac:dyDescent="0.3">
      <c r="A68" s="5">
        <v>1825</v>
      </c>
      <c r="B68" s="5" t="s">
        <v>2429</v>
      </c>
      <c r="C68" s="5" t="s">
        <v>723</v>
      </c>
      <c r="D68" s="5" t="s">
        <v>362</v>
      </c>
      <c r="E68" s="5" t="s">
        <v>3621</v>
      </c>
      <c r="F68" s="5" t="s">
        <v>4211</v>
      </c>
      <c r="G68" s="5" t="s">
        <v>3640</v>
      </c>
      <c r="H68" s="5" t="s">
        <v>3641</v>
      </c>
      <c r="I68" s="5" t="s">
        <v>3642</v>
      </c>
      <c r="J68" s="5">
        <v>12</v>
      </c>
      <c r="K68" s="5" t="s">
        <v>19</v>
      </c>
      <c r="L68" s="11">
        <v>126.37802256750001</v>
      </c>
      <c r="M68" s="5" t="s">
        <v>33</v>
      </c>
      <c r="N68" s="11">
        <f>Tabla11[[#This Row],[Price]]*Tabla11[[#This Row],[QTY Adjusted]]</f>
        <v>1516.5362708100001</v>
      </c>
      <c r="O68" s="11">
        <v>1516.5362708100001</v>
      </c>
      <c r="P68" s="10" t="s">
        <v>4225</v>
      </c>
      <c r="Q68" s="6">
        <v>0</v>
      </c>
    </row>
    <row r="69" spans="1:17" ht="40.200000000000003" customHeight="1" x14ac:dyDescent="0.3">
      <c r="A69" s="5">
        <v>1718</v>
      </c>
      <c r="B69" s="5" t="s">
        <v>2429</v>
      </c>
      <c r="C69" s="5" t="s">
        <v>723</v>
      </c>
      <c r="D69" s="5" t="s">
        <v>362</v>
      </c>
      <c r="E69" s="5" t="s">
        <v>3325</v>
      </c>
      <c r="F69" s="5" t="s">
        <v>4211</v>
      </c>
      <c r="G69" s="5" t="s">
        <v>3341</v>
      </c>
      <c r="H69" s="5" t="s">
        <v>3342</v>
      </c>
      <c r="I69" s="5" t="s">
        <v>3343</v>
      </c>
      <c r="J69" s="5">
        <v>30</v>
      </c>
      <c r="K69" s="5" t="s">
        <v>19</v>
      </c>
      <c r="L69" s="11">
        <v>50.470927402499996</v>
      </c>
      <c r="M69" s="5" t="s">
        <v>33</v>
      </c>
      <c r="N69" s="11">
        <f>Tabla11[[#This Row],[Price]]*Tabla11[[#This Row],[QTY Adjusted]]</f>
        <v>1514.1278220749998</v>
      </c>
      <c r="O69" s="11">
        <v>1514.1278220749998</v>
      </c>
      <c r="P69" s="10" t="s">
        <v>4225</v>
      </c>
      <c r="Q69" s="6">
        <v>0</v>
      </c>
    </row>
    <row r="70" spans="1:17" ht="40.200000000000003" customHeight="1" x14ac:dyDescent="0.3">
      <c r="A70" s="5">
        <v>1731</v>
      </c>
      <c r="B70" s="5" t="s">
        <v>2429</v>
      </c>
      <c r="C70" s="5" t="s">
        <v>723</v>
      </c>
      <c r="D70" s="5" t="s">
        <v>362</v>
      </c>
      <c r="E70" s="5" t="s">
        <v>3325</v>
      </c>
      <c r="F70" s="5" t="s">
        <v>4211</v>
      </c>
      <c r="G70" s="5" t="s">
        <v>3380</v>
      </c>
      <c r="H70" s="5" t="s">
        <v>3381</v>
      </c>
      <c r="I70" s="5" t="s">
        <v>3382</v>
      </c>
      <c r="J70" s="5">
        <v>28</v>
      </c>
      <c r="K70" s="5" t="s">
        <v>19</v>
      </c>
      <c r="L70" s="11">
        <v>37.871627557499998</v>
      </c>
      <c r="M70" s="5" t="s">
        <v>33</v>
      </c>
      <c r="N70" s="11">
        <f>Tabla11[[#This Row],[Price]]*Tabla11[[#This Row],[QTY Adjusted]]</f>
        <v>1060.4055716099999</v>
      </c>
      <c r="O70" s="11">
        <v>1060.4055716099999</v>
      </c>
      <c r="P70" s="10" t="s">
        <v>4225</v>
      </c>
      <c r="Q70" s="6">
        <v>0</v>
      </c>
    </row>
    <row r="71" spans="1:17" ht="40.200000000000003" customHeight="1" x14ac:dyDescent="0.3">
      <c r="A71" s="5">
        <v>1710</v>
      </c>
      <c r="B71" s="5" t="s">
        <v>2429</v>
      </c>
      <c r="C71" s="5" t="s">
        <v>3045</v>
      </c>
      <c r="D71" s="5" t="s">
        <v>362</v>
      </c>
      <c r="E71" s="5" t="s">
        <v>3282</v>
      </c>
      <c r="F71" s="5" t="s">
        <v>4211</v>
      </c>
      <c r="G71" s="5">
        <v>79002</v>
      </c>
      <c r="H71" s="5" t="s">
        <v>3319</v>
      </c>
      <c r="I71" s="5" t="s">
        <v>3320</v>
      </c>
      <c r="J71" s="5">
        <v>1</v>
      </c>
      <c r="K71" s="5" t="s">
        <v>19</v>
      </c>
      <c r="L71" s="11">
        <v>1454.1141176470587</v>
      </c>
      <c r="M71" s="5" t="s">
        <v>33</v>
      </c>
      <c r="N71" s="11">
        <f>Tabla11[[#This Row],[Price]]*Tabla11[[#This Row],[QTY Adjusted]]</f>
        <v>1454.1141176470587</v>
      </c>
      <c r="O71" s="11">
        <v>1454.1141176470587</v>
      </c>
      <c r="P71" s="10" t="s">
        <v>4225</v>
      </c>
      <c r="Q71" s="6">
        <v>0</v>
      </c>
    </row>
    <row r="72" spans="1:17" ht="40.200000000000003" customHeight="1" x14ac:dyDescent="0.3">
      <c r="A72" s="5">
        <v>1811</v>
      </c>
      <c r="B72" s="5" t="s">
        <v>2429</v>
      </c>
      <c r="C72" s="5" t="s">
        <v>723</v>
      </c>
      <c r="D72" s="5" t="s">
        <v>362</v>
      </c>
      <c r="E72" s="5" t="s">
        <v>3520</v>
      </c>
      <c r="F72" s="5" t="s">
        <v>4211</v>
      </c>
      <c r="G72" s="5" t="s">
        <v>3596</v>
      </c>
      <c r="H72" s="5" t="s">
        <v>3597</v>
      </c>
      <c r="I72" s="5" t="s">
        <v>3598</v>
      </c>
      <c r="J72" s="5">
        <v>18</v>
      </c>
      <c r="K72" s="5" t="s">
        <v>19</v>
      </c>
      <c r="L72" s="11">
        <v>79.863832372499999</v>
      </c>
      <c r="M72" s="5" t="s">
        <v>33</v>
      </c>
      <c r="N72" s="11">
        <f>Tabla11[[#This Row],[Price]]*Tabla11[[#This Row],[QTY Adjusted]]</f>
        <v>1437.5489827050001</v>
      </c>
      <c r="O72" s="11">
        <v>1437.5489827050001</v>
      </c>
      <c r="P72" s="10" t="s">
        <v>4225</v>
      </c>
      <c r="Q72" s="6">
        <v>0</v>
      </c>
    </row>
    <row r="73" spans="1:17" ht="40.200000000000003" customHeight="1" x14ac:dyDescent="0.3">
      <c r="A73" s="5">
        <v>1790</v>
      </c>
      <c r="B73" s="5" t="s">
        <v>2429</v>
      </c>
      <c r="C73" s="5" t="s">
        <v>723</v>
      </c>
      <c r="D73" s="5" t="s">
        <v>362</v>
      </c>
      <c r="E73" s="5" t="s">
        <v>3520</v>
      </c>
      <c r="F73" s="5" t="s">
        <v>4211</v>
      </c>
      <c r="G73" s="5" t="s">
        <v>3533</v>
      </c>
      <c r="H73" s="5" t="s">
        <v>3534</v>
      </c>
      <c r="I73" s="5" t="s">
        <v>3535</v>
      </c>
      <c r="J73" s="5">
        <v>108</v>
      </c>
      <c r="K73" s="5" t="s">
        <v>19</v>
      </c>
      <c r="L73" s="11">
        <v>13.254660045000001</v>
      </c>
      <c r="M73" s="5" t="s">
        <v>33</v>
      </c>
      <c r="N73" s="11">
        <f>Tabla11[[#This Row],[Price]]*Tabla11[[#This Row],[QTY Adjusted]]</f>
        <v>1431.5032848600001</v>
      </c>
      <c r="O73" s="11">
        <v>1431.5032848600001</v>
      </c>
      <c r="P73" s="10" t="s">
        <v>4225</v>
      </c>
      <c r="Q73" s="6">
        <v>0</v>
      </c>
    </row>
    <row r="74" spans="1:17" ht="40.200000000000003" customHeight="1" x14ac:dyDescent="0.3">
      <c r="A74" s="5">
        <v>1661</v>
      </c>
      <c r="B74" s="5" t="s">
        <v>2429</v>
      </c>
      <c r="C74" s="5" t="s">
        <v>3187</v>
      </c>
      <c r="D74" s="5" t="s">
        <v>178</v>
      </c>
      <c r="E74" s="5" t="s">
        <v>3107</v>
      </c>
      <c r="F74" s="5" t="s">
        <v>4211</v>
      </c>
      <c r="G74" s="5" t="s">
        <v>3188</v>
      </c>
      <c r="H74" s="5" t="s">
        <v>3189</v>
      </c>
      <c r="I74" s="5" t="s">
        <v>3190</v>
      </c>
      <c r="J74" s="5">
        <v>1</v>
      </c>
      <c r="K74" s="5" t="s">
        <v>19</v>
      </c>
      <c r="L74" s="11">
        <v>1411.9514199999999</v>
      </c>
      <c r="M74" s="5" t="s">
        <v>33</v>
      </c>
      <c r="N74" s="11">
        <f>Tabla11[[#This Row],[Price]]*Tabla11[[#This Row],[QTY Adjusted]]</f>
        <v>1411.9514199999999</v>
      </c>
      <c r="O74" s="11">
        <v>1411.9514199999999</v>
      </c>
      <c r="P74" s="10" t="s">
        <v>4232</v>
      </c>
      <c r="Q74" s="6">
        <v>0</v>
      </c>
    </row>
    <row r="75" spans="1:17" ht="40.200000000000003" customHeight="1" x14ac:dyDescent="0.3">
      <c r="A75" s="5">
        <v>1771</v>
      </c>
      <c r="B75" s="5" t="s">
        <v>2429</v>
      </c>
      <c r="C75" s="5" t="s">
        <v>723</v>
      </c>
      <c r="D75" s="5" t="s">
        <v>362</v>
      </c>
      <c r="E75" s="5" t="s">
        <v>3478</v>
      </c>
      <c r="F75" s="5" t="s">
        <v>4211</v>
      </c>
      <c r="G75" s="5" t="s">
        <v>3493</v>
      </c>
      <c r="H75" s="5" t="s">
        <v>3494</v>
      </c>
      <c r="I75" s="5" t="s">
        <v>3494</v>
      </c>
      <c r="J75" s="5">
        <v>25</v>
      </c>
      <c r="K75" s="5" t="s">
        <v>19</v>
      </c>
      <c r="L75" s="11">
        <v>56.14798513500002</v>
      </c>
      <c r="M75" s="5" t="s">
        <v>33</v>
      </c>
      <c r="N75" s="11">
        <f>Tabla11[[#This Row],[Price]]*Tabla11[[#This Row],[QTY Adjusted]]</f>
        <v>1403.6996283750004</v>
      </c>
      <c r="O75" s="11">
        <v>1403.6996283750004</v>
      </c>
      <c r="P75" s="10" t="s">
        <v>4225</v>
      </c>
      <c r="Q75" s="6">
        <v>0</v>
      </c>
    </row>
    <row r="76" spans="1:17" ht="40.200000000000003" customHeight="1" x14ac:dyDescent="0.3">
      <c r="A76" s="5">
        <v>1786</v>
      </c>
      <c r="B76" s="5" t="s">
        <v>2429</v>
      </c>
      <c r="C76" s="5" t="s">
        <v>723</v>
      </c>
      <c r="D76" s="5" t="s">
        <v>362</v>
      </c>
      <c r="E76" s="5" t="s">
        <v>3520</v>
      </c>
      <c r="F76" s="5" t="s">
        <v>4211</v>
      </c>
      <c r="G76" s="5" t="s">
        <v>3521</v>
      </c>
      <c r="H76" s="5" t="s">
        <v>3522</v>
      </c>
      <c r="I76" s="5" t="s">
        <v>3523</v>
      </c>
      <c r="J76" s="5">
        <v>96</v>
      </c>
      <c r="K76" s="5" t="s">
        <v>19</v>
      </c>
      <c r="L76" s="11">
        <v>14.409732397500001</v>
      </c>
      <c r="M76" s="5" t="s">
        <v>33</v>
      </c>
      <c r="N76" s="11">
        <f>Tabla11[[#This Row],[Price]]*Tabla11[[#This Row],[QTY Adjusted]]</f>
        <v>1383.3343101600001</v>
      </c>
      <c r="O76" s="11">
        <v>1383.3343101600001</v>
      </c>
      <c r="P76" s="10" t="s">
        <v>4225</v>
      </c>
      <c r="Q76" s="6">
        <v>0</v>
      </c>
    </row>
    <row r="77" spans="1:17" ht="40.200000000000003" customHeight="1" x14ac:dyDescent="0.3">
      <c r="A77" s="5">
        <v>1688</v>
      </c>
      <c r="B77" s="5" t="s">
        <v>2429</v>
      </c>
      <c r="C77" s="5" t="s">
        <v>723</v>
      </c>
      <c r="D77" s="5" t="s">
        <v>362</v>
      </c>
      <c r="E77" s="5" t="s">
        <v>3245</v>
      </c>
      <c r="F77" s="5" t="s">
        <v>4211</v>
      </c>
      <c r="G77" s="5" t="s">
        <v>3256</v>
      </c>
      <c r="H77" s="5" t="s">
        <v>3257</v>
      </c>
      <c r="I77" s="5" t="s">
        <v>3255</v>
      </c>
      <c r="J77" s="5">
        <v>6</v>
      </c>
      <c r="K77" s="5" t="s">
        <v>19</v>
      </c>
      <c r="L77" s="11">
        <v>153.0511827075</v>
      </c>
      <c r="M77" s="5" t="s">
        <v>33</v>
      </c>
      <c r="N77" s="11">
        <f>Tabla11[[#This Row],[Price]]*Tabla11[[#This Row],[QTY Adjusted]]</f>
        <v>918.30709624500003</v>
      </c>
      <c r="O77" s="11">
        <v>918.30709624500003</v>
      </c>
      <c r="P77" s="10" t="s">
        <v>4225</v>
      </c>
      <c r="Q77" s="6">
        <v>0</v>
      </c>
    </row>
    <row r="78" spans="1:17" ht="40.200000000000003" customHeight="1" x14ac:dyDescent="0.3">
      <c r="A78" s="5">
        <v>1845</v>
      </c>
      <c r="B78" s="5" t="s">
        <v>2429</v>
      </c>
      <c r="C78" s="5" t="s">
        <v>3694</v>
      </c>
      <c r="D78" s="5" t="s">
        <v>362</v>
      </c>
      <c r="E78" s="5" t="s">
        <v>3621</v>
      </c>
      <c r="F78" s="5" t="s">
        <v>4211</v>
      </c>
      <c r="G78" s="5" t="s">
        <v>3695</v>
      </c>
      <c r="H78" s="5" t="s">
        <v>3696</v>
      </c>
      <c r="I78" s="5" t="s">
        <v>3697</v>
      </c>
      <c r="J78" s="5">
        <v>12</v>
      </c>
      <c r="K78" s="5" t="s">
        <v>19</v>
      </c>
      <c r="L78" s="11">
        <v>111.48648648648648</v>
      </c>
      <c r="M78" s="5" t="s">
        <v>33</v>
      </c>
      <c r="N78" s="11">
        <f>Tabla11[[#This Row],[Price]]*Tabla11[[#This Row],[QTY Adjusted]]</f>
        <v>1337.8378378378379</v>
      </c>
      <c r="O78" s="11">
        <v>1337.8378378378379</v>
      </c>
      <c r="P78" s="10" t="s">
        <v>4225</v>
      </c>
      <c r="Q78" s="6">
        <v>0</v>
      </c>
    </row>
    <row r="79" spans="1:17" ht="40.200000000000003" customHeight="1" x14ac:dyDescent="0.3">
      <c r="A79" s="5">
        <v>1863</v>
      </c>
      <c r="B79" s="5" t="s">
        <v>2429</v>
      </c>
      <c r="C79" s="5" t="s">
        <v>723</v>
      </c>
      <c r="D79" s="5" t="s">
        <v>362</v>
      </c>
      <c r="E79" s="5" t="s">
        <v>3723</v>
      </c>
      <c r="F79" s="5" t="s">
        <v>4211</v>
      </c>
      <c r="G79" s="5" t="s">
        <v>3746</v>
      </c>
      <c r="H79" s="5" t="s">
        <v>3747</v>
      </c>
      <c r="I79" s="5" t="s">
        <v>3748</v>
      </c>
      <c r="J79" s="5">
        <v>4</v>
      </c>
      <c r="K79" s="5" t="s">
        <v>19</v>
      </c>
      <c r="L79" s="11">
        <v>221.13491548499999</v>
      </c>
      <c r="M79" s="5" t="s">
        <v>33</v>
      </c>
      <c r="N79" s="11">
        <f>Tabla11[[#This Row],[Price]]*Tabla11[[#This Row],[QTY Adjusted]]</f>
        <v>884.53966193999997</v>
      </c>
      <c r="O79" s="11">
        <v>884.53966193999997</v>
      </c>
      <c r="P79" s="10" t="s">
        <v>4225</v>
      </c>
      <c r="Q79" s="6">
        <v>0</v>
      </c>
    </row>
    <row r="80" spans="1:17" ht="40.200000000000003" customHeight="1" x14ac:dyDescent="0.3">
      <c r="A80" s="5">
        <v>1835</v>
      </c>
      <c r="B80" s="5" t="s">
        <v>2429</v>
      </c>
      <c r="C80" s="5" t="s">
        <v>723</v>
      </c>
      <c r="D80" s="5" t="s">
        <v>362</v>
      </c>
      <c r="E80" s="5" t="s">
        <v>3621</v>
      </c>
      <c r="F80" s="5" t="s">
        <v>4211</v>
      </c>
      <c r="G80" s="5" t="s">
        <v>3667</v>
      </c>
      <c r="H80" s="5" t="s">
        <v>3668</v>
      </c>
      <c r="I80" s="5" t="s">
        <v>3669</v>
      </c>
      <c r="J80" s="5">
        <v>12</v>
      </c>
      <c r="K80" s="5" t="s">
        <v>19</v>
      </c>
      <c r="L80" s="11">
        <v>110.40361769250002</v>
      </c>
      <c r="M80" s="5" t="s">
        <v>33</v>
      </c>
      <c r="N80" s="11">
        <f>Tabla11[[#This Row],[Price]]*Tabla11[[#This Row],[QTY Adjusted]]</f>
        <v>1324.8434123100003</v>
      </c>
      <c r="O80" s="11">
        <v>1324.8434123100003</v>
      </c>
      <c r="P80" s="10" t="s">
        <v>4225</v>
      </c>
      <c r="Q80" s="6">
        <v>0</v>
      </c>
    </row>
    <row r="81" spans="1:17" ht="40.200000000000003" customHeight="1" x14ac:dyDescent="0.3">
      <c r="A81" s="5">
        <v>1805</v>
      </c>
      <c r="B81" s="5" t="s">
        <v>2429</v>
      </c>
      <c r="C81" s="5" t="s">
        <v>723</v>
      </c>
      <c r="D81" s="5" t="s">
        <v>362</v>
      </c>
      <c r="E81" s="5" t="s">
        <v>3520</v>
      </c>
      <c r="F81" s="5" t="s">
        <v>4211</v>
      </c>
      <c r="G81" s="5" t="s">
        <v>3578</v>
      </c>
      <c r="H81" s="5" t="s">
        <v>3579</v>
      </c>
      <c r="I81" s="5" t="s">
        <v>3580</v>
      </c>
      <c r="J81" s="5">
        <v>96</v>
      </c>
      <c r="K81" s="5" t="s">
        <v>19</v>
      </c>
      <c r="L81" s="11">
        <v>13.746180195000001</v>
      </c>
      <c r="M81" s="5" t="s">
        <v>33</v>
      </c>
      <c r="N81" s="11">
        <f>Tabla11[[#This Row],[Price]]*Tabla11[[#This Row],[QTY Adjusted]]</f>
        <v>1319.6332987200001</v>
      </c>
      <c r="O81" s="11">
        <v>1319.6332987200001</v>
      </c>
      <c r="P81" s="10" t="s">
        <v>4225</v>
      </c>
      <c r="Q81" s="6">
        <v>0</v>
      </c>
    </row>
    <row r="82" spans="1:17" ht="40.200000000000003" customHeight="1" x14ac:dyDescent="0.3">
      <c r="A82" s="5">
        <v>1864</v>
      </c>
      <c r="B82" s="5" t="s">
        <v>2429</v>
      </c>
      <c r="C82" s="5" t="s">
        <v>723</v>
      </c>
      <c r="D82" s="5" t="s">
        <v>362</v>
      </c>
      <c r="E82" s="5" t="s">
        <v>3723</v>
      </c>
      <c r="F82" s="5" t="s">
        <v>4211</v>
      </c>
      <c r="G82" s="5" t="s">
        <v>3749</v>
      </c>
      <c r="H82" s="5" t="s">
        <v>3750</v>
      </c>
      <c r="I82" s="5" t="s">
        <v>3751</v>
      </c>
      <c r="J82" s="5">
        <v>8</v>
      </c>
      <c r="K82" s="5" t="s">
        <v>19</v>
      </c>
      <c r="L82" s="11">
        <v>108.92086524</v>
      </c>
      <c r="M82" s="5" t="s">
        <v>33</v>
      </c>
      <c r="N82" s="11">
        <f>Tabla11[[#This Row],[Price]]*Tabla11[[#This Row],[QTY Adjusted]]</f>
        <v>871.36692191999998</v>
      </c>
      <c r="O82" s="11">
        <v>871.36692191999998</v>
      </c>
      <c r="P82" s="10" t="s">
        <v>4225</v>
      </c>
      <c r="Q82" s="6">
        <v>0</v>
      </c>
    </row>
    <row r="83" spans="1:17" ht="40.200000000000003" customHeight="1" x14ac:dyDescent="0.3">
      <c r="A83" s="5">
        <v>1813</v>
      </c>
      <c r="B83" s="5" t="s">
        <v>2429</v>
      </c>
      <c r="C83" s="5" t="s">
        <v>723</v>
      </c>
      <c r="D83" s="5" t="s">
        <v>362</v>
      </c>
      <c r="E83" s="5" t="s">
        <v>3520</v>
      </c>
      <c r="F83" s="5" t="s">
        <v>4211</v>
      </c>
      <c r="G83" s="5" t="s">
        <v>3602</v>
      </c>
      <c r="H83" s="5" t="s">
        <v>3603</v>
      </c>
      <c r="I83" s="5" t="s">
        <v>3604</v>
      </c>
      <c r="J83" s="5">
        <v>120</v>
      </c>
      <c r="K83" s="5" t="s">
        <v>19</v>
      </c>
      <c r="L83" s="11">
        <v>10.788867292500001</v>
      </c>
      <c r="M83" s="5" t="s">
        <v>33</v>
      </c>
      <c r="N83" s="11">
        <f>Tabla11[[#This Row],[Price]]*Tabla11[[#This Row],[QTY Adjusted]]</f>
        <v>1294.6640751</v>
      </c>
      <c r="O83" s="11">
        <v>1294.6640751</v>
      </c>
      <c r="P83" s="10" t="s">
        <v>4225</v>
      </c>
      <c r="Q83" s="6">
        <v>0</v>
      </c>
    </row>
    <row r="84" spans="1:17" ht="40.200000000000003" customHeight="1" x14ac:dyDescent="0.3">
      <c r="A84" s="5">
        <v>1685</v>
      </c>
      <c r="B84" s="5" t="s">
        <v>2429</v>
      </c>
      <c r="C84" s="5" t="s">
        <v>723</v>
      </c>
      <c r="D84" s="5" t="s">
        <v>362</v>
      </c>
      <c r="E84" s="5" t="s">
        <v>3245</v>
      </c>
      <c r="F84" s="5" t="s">
        <v>4211</v>
      </c>
      <c r="G84" s="5" t="s">
        <v>3249</v>
      </c>
      <c r="H84" s="5" t="s">
        <v>3250</v>
      </c>
      <c r="I84" s="5" t="s">
        <v>3248</v>
      </c>
      <c r="J84" s="5">
        <v>6</v>
      </c>
      <c r="K84" s="5" t="s">
        <v>19</v>
      </c>
      <c r="L84" s="11">
        <v>128.92573534499999</v>
      </c>
      <c r="M84" s="5" t="s">
        <v>33</v>
      </c>
      <c r="N84" s="11">
        <f>Tabla11[[#This Row],[Price]]*Tabla11[[#This Row],[QTY Adjusted]]</f>
        <v>773.5544120699999</v>
      </c>
      <c r="O84" s="11">
        <v>773.5544120699999</v>
      </c>
      <c r="P84" s="10" t="s">
        <v>4225</v>
      </c>
      <c r="Q84" s="6">
        <v>0</v>
      </c>
    </row>
    <row r="85" spans="1:17" ht="40.200000000000003" customHeight="1" x14ac:dyDescent="0.3">
      <c r="A85" s="5">
        <v>1749</v>
      </c>
      <c r="B85" s="5" t="s">
        <v>2429</v>
      </c>
      <c r="C85" s="5" t="s">
        <v>723</v>
      </c>
      <c r="D85" s="5" t="s">
        <v>362</v>
      </c>
      <c r="E85" s="5" t="s">
        <v>3402</v>
      </c>
      <c r="F85" s="5" t="s">
        <v>4211</v>
      </c>
      <c r="G85" s="5" t="s">
        <v>3433</v>
      </c>
      <c r="H85" s="5" t="s">
        <v>3434</v>
      </c>
      <c r="I85" s="5" t="s">
        <v>3435</v>
      </c>
      <c r="J85" s="5">
        <v>84</v>
      </c>
      <c r="K85" s="5" t="s">
        <v>19</v>
      </c>
      <c r="L85" s="11">
        <v>15.228932647500001</v>
      </c>
      <c r="M85" s="5" t="s">
        <v>33</v>
      </c>
      <c r="N85" s="11">
        <f>Tabla11[[#This Row],[Price]]*Tabla11[[#This Row],[QTY Adjusted]]</f>
        <v>1279.23034239</v>
      </c>
      <c r="O85" s="11">
        <v>1279.23034239</v>
      </c>
      <c r="P85" s="10" t="s">
        <v>4225</v>
      </c>
      <c r="Q85" s="6">
        <v>0</v>
      </c>
    </row>
    <row r="86" spans="1:17" ht="40.200000000000003" customHeight="1" x14ac:dyDescent="0.3">
      <c r="A86" s="5">
        <v>1714</v>
      </c>
      <c r="B86" s="5" t="s">
        <v>2429</v>
      </c>
      <c r="C86" s="5" t="s">
        <v>723</v>
      </c>
      <c r="D86" s="5" t="s">
        <v>362</v>
      </c>
      <c r="E86" s="5" t="s">
        <v>3325</v>
      </c>
      <c r="F86" s="5" t="s">
        <v>4211</v>
      </c>
      <c r="G86" s="5" t="s">
        <v>3329</v>
      </c>
      <c r="H86" s="5" t="s">
        <v>3330</v>
      </c>
      <c r="I86" s="5" t="s">
        <v>3331</v>
      </c>
      <c r="J86" s="5">
        <v>30</v>
      </c>
      <c r="K86" s="5" t="s">
        <v>19</v>
      </c>
      <c r="L86" s="11">
        <v>33.587210249999998</v>
      </c>
      <c r="M86" s="5" t="s">
        <v>33</v>
      </c>
      <c r="N86" s="11">
        <f>Tabla11[[#This Row],[Price]]*Tabla11[[#This Row],[QTY Adjusted]]</f>
        <v>1007.6163074999999</v>
      </c>
      <c r="O86" s="11">
        <v>1007.6163074999999</v>
      </c>
      <c r="P86" s="10" t="s">
        <v>4225</v>
      </c>
      <c r="Q86" s="6">
        <v>0</v>
      </c>
    </row>
    <row r="87" spans="1:17" ht="40.200000000000003" customHeight="1" x14ac:dyDescent="0.3">
      <c r="A87" s="5">
        <v>1615</v>
      </c>
      <c r="B87" s="5" t="s">
        <v>2429</v>
      </c>
      <c r="C87" s="5" t="s">
        <v>723</v>
      </c>
      <c r="D87" s="5" t="s">
        <v>362</v>
      </c>
      <c r="E87" s="5" t="s">
        <v>2999</v>
      </c>
      <c r="F87" s="5" t="s">
        <v>4211</v>
      </c>
      <c r="G87" s="5" t="s">
        <v>3054</v>
      </c>
      <c r="H87" s="5" t="s">
        <v>3055</v>
      </c>
      <c r="I87" s="5" t="s">
        <v>3056</v>
      </c>
      <c r="J87" s="5">
        <v>6</v>
      </c>
      <c r="K87" s="5" t="s">
        <v>19</v>
      </c>
      <c r="L87" s="11">
        <v>211.67315259750001</v>
      </c>
      <c r="M87" s="5" t="s">
        <v>33</v>
      </c>
      <c r="N87" s="11">
        <f>Tabla11[[#This Row],[Price]]*Tabla11[[#This Row],[QTY Adjusted]]</f>
        <v>1270.038915585</v>
      </c>
      <c r="O87" s="11">
        <v>1270.038915585</v>
      </c>
      <c r="P87" s="10" t="s">
        <v>4225</v>
      </c>
      <c r="Q87" s="6">
        <v>0</v>
      </c>
    </row>
    <row r="88" spans="1:17" ht="40.200000000000003" customHeight="1" x14ac:dyDescent="0.3">
      <c r="A88" s="5">
        <v>1717</v>
      </c>
      <c r="B88" s="5" t="s">
        <v>2429</v>
      </c>
      <c r="C88" s="5" t="s">
        <v>723</v>
      </c>
      <c r="D88" s="5" t="s">
        <v>362</v>
      </c>
      <c r="E88" s="5" t="s">
        <v>3325</v>
      </c>
      <c r="F88" s="5" t="s">
        <v>4211</v>
      </c>
      <c r="G88" s="5" t="s">
        <v>3338</v>
      </c>
      <c r="H88" s="5" t="s">
        <v>3339</v>
      </c>
      <c r="I88" s="5" t="s">
        <v>3340</v>
      </c>
      <c r="J88" s="5">
        <v>30</v>
      </c>
      <c r="K88" s="5" t="s">
        <v>19</v>
      </c>
      <c r="L88" s="11">
        <v>42.319884914999989</v>
      </c>
      <c r="M88" s="5" t="s">
        <v>33</v>
      </c>
      <c r="N88" s="11">
        <f>Tabla11[[#This Row],[Price]]*Tabla11[[#This Row],[QTY Adjusted]]</f>
        <v>1269.5965474499997</v>
      </c>
      <c r="O88" s="11">
        <v>1269.5965474499997</v>
      </c>
      <c r="P88" s="10" t="s">
        <v>4225</v>
      </c>
      <c r="Q88" s="6">
        <v>0</v>
      </c>
    </row>
    <row r="89" spans="1:17" ht="40.200000000000003" customHeight="1" x14ac:dyDescent="0.3">
      <c r="A89" s="5">
        <v>1686</v>
      </c>
      <c r="B89" s="5" t="s">
        <v>2429</v>
      </c>
      <c r="C89" s="5" t="s">
        <v>723</v>
      </c>
      <c r="D89" s="5" t="s">
        <v>362</v>
      </c>
      <c r="E89" s="5" t="s">
        <v>3245</v>
      </c>
      <c r="F89" s="5" t="s">
        <v>4211</v>
      </c>
      <c r="G89" s="5" t="s">
        <v>3251</v>
      </c>
      <c r="H89" s="5" t="s">
        <v>3252</v>
      </c>
      <c r="I89" s="5" t="s">
        <v>3248</v>
      </c>
      <c r="J89" s="5">
        <v>7</v>
      </c>
      <c r="K89" s="5" t="s">
        <v>19</v>
      </c>
      <c r="L89" s="11">
        <v>179.72434284749997</v>
      </c>
      <c r="M89" s="5" t="s">
        <v>33</v>
      </c>
      <c r="N89" s="11">
        <f>Tabla11[[#This Row],[Price]]*Tabla11[[#This Row],[QTY Adjusted]]</f>
        <v>1258.0703999324999</v>
      </c>
      <c r="O89" s="11">
        <v>1258.0703999324999</v>
      </c>
      <c r="P89" s="10" t="s">
        <v>4225</v>
      </c>
      <c r="Q89" s="6">
        <v>0</v>
      </c>
    </row>
    <row r="90" spans="1:17" ht="40.200000000000003" customHeight="1" x14ac:dyDescent="0.3">
      <c r="A90" s="5">
        <v>1830</v>
      </c>
      <c r="B90" s="5" t="s">
        <v>2429</v>
      </c>
      <c r="C90" s="5" t="s">
        <v>723</v>
      </c>
      <c r="D90" s="5" t="s">
        <v>362</v>
      </c>
      <c r="E90" s="5" t="s">
        <v>3621</v>
      </c>
      <c r="F90" s="5" t="s">
        <v>4211</v>
      </c>
      <c r="G90" s="5" t="s">
        <v>3655</v>
      </c>
      <c r="H90" s="5" t="s">
        <v>3656</v>
      </c>
      <c r="I90" s="5" t="s">
        <v>3657</v>
      </c>
      <c r="J90" s="5">
        <v>8</v>
      </c>
      <c r="K90" s="5" t="s">
        <v>19</v>
      </c>
      <c r="L90" s="11">
        <v>152.80542263249998</v>
      </c>
      <c r="M90" s="5" t="s">
        <v>33</v>
      </c>
      <c r="N90" s="11">
        <f>Tabla11[[#This Row],[Price]]*Tabla11[[#This Row],[QTY Adjusted]]</f>
        <v>1222.4433810599999</v>
      </c>
      <c r="O90" s="11">
        <v>1222.4433810599999</v>
      </c>
      <c r="P90" s="10" t="s">
        <v>4225</v>
      </c>
      <c r="Q90" s="6">
        <v>0</v>
      </c>
    </row>
    <row r="91" spans="1:17" ht="40.200000000000003" customHeight="1" x14ac:dyDescent="0.3">
      <c r="A91" s="5">
        <v>1720</v>
      </c>
      <c r="B91" s="5" t="s">
        <v>2429</v>
      </c>
      <c r="C91" s="5" t="s">
        <v>723</v>
      </c>
      <c r="D91" s="5" t="s">
        <v>362</v>
      </c>
      <c r="E91" s="5" t="s">
        <v>3325</v>
      </c>
      <c r="F91" s="5" t="s">
        <v>4211</v>
      </c>
      <c r="G91" s="5" t="s">
        <v>3347</v>
      </c>
      <c r="H91" s="5" t="s">
        <v>3348</v>
      </c>
      <c r="I91" s="5" t="s">
        <v>3349</v>
      </c>
      <c r="J91" s="5">
        <v>10</v>
      </c>
      <c r="K91" s="5" t="s">
        <v>19</v>
      </c>
      <c r="L91" s="11">
        <v>121.27440501000002</v>
      </c>
      <c r="M91" s="5" t="s">
        <v>33</v>
      </c>
      <c r="N91" s="11">
        <f>Tabla11[[#This Row],[Price]]*Tabla11[[#This Row],[QTY Adjusted]]</f>
        <v>1212.7440501000003</v>
      </c>
      <c r="O91" s="11">
        <v>1212.7440501000003</v>
      </c>
      <c r="P91" s="10" t="s">
        <v>4225</v>
      </c>
      <c r="Q91" s="6">
        <v>0</v>
      </c>
    </row>
    <row r="92" spans="1:17" ht="40.200000000000003" customHeight="1" x14ac:dyDescent="0.3">
      <c r="A92" s="5">
        <v>1704</v>
      </c>
      <c r="B92" s="5" t="s">
        <v>2429</v>
      </c>
      <c r="C92" s="5" t="s">
        <v>723</v>
      </c>
      <c r="D92" s="5" t="s">
        <v>362</v>
      </c>
      <c r="E92" s="5" t="s">
        <v>3282</v>
      </c>
      <c r="F92" s="5" t="s">
        <v>4211</v>
      </c>
      <c r="G92" s="5" t="s">
        <v>3301</v>
      </c>
      <c r="H92" s="5" t="s">
        <v>3302</v>
      </c>
      <c r="I92" s="5" t="s">
        <v>3303</v>
      </c>
      <c r="J92" s="5">
        <v>60</v>
      </c>
      <c r="K92" s="5" t="s">
        <v>19</v>
      </c>
      <c r="L92" s="11">
        <v>14.409732397500001</v>
      </c>
      <c r="M92" s="5" t="s">
        <v>33</v>
      </c>
      <c r="N92" s="11">
        <f>Tabla11[[#This Row],[Price]]*Tabla11[[#This Row],[QTY Adjusted]]</f>
        <v>864.58394385000008</v>
      </c>
      <c r="O92" s="11">
        <v>864.58394385000008</v>
      </c>
      <c r="P92" s="10" t="s">
        <v>4225</v>
      </c>
      <c r="Q92" s="6">
        <v>0</v>
      </c>
    </row>
    <row r="93" spans="1:17" ht="40.200000000000003" customHeight="1" x14ac:dyDescent="0.3">
      <c r="A93" s="5">
        <v>1416</v>
      </c>
      <c r="B93" s="5" t="s">
        <v>2429</v>
      </c>
      <c r="C93" s="5" t="s">
        <v>723</v>
      </c>
      <c r="D93" s="5" t="s">
        <v>362</v>
      </c>
      <c r="E93" s="5" t="s">
        <v>2430</v>
      </c>
      <c r="F93" s="5" t="s">
        <v>4211</v>
      </c>
      <c r="G93" s="5" t="s">
        <v>2470</v>
      </c>
      <c r="H93" s="5" t="s">
        <v>2471</v>
      </c>
      <c r="I93" s="5" t="s">
        <v>2472</v>
      </c>
      <c r="J93" s="5">
        <v>116</v>
      </c>
      <c r="K93" s="5" t="s">
        <v>19</v>
      </c>
      <c r="L93" s="11">
        <v>10.28915514</v>
      </c>
      <c r="M93" s="5" t="s">
        <v>33</v>
      </c>
      <c r="N93" s="11">
        <f>Tabla11[[#This Row],[Price]]*Tabla11[[#This Row],[QTY Adjusted]]</f>
        <v>1193.5419962400001</v>
      </c>
      <c r="O93" s="11">
        <v>1193.5419962400001</v>
      </c>
      <c r="P93" s="10" t="s">
        <v>4225</v>
      </c>
      <c r="Q93" s="6">
        <v>0</v>
      </c>
    </row>
    <row r="94" spans="1:17" ht="40.200000000000003" customHeight="1" x14ac:dyDescent="0.3">
      <c r="A94" s="5">
        <v>1687</v>
      </c>
      <c r="B94" s="5" t="s">
        <v>2429</v>
      </c>
      <c r="C94" s="5" t="s">
        <v>723</v>
      </c>
      <c r="D94" s="5" t="s">
        <v>362</v>
      </c>
      <c r="E94" s="5" t="s">
        <v>3245</v>
      </c>
      <c r="F94" s="5" t="s">
        <v>4211</v>
      </c>
      <c r="G94" s="5" t="s">
        <v>3253</v>
      </c>
      <c r="H94" s="5" t="s">
        <v>3254</v>
      </c>
      <c r="I94" s="5" t="s">
        <v>3255</v>
      </c>
      <c r="J94" s="5">
        <v>6</v>
      </c>
      <c r="K94" s="5" t="s">
        <v>19</v>
      </c>
      <c r="L94" s="11">
        <v>128.18845511999996</v>
      </c>
      <c r="M94" s="5" t="s">
        <v>33</v>
      </c>
      <c r="N94" s="11">
        <f>Tabla11[[#This Row],[Price]]*Tabla11[[#This Row],[QTY Adjusted]]</f>
        <v>769.13073071999975</v>
      </c>
      <c r="O94" s="11">
        <v>769.13073071999975</v>
      </c>
      <c r="P94" s="10" t="s">
        <v>4225</v>
      </c>
      <c r="Q94" s="6">
        <v>0</v>
      </c>
    </row>
    <row r="95" spans="1:17" ht="40.200000000000003" customHeight="1" x14ac:dyDescent="0.3">
      <c r="A95" s="5">
        <v>1705</v>
      </c>
      <c r="B95" s="5" t="s">
        <v>2429</v>
      </c>
      <c r="C95" s="5" t="s">
        <v>723</v>
      </c>
      <c r="D95" s="5" t="s">
        <v>362</v>
      </c>
      <c r="E95" s="5" t="s">
        <v>3282</v>
      </c>
      <c r="F95" s="5" t="s">
        <v>4211</v>
      </c>
      <c r="G95" s="5" t="s">
        <v>3304</v>
      </c>
      <c r="H95" s="5" t="s">
        <v>3305</v>
      </c>
      <c r="I95" s="5" t="s">
        <v>3306</v>
      </c>
      <c r="J95" s="5">
        <v>48</v>
      </c>
      <c r="K95" s="5" t="s">
        <v>19</v>
      </c>
      <c r="L95" s="11">
        <v>19.103749829999998</v>
      </c>
      <c r="M95" s="5" t="s">
        <v>33</v>
      </c>
      <c r="N95" s="11">
        <f>Tabla11[[#This Row],[Price]]*Tabla11[[#This Row],[QTY Adjusted]]</f>
        <v>916.97999183999991</v>
      </c>
      <c r="O95" s="11">
        <v>916.97999183999991</v>
      </c>
      <c r="P95" s="10" t="s">
        <v>4225</v>
      </c>
      <c r="Q95" s="6">
        <v>0</v>
      </c>
    </row>
    <row r="96" spans="1:17" ht="40.200000000000003" customHeight="1" x14ac:dyDescent="0.3">
      <c r="A96" s="5">
        <v>1614</v>
      </c>
      <c r="B96" s="5" t="s">
        <v>2429</v>
      </c>
      <c r="C96" s="5" t="s">
        <v>723</v>
      </c>
      <c r="D96" s="5" t="s">
        <v>362</v>
      </c>
      <c r="E96" s="5" t="s">
        <v>2999</v>
      </c>
      <c r="F96" s="5" t="s">
        <v>4211</v>
      </c>
      <c r="G96" s="5" t="s">
        <v>3051</v>
      </c>
      <c r="H96" s="5" t="s">
        <v>3052</v>
      </c>
      <c r="I96" s="5" t="s">
        <v>3053</v>
      </c>
      <c r="J96" s="5">
        <v>6</v>
      </c>
      <c r="K96" s="5" t="s">
        <v>19</v>
      </c>
      <c r="L96" s="11">
        <v>190.67705018999996</v>
      </c>
      <c r="M96" s="5" t="s">
        <v>33</v>
      </c>
      <c r="N96" s="11">
        <f>Tabla11[[#This Row],[Price]]*Tabla11[[#This Row],[QTY Adjusted]]</f>
        <v>1144.0623011399998</v>
      </c>
      <c r="O96" s="11">
        <v>1144.0623011399998</v>
      </c>
      <c r="P96" s="10" t="s">
        <v>4225</v>
      </c>
      <c r="Q96" s="6">
        <v>0</v>
      </c>
    </row>
    <row r="97" spans="1:17" ht="40.200000000000003" customHeight="1" x14ac:dyDescent="0.3">
      <c r="A97" s="5">
        <v>1716</v>
      </c>
      <c r="B97" s="5" t="s">
        <v>2429</v>
      </c>
      <c r="C97" s="5" t="s">
        <v>723</v>
      </c>
      <c r="D97" s="5" t="s">
        <v>362</v>
      </c>
      <c r="E97" s="5" t="s">
        <v>3325</v>
      </c>
      <c r="F97" s="5" t="s">
        <v>4211</v>
      </c>
      <c r="G97" s="5" t="s">
        <v>3335</v>
      </c>
      <c r="H97" s="5" t="s">
        <v>3336</v>
      </c>
      <c r="I97" s="5" t="s">
        <v>3337</v>
      </c>
      <c r="J97" s="5">
        <v>28</v>
      </c>
      <c r="K97" s="5" t="s">
        <v>19</v>
      </c>
      <c r="L97" s="11">
        <v>38.035467607500003</v>
      </c>
      <c r="M97" s="5" t="s">
        <v>33</v>
      </c>
      <c r="N97" s="11">
        <f>Tabla11[[#This Row],[Price]]*Tabla11[[#This Row],[QTY Adjusted]]</f>
        <v>1064.9930930100002</v>
      </c>
      <c r="O97" s="11">
        <v>1064.9930930100002</v>
      </c>
      <c r="P97" s="10" t="s">
        <v>4225</v>
      </c>
      <c r="Q97" s="6">
        <v>0</v>
      </c>
    </row>
    <row r="98" spans="1:17" ht="40.200000000000003" customHeight="1" x14ac:dyDescent="0.3">
      <c r="A98" s="6">
        <v>1860</v>
      </c>
      <c r="B98" s="6" t="s">
        <v>2429</v>
      </c>
      <c r="C98" s="6" t="s">
        <v>723</v>
      </c>
      <c r="D98" s="6" t="s">
        <v>362</v>
      </c>
      <c r="E98" s="6" t="s">
        <v>3723</v>
      </c>
      <c r="F98" s="6" t="s">
        <v>4211</v>
      </c>
      <c r="G98" s="6" t="s">
        <v>3737</v>
      </c>
      <c r="H98" s="6" t="s">
        <v>3738</v>
      </c>
      <c r="I98" s="6" t="s">
        <v>3739</v>
      </c>
      <c r="J98" s="6">
        <v>6</v>
      </c>
      <c r="K98" s="6" t="s">
        <v>19</v>
      </c>
      <c r="L98" s="10">
        <v>186.6383929575</v>
      </c>
      <c r="M98" s="6" t="s">
        <v>33</v>
      </c>
      <c r="N98" s="10">
        <f>Tabla11[[#This Row],[Price]]*Tabla11[[#This Row],[QTY Adjusted]]</f>
        <v>1119.8303577450001</v>
      </c>
      <c r="O98" s="10">
        <v>1119.8303577450001</v>
      </c>
      <c r="P98" s="10" t="s">
        <v>4225</v>
      </c>
      <c r="Q98" s="6">
        <v>0</v>
      </c>
    </row>
    <row r="99" spans="1:17" ht="40.200000000000003" customHeight="1" x14ac:dyDescent="0.3">
      <c r="A99" s="6">
        <v>1713</v>
      </c>
      <c r="B99" s="6" t="s">
        <v>2429</v>
      </c>
      <c r="C99" s="6" t="s">
        <v>723</v>
      </c>
      <c r="D99" s="6" t="s">
        <v>362</v>
      </c>
      <c r="E99" s="6" t="s">
        <v>3325</v>
      </c>
      <c r="F99" s="6" t="s">
        <v>4211</v>
      </c>
      <c r="G99" s="6" t="s">
        <v>3326</v>
      </c>
      <c r="H99" s="6" t="s">
        <v>3327</v>
      </c>
      <c r="I99" s="6" t="s">
        <v>3328</v>
      </c>
      <c r="J99" s="6">
        <v>38</v>
      </c>
      <c r="K99" s="6" t="s">
        <v>19</v>
      </c>
      <c r="L99" s="10">
        <v>28.98330484500001</v>
      </c>
      <c r="M99" s="6" t="s">
        <v>33</v>
      </c>
      <c r="N99" s="10">
        <f>Tabla11[[#This Row],[Price]]*Tabla11[[#This Row],[QTY Adjusted]]</f>
        <v>1101.3655841100003</v>
      </c>
      <c r="O99" s="10">
        <v>1101.3655841100003</v>
      </c>
      <c r="P99" s="10" t="s">
        <v>4225</v>
      </c>
      <c r="Q99" s="6">
        <v>0</v>
      </c>
    </row>
    <row r="100" spans="1:17" ht="40.200000000000003" customHeight="1" x14ac:dyDescent="0.3">
      <c r="A100" s="6">
        <v>1817</v>
      </c>
      <c r="B100" s="6" t="s">
        <v>2429</v>
      </c>
      <c r="C100" s="6" t="s">
        <v>2330</v>
      </c>
      <c r="D100" s="6" t="s">
        <v>178</v>
      </c>
      <c r="E100" s="6" t="s">
        <v>3520</v>
      </c>
      <c r="F100" s="6" t="s">
        <v>4211</v>
      </c>
      <c r="G100" s="6" t="s">
        <v>3614</v>
      </c>
      <c r="H100" s="6" t="s">
        <v>3615</v>
      </c>
      <c r="I100" s="6" t="s">
        <v>3616</v>
      </c>
      <c r="J100" s="6">
        <v>4</v>
      </c>
      <c r="K100" s="6" t="s">
        <v>19</v>
      </c>
      <c r="L100" s="10">
        <v>274.43058823529412</v>
      </c>
      <c r="M100" s="6" t="s">
        <v>33</v>
      </c>
      <c r="N100" s="10">
        <f>Tabla11[[#This Row],[Price]]*Tabla11[[#This Row],[QTY Adjusted]]</f>
        <v>1097.7223529411765</v>
      </c>
      <c r="O100" s="10">
        <v>1097.7223529411765</v>
      </c>
      <c r="P100" s="10" t="s">
        <v>4230</v>
      </c>
      <c r="Q100" s="6">
        <v>0</v>
      </c>
    </row>
    <row r="101" spans="1:17" ht="40.200000000000003" customHeight="1" x14ac:dyDescent="0.3">
      <c r="A101" s="6">
        <v>1712</v>
      </c>
      <c r="B101" s="6" t="s">
        <v>2429</v>
      </c>
      <c r="C101" s="6" t="s">
        <v>1757</v>
      </c>
      <c r="D101" s="6" t="s">
        <v>178</v>
      </c>
      <c r="E101" s="6" t="s">
        <v>3282</v>
      </c>
      <c r="F101" s="6" t="s">
        <v>4211</v>
      </c>
      <c r="G101" s="6" t="s">
        <v>3323</v>
      </c>
      <c r="H101" s="6" t="s">
        <v>3324</v>
      </c>
      <c r="I101" s="6" t="s">
        <v>3324</v>
      </c>
      <c r="J101" s="6">
        <v>2</v>
      </c>
      <c r="K101" s="6" t="s">
        <v>19</v>
      </c>
      <c r="L101" s="10">
        <v>526.84</v>
      </c>
      <c r="M101" s="6" t="s">
        <v>33</v>
      </c>
      <c r="N101" s="10">
        <f>Tabla11[[#This Row],[Price]]*Tabla11[[#This Row],[QTY Adjusted]]</f>
        <v>1053.68</v>
      </c>
      <c r="O101" s="10">
        <v>1053.68</v>
      </c>
      <c r="P101" s="10" t="s">
        <v>4234</v>
      </c>
      <c r="Q101" s="6" t="s">
        <v>4245</v>
      </c>
    </row>
    <row r="102" spans="1:17" ht="40.200000000000003" customHeight="1" x14ac:dyDescent="0.3">
      <c r="A102" s="6">
        <v>1618</v>
      </c>
      <c r="B102" s="6" t="s">
        <v>2429</v>
      </c>
      <c r="C102" s="6" t="s">
        <v>3062</v>
      </c>
      <c r="D102" s="6" t="s">
        <v>362</v>
      </c>
      <c r="E102" s="6" t="s">
        <v>2999</v>
      </c>
      <c r="F102" s="6" t="s">
        <v>4211</v>
      </c>
      <c r="G102" s="6" t="s">
        <v>3063</v>
      </c>
      <c r="H102" s="6" t="s">
        <v>3064</v>
      </c>
      <c r="I102" s="6" t="s">
        <v>3065</v>
      </c>
      <c r="J102" s="6">
        <v>12</v>
      </c>
      <c r="K102" s="6" t="s">
        <v>19</v>
      </c>
      <c r="L102" s="10">
        <v>85.24</v>
      </c>
      <c r="M102" s="6" t="s">
        <v>33</v>
      </c>
      <c r="N102" s="10">
        <f>Tabla11[[#This Row],[Price]]*Tabla11[[#This Row],[QTY Adjusted]]</f>
        <v>1022.8799999999999</v>
      </c>
      <c r="O102" s="10">
        <v>1022.8799999999999</v>
      </c>
      <c r="P102" s="10" t="s">
        <v>4225</v>
      </c>
      <c r="Q102" s="6">
        <v>0</v>
      </c>
    </row>
    <row r="103" spans="1:17" ht="40.200000000000003" customHeight="1" x14ac:dyDescent="0.3">
      <c r="A103" s="6">
        <v>1868</v>
      </c>
      <c r="B103" s="6" t="s">
        <v>2429</v>
      </c>
      <c r="C103" s="6" t="s">
        <v>3761</v>
      </c>
      <c r="D103" s="6" t="s">
        <v>178</v>
      </c>
      <c r="E103" s="6" t="s">
        <v>3762</v>
      </c>
      <c r="F103" s="6" t="s">
        <v>4211</v>
      </c>
      <c r="G103" s="6" t="s">
        <v>3763</v>
      </c>
      <c r="H103" s="6" t="s">
        <v>3764</v>
      </c>
      <c r="I103" s="6" t="s">
        <v>3765</v>
      </c>
      <c r="J103" s="6">
        <v>50</v>
      </c>
      <c r="K103" s="6" t="s">
        <v>19</v>
      </c>
      <c r="L103" s="10">
        <v>20.343124999999997</v>
      </c>
      <c r="M103" s="6" t="s">
        <v>33</v>
      </c>
      <c r="N103" s="10">
        <f>Tabla11[[#This Row],[Price]]*Tabla11[[#This Row],[QTY Adjusted]]</f>
        <v>1017.1562499999999</v>
      </c>
      <c r="O103" s="10">
        <v>1017.1562499999999</v>
      </c>
      <c r="P103" s="10" t="s">
        <v>4218</v>
      </c>
      <c r="Q103" s="6" t="s">
        <v>4246</v>
      </c>
    </row>
    <row r="104" spans="1:17" ht="40.200000000000003" customHeight="1" x14ac:dyDescent="0.3">
      <c r="A104" s="6">
        <v>1684</v>
      </c>
      <c r="B104" s="6" t="s">
        <v>2429</v>
      </c>
      <c r="C104" s="6" t="s">
        <v>723</v>
      </c>
      <c r="D104" s="6" t="s">
        <v>362</v>
      </c>
      <c r="E104" s="6" t="s">
        <v>3245</v>
      </c>
      <c r="F104" s="6" t="s">
        <v>4211</v>
      </c>
      <c r="G104" s="6" t="s">
        <v>3246</v>
      </c>
      <c r="H104" s="6" t="s">
        <v>3247</v>
      </c>
      <c r="I104" s="6" t="s">
        <v>3248</v>
      </c>
      <c r="J104" s="6">
        <v>8</v>
      </c>
      <c r="K104" s="6" t="s">
        <v>19</v>
      </c>
      <c r="L104" s="10">
        <v>101.43337495499996</v>
      </c>
      <c r="M104" s="6" t="s">
        <v>33</v>
      </c>
      <c r="N104" s="10">
        <f>Tabla11[[#This Row],[Price]]*Tabla11[[#This Row],[QTY Adjusted]]</f>
        <v>811.4669996399997</v>
      </c>
      <c r="O104" s="10">
        <v>811.4669996399997</v>
      </c>
      <c r="P104" s="10" t="s">
        <v>4225</v>
      </c>
      <c r="Q104" s="6">
        <v>0</v>
      </c>
    </row>
    <row r="105" spans="1:17" ht="40.200000000000003" customHeight="1" x14ac:dyDescent="0.3">
      <c r="A105" s="6">
        <v>1833</v>
      </c>
      <c r="B105" s="6" t="s">
        <v>2429</v>
      </c>
      <c r="C105" s="6" t="s">
        <v>2075</v>
      </c>
      <c r="D105" s="6" t="s">
        <v>362</v>
      </c>
      <c r="E105" s="6" t="s">
        <v>3621</v>
      </c>
      <c r="F105" s="6" t="s">
        <v>4211</v>
      </c>
      <c r="G105" s="6" t="s">
        <v>3664</v>
      </c>
      <c r="H105" s="6" t="s">
        <v>3665</v>
      </c>
      <c r="I105" s="6" t="s">
        <v>3666</v>
      </c>
      <c r="J105" s="6">
        <v>12</v>
      </c>
      <c r="K105" s="6" t="s">
        <v>19</v>
      </c>
      <c r="L105" s="10">
        <v>80.91</v>
      </c>
      <c r="M105" s="6" t="s">
        <v>33</v>
      </c>
      <c r="N105" s="10">
        <f>Tabla11[[#This Row],[Price]]*Tabla11[[#This Row],[QTY Adjusted]]</f>
        <v>970.92</v>
      </c>
      <c r="O105" s="10">
        <v>970.92</v>
      </c>
      <c r="P105" s="10" t="s">
        <v>4225</v>
      </c>
      <c r="Q105" s="6">
        <v>0</v>
      </c>
    </row>
    <row r="106" spans="1:17" ht="40.200000000000003" customHeight="1" x14ac:dyDescent="0.3">
      <c r="A106" s="6">
        <v>1822</v>
      </c>
      <c r="B106" s="6" t="s">
        <v>2429</v>
      </c>
      <c r="C106" s="6" t="s">
        <v>2075</v>
      </c>
      <c r="D106" s="6" t="s">
        <v>362</v>
      </c>
      <c r="E106" s="6" t="s">
        <v>3621</v>
      </c>
      <c r="F106" s="6" t="s">
        <v>4211</v>
      </c>
      <c r="G106" s="6" t="s">
        <v>3630</v>
      </c>
      <c r="H106" s="6" t="s">
        <v>3631</v>
      </c>
      <c r="I106" s="6" t="s">
        <v>3632</v>
      </c>
      <c r="J106" s="6">
        <v>12</v>
      </c>
      <c r="K106" s="6" t="s">
        <v>19</v>
      </c>
      <c r="L106" s="10">
        <v>79.41</v>
      </c>
      <c r="M106" s="6" t="s">
        <v>33</v>
      </c>
      <c r="N106" s="10">
        <f>Tabla11[[#This Row],[Price]]*Tabla11[[#This Row],[QTY Adjusted]]</f>
        <v>952.92</v>
      </c>
      <c r="O106" s="10">
        <v>952.92</v>
      </c>
      <c r="P106" s="10" t="s">
        <v>4225</v>
      </c>
      <c r="Q106" s="6">
        <v>0</v>
      </c>
    </row>
    <row r="107" spans="1:17" ht="40.200000000000003" customHeight="1" x14ac:dyDescent="0.3">
      <c r="A107" s="6">
        <v>1632</v>
      </c>
      <c r="B107" s="6" t="s">
        <v>2429</v>
      </c>
      <c r="C107" s="6" t="s">
        <v>723</v>
      </c>
      <c r="D107" s="6" t="s">
        <v>362</v>
      </c>
      <c r="E107" s="6" t="s">
        <v>3107</v>
      </c>
      <c r="F107" s="6" t="s">
        <v>4211</v>
      </c>
      <c r="G107" s="6" t="s">
        <v>3108</v>
      </c>
      <c r="H107" s="6" t="s">
        <v>3109</v>
      </c>
      <c r="I107" s="6" t="s">
        <v>3110</v>
      </c>
      <c r="J107" s="6">
        <v>6</v>
      </c>
      <c r="K107" s="6" t="s">
        <v>19</v>
      </c>
      <c r="L107" s="10">
        <v>158.40056034</v>
      </c>
      <c r="M107" s="6" t="s">
        <v>33</v>
      </c>
      <c r="N107" s="10">
        <f>Tabla11[[#This Row],[Price]]*Tabla11[[#This Row],[QTY Adjusted]]</f>
        <v>950.40336204000005</v>
      </c>
      <c r="O107" s="10">
        <v>950.40336204000005</v>
      </c>
      <c r="P107" s="10" t="s">
        <v>4225</v>
      </c>
      <c r="Q107" s="6">
        <v>0</v>
      </c>
    </row>
    <row r="108" spans="1:17" ht="40.200000000000003" customHeight="1" x14ac:dyDescent="0.3">
      <c r="A108" s="6">
        <v>1789</v>
      </c>
      <c r="B108" s="6" t="s">
        <v>2429</v>
      </c>
      <c r="C108" s="6" t="s">
        <v>723</v>
      </c>
      <c r="D108" s="6" t="s">
        <v>362</v>
      </c>
      <c r="E108" s="6" t="s">
        <v>3520</v>
      </c>
      <c r="F108" s="6" t="s">
        <v>4211</v>
      </c>
      <c r="G108" s="6" t="s">
        <v>3530</v>
      </c>
      <c r="H108" s="6" t="s">
        <v>3531</v>
      </c>
      <c r="I108" s="6" t="s">
        <v>3532</v>
      </c>
      <c r="J108" s="6">
        <v>108</v>
      </c>
      <c r="K108" s="6" t="s">
        <v>19</v>
      </c>
      <c r="L108" s="10">
        <v>8.4787225875000019</v>
      </c>
      <c r="M108" s="6" t="s">
        <v>33</v>
      </c>
      <c r="N108" s="10">
        <f>Tabla11[[#This Row],[Price]]*Tabla11[[#This Row],[QTY Adjusted]]</f>
        <v>915.70203945000026</v>
      </c>
      <c r="O108" s="10">
        <v>915.70203945000026</v>
      </c>
      <c r="P108" s="10" t="s">
        <v>4225</v>
      </c>
      <c r="Q108" s="6">
        <v>0</v>
      </c>
    </row>
    <row r="109" spans="1:17" ht="40.200000000000003" customHeight="1" x14ac:dyDescent="0.3">
      <c r="A109" s="6">
        <v>1402</v>
      </c>
      <c r="B109" s="6" t="s">
        <v>2429</v>
      </c>
      <c r="C109" s="6" t="s">
        <v>723</v>
      </c>
      <c r="D109" s="6" t="s">
        <v>362</v>
      </c>
      <c r="E109" s="6" t="s">
        <v>2430</v>
      </c>
      <c r="F109" s="6" t="s">
        <v>4211</v>
      </c>
      <c r="G109" s="6" t="s">
        <v>2431</v>
      </c>
      <c r="H109" s="6" t="s">
        <v>2432</v>
      </c>
      <c r="I109" s="6" t="s">
        <v>2433</v>
      </c>
      <c r="J109" s="6">
        <v>118</v>
      </c>
      <c r="K109" s="6" t="s">
        <v>19</v>
      </c>
      <c r="L109" s="10">
        <v>7.7414423625</v>
      </c>
      <c r="M109" s="6" t="s">
        <v>33</v>
      </c>
      <c r="N109" s="10">
        <f>Tabla11[[#This Row],[Price]]*Tabla11[[#This Row],[QTY Adjusted]]</f>
        <v>913.49019877499995</v>
      </c>
      <c r="O109" s="10">
        <v>913.49019877499995</v>
      </c>
      <c r="P109" s="10" t="s">
        <v>4225</v>
      </c>
      <c r="Q109" s="6">
        <v>0</v>
      </c>
    </row>
    <row r="110" spans="1:17" ht="40.200000000000003" customHeight="1" x14ac:dyDescent="0.3">
      <c r="A110" s="6">
        <v>1640</v>
      </c>
      <c r="B110" s="6" t="s">
        <v>2429</v>
      </c>
      <c r="C110" s="6" t="s">
        <v>723</v>
      </c>
      <c r="D110" s="6" t="s">
        <v>362</v>
      </c>
      <c r="E110" s="6" t="s">
        <v>3107</v>
      </c>
      <c r="F110" s="6" t="s">
        <v>4211</v>
      </c>
      <c r="G110" s="6" t="s">
        <v>3131</v>
      </c>
      <c r="H110" s="6" t="s">
        <v>3132</v>
      </c>
      <c r="I110" s="6" t="s">
        <v>3133</v>
      </c>
      <c r="J110" s="6">
        <v>60</v>
      </c>
      <c r="K110" s="6" t="s">
        <v>19</v>
      </c>
      <c r="L110" s="10">
        <v>15.147012622500002</v>
      </c>
      <c r="M110" s="6" t="s">
        <v>33</v>
      </c>
      <c r="N110" s="10">
        <f>Tabla11[[#This Row],[Price]]*Tabla11[[#This Row],[QTY Adjusted]]</f>
        <v>908.82075735000012</v>
      </c>
      <c r="O110" s="10">
        <v>908.82075735000012</v>
      </c>
      <c r="P110" s="10" t="s">
        <v>4225</v>
      </c>
      <c r="Q110" s="6">
        <v>0</v>
      </c>
    </row>
    <row r="111" spans="1:17" ht="40.200000000000003" customHeight="1" x14ac:dyDescent="0.3">
      <c r="A111" s="6">
        <v>1770</v>
      </c>
      <c r="B111" s="6" t="s">
        <v>2429</v>
      </c>
      <c r="C111" s="6" t="s">
        <v>723</v>
      </c>
      <c r="D111" s="6" t="s">
        <v>362</v>
      </c>
      <c r="E111" s="6" t="s">
        <v>3478</v>
      </c>
      <c r="F111" s="6" t="s">
        <v>4211</v>
      </c>
      <c r="G111" s="6" t="s">
        <v>3491</v>
      </c>
      <c r="H111" s="6" t="s">
        <v>3492</v>
      </c>
      <c r="I111" s="6" t="s">
        <v>3492</v>
      </c>
      <c r="J111" s="6">
        <v>21</v>
      </c>
      <c r="K111" s="6" t="s">
        <v>19</v>
      </c>
      <c r="L111" s="10">
        <v>41.992204815000001</v>
      </c>
      <c r="M111" s="6" t="s">
        <v>33</v>
      </c>
      <c r="N111" s="10">
        <f>Tabla11[[#This Row],[Price]]*Tabla11[[#This Row],[QTY Adjusted]]</f>
        <v>881.83630111499997</v>
      </c>
      <c r="O111" s="10">
        <v>881.83630111499997</v>
      </c>
      <c r="P111" s="10" t="s">
        <v>4225</v>
      </c>
      <c r="Q111" s="6">
        <v>0</v>
      </c>
    </row>
    <row r="112" spans="1:17" ht="40.200000000000003" customHeight="1" x14ac:dyDescent="0.3">
      <c r="A112" s="6">
        <v>1812</v>
      </c>
      <c r="B112" s="6" t="s">
        <v>2429</v>
      </c>
      <c r="C112" s="6" t="s">
        <v>723</v>
      </c>
      <c r="D112" s="6" t="s">
        <v>362</v>
      </c>
      <c r="E112" s="6" t="s">
        <v>3520</v>
      </c>
      <c r="F112" s="6" t="s">
        <v>4211</v>
      </c>
      <c r="G112" s="6" t="s">
        <v>3599</v>
      </c>
      <c r="H112" s="6" t="s">
        <v>3600</v>
      </c>
      <c r="I112" s="6" t="s">
        <v>3601</v>
      </c>
      <c r="J112" s="6">
        <v>120</v>
      </c>
      <c r="K112" s="6" t="s">
        <v>19</v>
      </c>
      <c r="L112" s="10">
        <v>7.3236502350000015</v>
      </c>
      <c r="M112" s="6" t="s">
        <v>33</v>
      </c>
      <c r="N112" s="10">
        <f>Tabla11[[#This Row],[Price]]*Tabla11[[#This Row],[QTY Adjusted]]</f>
        <v>878.83802820000017</v>
      </c>
      <c r="O112" s="10">
        <v>878.83802820000017</v>
      </c>
      <c r="P112" s="10" t="s">
        <v>4225</v>
      </c>
      <c r="Q112" s="6">
        <v>0</v>
      </c>
    </row>
    <row r="113" spans="1:17" ht="40.200000000000003" customHeight="1" x14ac:dyDescent="0.3">
      <c r="A113" s="6">
        <v>1612</v>
      </c>
      <c r="B113" s="6" t="s">
        <v>2429</v>
      </c>
      <c r="C113" s="6" t="s">
        <v>3045</v>
      </c>
      <c r="D113" s="6" t="s">
        <v>362</v>
      </c>
      <c r="E113" s="6" t="s">
        <v>2999</v>
      </c>
      <c r="F113" s="6" t="s">
        <v>4211</v>
      </c>
      <c r="G113" s="6">
        <v>72170</v>
      </c>
      <c r="H113" s="6" t="s">
        <v>3046</v>
      </c>
      <c r="I113" s="6" t="s">
        <v>3047</v>
      </c>
      <c r="J113" s="6">
        <v>1</v>
      </c>
      <c r="K113" s="6" t="s">
        <v>19</v>
      </c>
      <c r="L113" s="10">
        <v>861.78124999999989</v>
      </c>
      <c r="M113" s="6" t="s">
        <v>33</v>
      </c>
      <c r="N113" s="10">
        <f>Tabla11[[#This Row],[Price]]*Tabla11[[#This Row],[QTY Adjusted]]</f>
        <v>861.78124999999989</v>
      </c>
      <c r="O113" s="10">
        <v>861.78124999999989</v>
      </c>
      <c r="P113" s="10" t="s">
        <v>4225</v>
      </c>
      <c r="Q113" s="6">
        <v>0</v>
      </c>
    </row>
    <row r="114" spans="1:17" ht="40.200000000000003" customHeight="1" x14ac:dyDescent="0.3">
      <c r="A114" s="6">
        <v>1747</v>
      </c>
      <c r="B114" s="6" t="s">
        <v>2429</v>
      </c>
      <c r="C114" s="6" t="s">
        <v>723</v>
      </c>
      <c r="D114" s="6" t="s">
        <v>362</v>
      </c>
      <c r="E114" s="6" t="s">
        <v>3402</v>
      </c>
      <c r="F114" s="6" t="s">
        <v>4211</v>
      </c>
      <c r="G114" s="6" t="s">
        <v>3427</v>
      </c>
      <c r="H114" s="6" t="s">
        <v>3428</v>
      </c>
      <c r="I114" s="6" t="s">
        <v>3429</v>
      </c>
      <c r="J114" s="6">
        <v>24</v>
      </c>
      <c r="K114" s="6" t="s">
        <v>19</v>
      </c>
      <c r="L114" s="10">
        <v>35.815434930000002</v>
      </c>
      <c r="M114" s="6" t="s">
        <v>33</v>
      </c>
      <c r="N114" s="10">
        <f>Tabla11[[#This Row],[Price]]*Tabla11[[#This Row],[QTY Adjusted]]</f>
        <v>859.57043831999999</v>
      </c>
      <c r="O114" s="10">
        <v>859.57043831999999</v>
      </c>
      <c r="P114" s="10" t="s">
        <v>4225</v>
      </c>
      <c r="Q114" s="6">
        <v>0</v>
      </c>
    </row>
    <row r="115" spans="1:17" ht="40.200000000000003" customHeight="1" x14ac:dyDescent="0.3">
      <c r="A115" s="6">
        <v>1616</v>
      </c>
      <c r="B115" s="6" t="s">
        <v>2429</v>
      </c>
      <c r="C115" s="6" t="s">
        <v>723</v>
      </c>
      <c r="D115" s="6" t="s">
        <v>362</v>
      </c>
      <c r="E115" s="6" t="s">
        <v>2999</v>
      </c>
      <c r="F115" s="6" t="s">
        <v>4211</v>
      </c>
      <c r="G115" s="6" t="s">
        <v>3057</v>
      </c>
      <c r="H115" s="6" t="s">
        <v>3058</v>
      </c>
      <c r="I115" s="6" t="s">
        <v>3059</v>
      </c>
      <c r="J115" s="6">
        <v>30</v>
      </c>
      <c r="K115" s="6" t="s">
        <v>19</v>
      </c>
      <c r="L115" s="10">
        <v>28.483592692500004</v>
      </c>
      <c r="M115" s="6" t="s">
        <v>33</v>
      </c>
      <c r="N115" s="10">
        <f>Tabla11[[#This Row],[Price]]*Tabla11[[#This Row],[QTY Adjusted]]</f>
        <v>854.50778077500013</v>
      </c>
      <c r="O115" s="10">
        <v>854.50778077500013</v>
      </c>
      <c r="P115" s="10" t="s">
        <v>4225</v>
      </c>
      <c r="Q115" s="6">
        <v>0</v>
      </c>
    </row>
    <row r="116" spans="1:17" ht="40.200000000000003" customHeight="1" x14ac:dyDescent="0.3">
      <c r="A116" s="6">
        <v>1683</v>
      </c>
      <c r="B116" s="6" t="s">
        <v>2429</v>
      </c>
      <c r="C116" s="6" t="s">
        <v>2075</v>
      </c>
      <c r="D116" s="6" t="s">
        <v>362</v>
      </c>
      <c r="E116" s="6" t="s">
        <v>3107</v>
      </c>
      <c r="F116" s="6" t="s">
        <v>4211</v>
      </c>
      <c r="G116" s="6" t="s">
        <v>3242</v>
      </c>
      <c r="H116" s="6" t="s">
        <v>3243</v>
      </c>
      <c r="I116" s="6" t="s">
        <v>3244</v>
      </c>
      <c r="J116" s="6">
        <v>2</v>
      </c>
      <c r="K116" s="6" t="s">
        <v>19</v>
      </c>
      <c r="L116" s="10">
        <v>407.58</v>
      </c>
      <c r="M116" s="6" t="s">
        <v>33</v>
      </c>
      <c r="N116" s="10">
        <f>Tabla11[[#This Row],[Price]]*Tabla11[[#This Row],[QTY Adjusted]]</f>
        <v>815.16</v>
      </c>
      <c r="O116" s="10">
        <v>815.16</v>
      </c>
      <c r="P116" s="10" t="s">
        <v>4225</v>
      </c>
      <c r="Q116" s="6">
        <v>0</v>
      </c>
    </row>
    <row r="117" spans="1:17" ht="40.200000000000003" customHeight="1" x14ac:dyDescent="0.3">
      <c r="A117" s="6">
        <v>1857</v>
      </c>
      <c r="B117" s="6" t="s">
        <v>2429</v>
      </c>
      <c r="C117" s="6" t="s">
        <v>723</v>
      </c>
      <c r="D117" s="6" t="s">
        <v>362</v>
      </c>
      <c r="E117" s="6" t="s">
        <v>3723</v>
      </c>
      <c r="F117" s="6" t="s">
        <v>4211</v>
      </c>
      <c r="G117" s="6" t="s">
        <v>3728</v>
      </c>
      <c r="H117" s="6" t="s">
        <v>3729</v>
      </c>
      <c r="I117" s="6" t="s">
        <v>3730</v>
      </c>
      <c r="J117" s="6">
        <v>2</v>
      </c>
      <c r="K117" s="6" t="s">
        <v>19</v>
      </c>
      <c r="L117" s="10">
        <v>400.28581815750005</v>
      </c>
      <c r="M117" s="6" t="s">
        <v>33</v>
      </c>
      <c r="N117" s="10">
        <f>Tabla11[[#This Row],[Price]]*Tabla11[[#This Row],[QTY Adjusted]]</f>
        <v>800.57163631500009</v>
      </c>
      <c r="O117" s="10">
        <v>800.57163631500009</v>
      </c>
      <c r="P117" s="10" t="s">
        <v>4225</v>
      </c>
      <c r="Q117" s="6">
        <v>0</v>
      </c>
    </row>
    <row r="118" spans="1:17" ht="40.200000000000003" customHeight="1" x14ac:dyDescent="0.3">
      <c r="A118" s="6">
        <v>1775</v>
      </c>
      <c r="B118" s="6" t="s">
        <v>2429</v>
      </c>
      <c r="C118" s="6" t="s">
        <v>361</v>
      </c>
      <c r="D118" s="6" t="s">
        <v>362</v>
      </c>
      <c r="E118" s="6" t="s">
        <v>3478</v>
      </c>
      <c r="F118" s="6" t="s">
        <v>4211</v>
      </c>
      <c r="G118" s="6" t="s">
        <v>3501</v>
      </c>
      <c r="H118" s="6" t="s">
        <v>3502</v>
      </c>
      <c r="I118" s="6" t="s">
        <v>3502</v>
      </c>
      <c r="J118" s="6">
        <v>18</v>
      </c>
      <c r="K118" s="6" t="s">
        <v>19</v>
      </c>
      <c r="L118" s="10">
        <v>42.731294117647053</v>
      </c>
      <c r="M118" s="6" t="s">
        <v>33</v>
      </c>
      <c r="N118" s="10">
        <f>Tabla11[[#This Row],[Price]]*Tabla11[[#This Row],[QTY Adjusted]]</f>
        <v>769.16329411764696</v>
      </c>
      <c r="O118" s="10">
        <v>769.16329411764696</v>
      </c>
      <c r="P118" s="10" t="s">
        <v>4225</v>
      </c>
      <c r="Q118" s="6">
        <v>0</v>
      </c>
    </row>
    <row r="119" spans="1:17" ht="40.200000000000003" customHeight="1" x14ac:dyDescent="0.3">
      <c r="A119" s="6">
        <v>1821</v>
      </c>
      <c r="B119" s="6" t="s">
        <v>2429</v>
      </c>
      <c r="C119" s="6" t="s">
        <v>2075</v>
      </c>
      <c r="D119" s="6" t="s">
        <v>362</v>
      </c>
      <c r="E119" s="6" t="s">
        <v>3621</v>
      </c>
      <c r="F119" s="6" t="s">
        <v>4211</v>
      </c>
      <c r="G119" s="6" t="s">
        <v>3627</v>
      </c>
      <c r="H119" s="6" t="s">
        <v>3628</v>
      </c>
      <c r="I119" s="6" t="s">
        <v>3629</v>
      </c>
      <c r="J119" s="6">
        <v>12</v>
      </c>
      <c r="K119" s="6" t="s">
        <v>19</v>
      </c>
      <c r="L119" s="10">
        <v>62.09</v>
      </c>
      <c r="M119" s="6" t="s">
        <v>33</v>
      </c>
      <c r="N119" s="10">
        <f>Tabla11[[#This Row],[Price]]*Tabla11[[#This Row],[QTY Adjusted]]</f>
        <v>745.08</v>
      </c>
      <c r="O119" s="10">
        <v>745.08</v>
      </c>
      <c r="P119" s="10" t="s">
        <v>4225</v>
      </c>
      <c r="Q119" s="6">
        <v>0</v>
      </c>
    </row>
    <row r="120" spans="1:17" ht="40.200000000000003" customHeight="1" x14ac:dyDescent="0.3">
      <c r="A120" s="6">
        <v>1753</v>
      </c>
      <c r="B120" s="6" t="s">
        <v>2429</v>
      </c>
      <c r="C120" s="6" t="s">
        <v>723</v>
      </c>
      <c r="D120" s="6" t="s">
        <v>362</v>
      </c>
      <c r="E120" s="6" t="s">
        <v>3402</v>
      </c>
      <c r="F120" s="6" t="s">
        <v>4211</v>
      </c>
      <c r="G120" s="6" t="s">
        <v>3445</v>
      </c>
      <c r="H120" s="6" t="s">
        <v>3446</v>
      </c>
      <c r="I120" s="6" t="s">
        <v>3447</v>
      </c>
      <c r="J120" s="6">
        <v>48</v>
      </c>
      <c r="K120" s="6" t="s">
        <v>19</v>
      </c>
      <c r="L120" s="10">
        <v>15.474692722499999</v>
      </c>
      <c r="M120" s="6" t="s">
        <v>33</v>
      </c>
      <c r="N120" s="10">
        <f>Tabla11[[#This Row],[Price]]*Tabla11[[#This Row],[QTY Adjusted]]</f>
        <v>742.78525067999999</v>
      </c>
      <c r="O120" s="10">
        <v>742.78525067999999</v>
      </c>
      <c r="P120" s="10" t="s">
        <v>4225</v>
      </c>
      <c r="Q120" s="6">
        <v>0</v>
      </c>
    </row>
    <row r="121" spans="1:17" ht="40.200000000000003" customHeight="1" x14ac:dyDescent="0.3">
      <c r="A121" s="6">
        <v>1765</v>
      </c>
      <c r="B121" s="6" t="s">
        <v>2429</v>
      </c>
      <c r="C121" s="6" t="s">
        <v>723</v>
      </c>
      <c r="D121" s="6" t="s">
        <v>362</v>
      </c>
      <c r="E121" s="6" t="s">
        <v>3478</v>
      </c>
      <c r="F121" s="6" t="s">
        <v>4211</v>
      </c>
      <c r="G121" s="6" t="s">
        <v>3481</v>
      </c>
      <c r="H121" s="6" t="s">
        <v>3482</v>
      </c>
      <c r="I121" s="6" t="s">
        <v>3482</v>
      </c>
      <c r="J121" s="6">
        <v>14</v>
      </c>
      <c r="K121" s="6" t="s">
        <v>19</v>
      </c>
      <c r="L121" s="10">
        <v>51.699727777499994</v>
      </c>
      <c r="M121" s="6" t="s">
        <v>33</v>
      </c>
      <c r="N121" s="10">
        <f>Tabla11[[#This Row],[Price]]*Tabla11[[#This Row],[QTY Adjusted]]</f>
        <v>723.79618888499988</v>
      </c>
      <c r="O121" s="10">
        <v>723.79618888499988</v>
      </c>
      <c r="P121" s="10" t="s">
        <v>4225</v>
      </c>
      <c r="Q121" s="6">
        <v>0</v>
      </c>
    </row>
    <row r="122" spans="1:17" ht="40.200000000000003" customHeight="1" x14ac:dyDescent="0.3">
      <c r="A122" s="6">
        <v>1631</v>
      </c>
      <c r="B122" s="6" t="s">
        <v>2429</v>
      </c>
      <c r="C122" s="6" t="s">
        <v>3072</v>
      </c>
      <c r="D122" s="6" t="s">
        <v>178</v>
      </c>
      <c r="E122" s="6" t="s">
        <v>2999</v>
      </c>
      <c r="F122" s="6" t="s">
        <v>4211</v>
      </c>
      <c r="G122" s="6" t="s">
        <v>3104</v>
      </c>
      <c r="H122" s="6" t="s">
        <v>3105</v>
      </c>
      <c r="I122" s="6" t="s">
        <v>3106</v>
      </c>
      <c r="J122" s="6">
        <v>1</v>
      </c>
      <c r="K122" s="6" t="s">
        <v>19</v>
      </c>
      <c r="L122" s="10">
        <v>715.44375000000002</v>
      </c>
      <c r="M122" s="6" t="s">
        <v>33</v>
      </c>
      <c r="N122" s="10">
        <f>Tabla11[[#This Row],[Price]]*Tabla11[[#This Row],[QTY Adjusted]]</f>
        <v>715.44375000000002</v>
      </c>
      <c r="O122" s="10">
        <v>715.44375000000002</v>
      </c>
      <c r="P122" s="10" t="s">
        <v>4218</v>
      </c>
      <c r="Q122" s="6" t="s">
        <v>4246</v>
      </c>
    </row>
    <row r="123" spans="1:17" ht="40.200000000000003" customHeight="1" x14ac:dyDescent="0.3">
      <c r="A123" s="6">
        <v>1814</v>
      </c>
      <c r="B123" s="6" t="s">
        <v>2429</v>
      </c>
      <c r="C123" s="6" t="s">
        <v>723</v>
      </c>
      <c r="D123" s="6" t="s">
        <v>362</v>
      </c>
      <c r="E123" s="6" t="s">
        <v>3520</v>
      </c>
      <c r="F123" s="6" t="s">
        <v>4211</v>
      </c>
      <c r="G123" s="6" t="s">
        <v>3605</v>
      </c>
      <c r="H123" s="6" t="s">
        <v>3606</v>
      </c>
      <c r="I123" s="6" t="s">
        <v>3607</v>
      </c>
      <c r="J123" s="6">
        <v>120</v>
      </c>
      <c r="K123" s="6" t="s">
        <v>19</v>
      </c>
      <c r="L123" s="10">
        <v>5.9310098100000008</v>
      </c>
      <c r="M123" s="6" t="s">
        <v>33</v>
      </c>
      <c r="N123" s="10">
        <f>Tabla11[[#This Row],[Price]]*Tabla11[[#This Row],[QTY Adjusted]]</f>
        <v>711.72117720000006</v>
      </c>
      <c r="O123" s="10">
        <v>711.72117720000006</v>
      </c>
      <c r="P123" s="10" t="s">
        <v>4225</v>
      </c>
      <c r="Q123" s="6">
        <v>0</v>
      </c>
    </row>
    <row r="124" spans="1:17" ht="40.200000000000003" customHeight="1" x14ac:dyDescent="0.3">
      <c r="A124" s="6">
        <v>1642</v>
      </c>
      <c r="B124" s="6" t="s">
        <v>2429</v>
      </c>
      <c r="C124" s="6" t="s">
        <v>723</v>
      </c>
      <c r="D124" s="6" t="s">
        <v>362</v>
      </c>
      <c r="E124" s="6" t="s">
        <v>3107</v>
      </c>
      <c r="F124" s="6" t="s">
        <v>4211</v>
      </c>
      <c r="G124" s="6" t="s">
        <v>3137</v>
      </c>
      <c r="H124" s="6" t="s">
        <v>3138</v>
      </c>
      <c r="I124" s="6" t="s">
        <v>3139</v>
      </c>
      <c r="J124" s="6">
        <v>6</v>
      </c>
      <c r="K124" s="6" t="s">
        <v>19</v>
      </c>
      <c r="L124" s="10">
        <v>118.39082013000004</v>
      </c>
      <c r="M124" s="6" t="s">
        <v>33</v>
      </c>
      <c r="N124" s="10">
        <f>Tabla11[[#This Row],[Price]]*Tabla11[[#This Row],[QTY Adjusted]]</f>
        <v>710.34492078000017</v>
      </c>
      <c r="O124" s="10">
        <v>710.34492078000017</v>
      </c>
      <c r="P124" s="10" t="s">
        <v>4225</v>
      </c>
      <c r="Q124" s="6">
        <v>0</v>
      </c>
    </row>
    <row r="125" spans="1:17" ht="40.200000000000003" customHeight="1" x14ac:dyDescent="0.3">
      <c r="A125" s="6">
        <v>1746</v>
      </c>
      <c r="B125" s="6" t="s">
        <v>2429</v>
      </c>
      <c r="C125" s="6" t="s">
        <v>723</v>
      </c>
      <c r="D125" s="6" t="s">
        <v>362</v>
      </c>
      <c r="E125" s="6" t="s">
        <v>3402</v>
      </c>
      <c r="F125" s="6" t="s">
        <v>4211</v>
      </c>
      <c r="G125" s="6" t="s">
        <v>3424</v>
      </c>
      <c r="H125" s="6" t="s">
        <v>3425</v>
      </c>
      <c r="I125" s="6" t="s">
        <v>3426</v>
      </c>
      <c r="J125" s="6">
        <v>24</v>
      </c>
      <c r="K125" s="6" t="s">
        <v>19</v>
      </c>
      <c r="L125" s="10">
        <v>28.819464795000002</v>
      </c>
      <c r="M125" s="6" t="s">
        <v>33</v>
      </c>
      <c r="N125" s="10">
        <f>Tabla11[[#This Row],[Price]]*Tabla11[[#This Row],[QTY Adjusted]]</f>
        <v>691.66715508000004</v>
      </c>
      <c r="O125" s="10">
        <v>691.66715508000004</v>
      </c>
      <c r="P125" s="10" t="s">
        <v>4225</v>
      </c>
      <c r="Q125" s="6">
        <v>0</v>
      </c>
    </row>
    <row r="126" spans="1:17" ht="40.200000000000003" customHeight="1" x14ac:dyDescent="0.3">
      <c r="A126" s="6">
        <v>1856</v>
      </c>
      <c r="B126" s="6" t="s">
        <v>2429</v>
      </c>
      <c r="C126" s="6" t="s">
        <v>3722</v>
      </c>
      <c r="D126" s="6" t="s">
        <v>178</v>
      </c>
      <c r="E126" s="6" t="s">
        <v>3723</v>
      </c>
      <c r="F126" s="6" t="s">
        <v>4211</v>
      </c>
      <c r="G126" s="6">
        <v>631</v>
      </c>
      <c r="H126" s="6" t="s">
        <v>3726</v>
      </c>
      <c r="I126" s="6" t="s">
        <v>3727</v>
      </c>
      <c r="J126" s="6">
        <v>2</v>
      </c>
      <c r="K126" s="6" t="s">
        <v>19</v>
      </c>
      <c r="L126" s="10">
        <v>339.95999999999992</v>
      </c>
      <c r="M126" s="6" t="s">
        <v>33</v>
      </c>
      <c r="N126" s="10">
        <f>Tabla11[[#This Row],[Price]]*Tabla11[[#This Row],[QTY Adjusted]]</f>
        <v>679.91999999999985</v>
      </c>
      <c r="O126" s="10">
        <v>679.91999999999985</v>
      </c>
      <c r="P126" s="10" t="s">
        <v>4234</v>
      </c>
      <c r="Q126" s="6" t="s">
        <v>4246</v>
      </c>
    </row>
    <row r="127" spans="1:17" ht="40.200000000000003" customHeight="1" x14ac:dyDescent="0.3">
      <c r="A127" s="6">
        <v>1764</v>
      </c>
      <c r="B127" s="6" t="s">
        <v>2429</v>
      </c>
      <c r="C127" s="6" t="s">
        <v>723</v>
      </c>
      <c r="D127" s="6" t="s">
        <v>362</v>
      </c>
      <c r="E127" s="6" t="s">
        <v>3478</v>
      </c>
      <c r="F127" s="6" t="s">
        <v>4211</v>
      </c>
      <c r="G127" s="6" t="s">
        <v>3479</v>
      </c>
      <c r="H127" s="6" t="s">
        <v>3480</v>
      </c>
      <c r="I127" s="6" t="s">
        <v>3480</v>
      </c>
      <c r="J127" s="6">
        <v>36</v>
      </c>
      <c r="K127" s="6" t="s">
        <v>19</v>
      </c>
      <c r="L127" s="10">
        <v>18.849797752500002</v>
      </c>
      <c r="M127" s="6" t="s">
        <v>33</v>
      </c>
      <c r="N127" s="10">
        <f>Tabla11[[#This Row],[Price]]*Tabla11[[#This Row],[QTY Adjusted]]</f>
        <v>678.59271909000006</v>
      </c>
      <c r="O127" s="10">
        <v>678.59271909000006</v>
      </c>
      <c r="P127" s="10" t="s">
        <v>4225</v>
      </c>
      <c r="Q127" s="6">
        <v>0</v>
      </c>
    </row>
    <row r="128" spans="1:17" ht="40.200000000000003" customHeight="1" x14ac:dyDescent="0.3">
      <c r="A128" s="6">
        <v>1818</v>
      </c>
      <c r="B128" s="6" t="s">
        <v>2429</v>
      </c>
      <c r="C128" s="6" t="s">
        <v>723</v>
      </c>
      <c r="D128" s="6" t="s">
        <v>178</v>
      </c>
      <c r="E128" s="6" t="s">
        <v>3520</v>
      </c>
      <c r="F128" s="6" t="s">
        <v>4211</v>
      </c>
      <c r="G128" s="6" t="s">
        <v>3617</v>
      </c>
      <c r="H128" s="6" t="s">
        <v>3618</v>
      </c>
      <c r="I128" s="6" t="s">
        <v>3619</v>
      </c>
      <c r="J128" s="6">
        <v>2</v>
      </c>
      <c r="K128" s="6" t="s">
        <v>19</v>
      </c>
      <c r="L128" s="10">
        <v>337.81588235294112</v>
      </c>
      <c r="M128" s="6" t="s">
        <v>33</v>
      </c>
      <c r="N128" s="10">
        <f>Tabla11[[#This Row],[Price]]*Tabla11[[#This Row],[QTY Adjusted]]</f>
        <v>675.63176470588223</v>
      </c>
      <c r="O128" s="10">
        <v>675.63176470588223</v>
      </c>
      <c r="P128" s="10" t="s">
        <v>4225</v>
      </c>
      <c r="Q128" s="6">
        <v>0</v>
      </c>
    </row>
    <row r="129" spans="1:17" ht="40.200000000000003" customHeight="1" x14ac:dyDescent="0.3">
      <c r="A129" s="6">
        <v>1709</v>
      </c>
      <c r="B129" s="6" t="s">
        <v>2429</v>
      </c>
      <c r="C129" s="6" t="s">
        <v>723</v>
      </c>
      <c r="D129" s="6" t="s">
        <v>362</v>
      </c>
      <c r="E129" s="6" t="s">
        <v>3282</v>
      </c>
      <c r="F129" s="6" t="s">
        <v>4211</v>
      </c>
      <c r="G129" s="6" t="s">
        <v>3316</v>
      </c>
      <c r="H129" s="6" t="s">
        <v>3317</v>
      </c>
      <c r="I129" s="6" t="s">
        <v>3318</v>
      </c>
      <c r="J129" s="6">
        <v>4</v>
      </c>
      <c r="K129" s="6" t="s">
        <v>19</v>
      </c>
      <c r="L129" s="10">
        <v>133.6197527775</v>
      </c>
      <c r="M129" s="6" t="s">
        <v>33</v>
      </c>
      <c r="N129" s="10">
        <f>Tabla11[[#This Row],[Price]]*Tabla11[[#This Row],[QTY Adjusted]]</f>
        <v>534.47901110999999</v>
      </c>
      <c r="O129" s="10">
        <v>534.47901110999999</v>
      </c>
      <c r="P129" s="10" t="s">
        <v>4225</v>
      </c>
      <c r="Q129" s="6">
        <v>0</v>
      </c>
    </row>
    <row r="130" spans="1:17" ht="40.200000000000003" customHeight="1" x14ac:dyDescent="0.3">
      <c r="A130" s="6">
        <v>1528</v>
      </c>
      <c r="B130" s="6" t="s">
        <v>2429</v>
      </c>
      <c r="C130" s="6" t="s">
        <v>723</v>
      </c>
      <c r="D130" s="6" t="s">
        <v>362</v>
      </c>
      <c r="E130" s="6" t="s">
        <v>2747</v>
      </c>
      <c r="F130" s="6" t="s">
        <v>4211</v>
      </c>
      <c r="G130" s="6" t="s">
        <v>2793</v>
      </c>
      <c r="H130" s="6" t="s">
        <v>2794</v>
      </c>
      <c r="I130" s="6" t="s">
        <v>2795</v>
      </c>
      <c r="J130" s="6">
        <v>18</v>
      </c>
      <c r="K130" s="6" t="s">
        <v>19</v>
      </c>
      <c r="L130" s="10">
        <v>36.143115029999997</v>
      </c>
      <c r="M130" s="6" t="s">
        <v>33</v>
      </c>
      <c r="N130" s="10">
        <f>Tabla11[[#This Row],[Price]]*Tabla11[[#This Row],[QTY Adjusted]]</f>
        <v>650.57607053999993</v>
      </c>
      <c r="O130" s="10">
        <v>650.57607053999993</v>
      </c>
      <c r="P130" s="10" t="s">
        <v>4225</v>
      </c>
      <c r="Q130" s="6">
        <v>0</v>
      </c>
    </row>
    <row r="131" spans="1:17" ht="40.200000000000003" customHeight="1" x14ac:dyDescent="0.3">
      <c r="A131" s="6">
        <v>1795</v>
      </c>
      <c r="B131" s="6" t="s">
        <v>2429</v>
      </c>
      <c r="C131" s="6" t="s">
        <v>723</v>
      </c>
      <c r="D131" s="6" t="s">
        <v>362</v>
      </c>
      <c r="E131" s="6" t="s">
        <v>3520</v>
      </c>
      <c r="F131" s="6" t="s">
        <v>4211</v>
      </c>
      <c r="G131" s="6" t="s">
        <v>3548</v>
      </c>
      <c r="H131" s="6" t="s">
        <v>3549</v>
      </c>
      <c r="I131" s="6" t="s">
        <v>3550</v>
      </c>
      <c r="J131" s="6">
        <v>120</v>
      </c>
      <c r="K131" s="6" t="s">
        <v>19</v>
      </c>
      <c r="L131" s="10">
        <v>5.3493776325000004</v>
      </c>
      <c r="M131" s="6" t="s">
        <v>33</v>
      </c>
      <c r="N131" s="10">
        <f>Tabla11[[#This Row],[Price]]*Tabla11[[#This Row],[QTY Adjusted]]</f>
        <v>641.9253159000001</v>
      </c>
      <c r="O131" s="10">
        <v>641.9253159000001</v>
      </c>
      <c r="P131" s="10" t="s">
        <v>4225</v>
      </c>
      <c r="Q131" s="6">
        <v>0</v>
      </c>
    </row>
    <row r="132" spans="1:17" ht="40.200000000000003" customHeight="1" x14ac:dyDescent="0.3">
      <c r="A132" s="6">
        <v>1552</v>
      </c>
      <c r="B132" s="6" t="s">
        <v>2429</v>
      </c>
      <c r="C132" s="6" t="s">
        <v>723</v>
      </c>
      <c r="D132" s="6" t="s">
        <v>362</v>
      </c>
      <c r="E132" s="6" t="s">
        <v>2747</v>
      </c>
      <c r="F132" s="6" t="s">
        <v>4211</v>
      </c>
      <c r="G132" s="6" t="s">
        <v>2863</v>
      </c>
      <c r="H132" s="6" t="s">
        <v>2864</v>
      </c>
      <c r="I132" s="6" t="s">
        <v>2865</v>
      </c>
      <c r="J132" s="6">
        <v>4</v>
      </c>
      <c r="K132" s="6" t="s">
        <v>19</v>
      </c>
      <c r="L132" s="10">
        <v>157.33560001500001</v>
      </c>
      <c r="M132" s="6" t="s">
        <v>33</v>
      </c>
      <c r="N132" s="10">
        <f>Tabla11[[#This Row],[Price]]*Tabla11[[#This Row],[QTY Adjusted]]</f>
        <v>629.34240006000005</v>
      </c>
      <c r="O132" s="10">
        <v>629.34240006000005</v>
      </c>
      <c r="P132" s="10" t="s">
        <v>4225</v>
      </c>
      <c r="Q132" s="6">
        <v>0</v>
      </c>
    </row>
    <row r="133" spans="1:17" ht="40.200000000000003" customHeight="1" x14ac:dyDescent="0.3">
      <c r="A133" s="6">
        <v>1554</v>
      </c>
      <c r="B133" s="6" t="s">
        <v>2429</v>
      </c>
      <c r="C133" s="6" t="s">
        <v>723</v>
      </c>
      <c r="D133" s="6" t="s">
        <v>362</v>
      </c>
      <c r="E133" s="6" t="s">
        <v>2747</v>
      </c>
      <c r="F133" s="6" t="s">
        <v>4211</v>
      </c>
      <c r="G133" s="6" t="s">
        <v>2869</v>
      </c>
      <c r="H133" s="6" t="s">
        <v>2870</v>
      </c>
      <c r="I133" s="6" t="s">
        <v>2871</v>
      </c>
      <c r="J133" s="6">
        <v>4</v>
      </c>
      <c r="K133" s="6" t="s">
        <v>19</v>
      </c>
      <c r="L133" s="10">
        <v>157.33560001500001</v>
      </c>
      <c r="M133" s="6" t="s">
        <v>33</v>
      </c>
      <c r="N133" s="10">
        <f>Tabla11[[#This Row],[Price]]*Tabla11[[#This Row],[QTY Adjusted]]</f>
        <v>629.34240006000005</v>
      </c>
      <c r="O133" s="10">
        <v>629.34240006000005</v>
      </c>
      <c r="P133" s="10" t="s">
        <v>4225</v>
      </c>
      <c r="Q133" s="6">
        <v>0</v>
      </c>
    </row>
    <row r="134" spans="1:17" ht="40.200000000000003" customHeight="1" x14ac:dyDescent="0.3">
      <c r="A134" s="6">
        <v>1555</v>
      </c>
      <c r="B134" s="6" t="s">
        <v>2429</v>
      </c>
      <c r="C134" s="6" t="s">
        <v>723</v>
      </c>
      <c r="D134" s="6" t="s">
        <v>362</v>
      </c>
      <c r="E134" s="6" t="s">
        <v>2747</v>
      </c>
      <c r="F134" s="6" t="s">
        <v>4211</v>
      </c>
      <c r="G134" s="6" t="s">
        <v>2872</v>
      </c>
      <c r="H134" s="6" t="s">
        <v>2873</v>
      </c>
      <c r="I134" s="6" t="s">
        <v>2874</v>
      </c>
      <c r="J134" s="6">
        <v>4</v>
      </c>
      <c r="K134" s="6" t="s">
        <v>19</v>
      </c>
      <c r="L134" s="10">
        <v>157.33560001500001</v>
      </c>
      <c r="M134" s="6" t="s">
        <v>33</v>
      </c>
      <c r="N134" s="10">
        <f>Tabla11[[#This Row],[Price]]*Tabla11[[#This Row],[QTY Adjusted]]</f>
        <v>629.34240006000005</v>
      </c>
      <c r="O134" s="10">
        <v>629.34240006000005</v>
      </c>
      <c r="P134" s="10" t="s">
        <v>4225</v>
      </c>
      <c r="Q134" s="6">
        <v>0</v>
      </c>
    </row>
    <row r="135" spans="1:17" ht="40.200000000000003" customHeight="1" x14ac:dyDescent="0.3">
      <c r="A135" s="6">
        <v>1561</v>
      </c>
      <c r="B135" s="6" t="s">
        <v>2429</v>
      </c>
      <c r="C135" s="6" t="s">
        <v>723</v>
      </c>
      <c r="D135" s="6" t="s">
        <v>362</v>
      </c>
      <c r="E135" s="6" t="s">
        <v>2747</v>
      </c>
      <c r="F135" s="6" t="s">
        <v>4211</v>
      </c>
      <c r="G135" s="6" t="s">
        <v>2890</v>
      </c>
      <c r="H135" s="6" t="s">
        <v>2891</v>
      </c>
      <c r="I135" s="6" t="s">
        <v>2892</v>
      </c>
      <c r="J135" s="6">
        <v>4</v>
      </c>
      <c r="K135" s="6" t="s">
        <v>19</v>
      </c>
      <c r="L135" s="10">
        <v>157.33560001500001</v>
      </c>
      <c r="M135" s="6" t="s">
        <v>33</v>
      </c>
      <c r="N135" s="10">
        <f>Tabla11[[#This Row],[Price]]*Tabla11[[#This Row],[QTY Adjusted]]</f>
        <v>629.34240006000005</v>
      </c>
      <c r="O135" s="10">
        <v>629.34240006000005</v>
      </c>
      <c r="P135" s="10" t="s">
        <v>4225</v>
      </c>
      <c r="Q135" s="6">
        <v>0</v>
      </c>
    </row>
    <row r="136" spans="1:17" ht="40.200000000000003" customHeight="1" x14ac:dyDescent="0.3">
      <c r="A136" s="6">
        <v>1562</v>
      </c>
      <c r="B136" s="6" t="s">
        <v>2429</v>
      </c>
      <c r="C136" s="6" t="s">
        <v>723</v>
      </c>
      <c r="D136" s="6" t="s">
        <v>362</v>
      </c>
      <c r="E136" s="6" t="s">
        <v>2747</v>
      </c>
      <c r="F136" s="6" t="s">
        <v>4211</v>
      </c>
      <c r="G136" s="6" t="s">
        <v>2893</v>
      </c>
      <c r="H136" s="6" t="s">
        <v>2894</v>
      </c>
      <c r="I136" s="6" t="s">
        <v>2895</v>
      </c>
      <c r="J136" s="6">
        <v>4</v>
      </c>
      <c r="K136" s="6" t="s">
        <v>19</v>
      </c>
      <c r="L136" s="10">
        <v>157.33560001500001</v>
      </c>
      <c r="M136" s="6" t="s">
        <v>33</v>
      </c>
      <c r="N136" s="10">
        <f>Tabla11[[#This Row],[Price]]*Tabla11[[#This Row],[QTY Adjusted]]</f>
        <v>629.34240006000005</v>
      </c>
      <c r="O136" s="10">
        <v>629.34240006000005</v>
      </c>
      <c r="P136" s="10" t="s">
        <v>4225</v>
      </c>
      <c r="Q136" s="6">
        <v>0</v>
      </c>
    </row>
    <row r="137" spans="1:17" ht="40.200000000000003" customHeight="1" x14ac:dyDescent="0.3">
      <c r="A137" s="6">
        <v>1719</v>
      </c>
      <c r="B137" s="6" t="s">
        <v>2429</v>
      </c>
      <c r="C137" s="6" t="s">
        <v>723</v>
      </c>
      <c r="D137" s="6" t="s">
        <v>362</v>
      </c>
      <c r="E137" s="6" t="s">
        <v>3325</v>
      </c>
      <c r="F137" s="6" t="s">
        <v>4211</v>
      </c>
      <c r="G137" s="6" t="s">
        <v>3344</v>
      </c>
      <c r="H137" s="6" t="s">
        <v>3345</v>
      </c>
      <c r="I137" s="6" t="s">
        <v>3346</v>
      </c>
      <c r="J137" s="6">
        <v>8</v>
      </c>
      <c r="K137" s="6" t="s">
        <v>19</v>
      </c>
      <c r="L137" s="10">
        <v>77.799447742500007</v>
      </c>
      <c r="M137" s="6" t="s">
        <v>33</v>
      </c>
      <c r="N137" s="10">
        <f>Tabla11[[#This Row],[Price]]*Tabla11[[#This Row],[QTY Adjusted]]</f>
        <v>622.39558194000006</v>
      </c>
      <c r="O137" s="10">
        <v>622.39558194000006</v>
      </c>
      <c r="P137" s="10" t="s">
        <v>4225</v>
      </c>
      <c r="Q137" s="6">
        <v>0</v>
      </c>
    </row>
    <row r="138" spans="1:17" ht="40.200000000000003" customHeight="1" x14ac:dyDescent="0.3">
      <c r="A138" s="6">
        <v>1848</v>
      </c>
      <c r="B138" s="6" t="s">
        <v>2429</v>
      </c>
      <c r="C138" s="6" t="s">
        <v>723</v>
      </c>
      <c r="D138" s="6" t="s">
        <v>362</v>
      </c>
      <c r="E138" s="6" t="s">
        <v>3621</v>
      </c>
      <c r="F138" s="6" t="s">
        <v>4211</v>
      </c>
      <c r="G138" s="6" t="s">
        <v>3704</v>
      </c>
      <c r="H138" s="6" t="s">
        <v>3705</v>
      </c>
      <c r="I138" s="6" t="s">
        <v>3706</v>
      </c>
      <c r="J138" s="6">
        <v>48</v>
      </c>
      <c r="K138" s="6" t="s">
        <v>19</v>
      </c>
      <c r="L138" s="10">
        <v>12.263427742500001</v>
      </c>
      <c r="M138" s="6" t="s">
        <v>33</v>
      </c>
      <c r="N138" s="10">
        <f>Tabla11[[#This Row],[Price]]*Tabla11[[#This Row],[QTY Adjusted]]</f>
        <v>588.64453164000008</v>
      </c>
      <c r="O138" s="10">
        <v>588.64453164000008</v>
      </c>
      <c r="P138" s="10" t="s">
        <v>4225</v>
      </c>
      <c r="Q138" s="6">
        <v>0</v>
      </c>
    </row>
    <row r="139" spans="1:17" ht="40.200000000000003" customHeight="1" x14ac:dyDescent="0.3">
      <c r="A139" s="6">
        <v>1462</v>
      </c>
      <c r="B139" s="6" t="s">
        <v>2429</v>
      </c>
      <c r="C139" s="6" t="s">
        <v>723</v>
      </c>
      <c r="D139" s="6" t="s">
        <v>362</v>
      </c>
      <c r="E139" s="6" t="s">
        <v>2584</v>
      </c>
      <c r="F139" s="6" t="s">
        <v>4211</v>
      </c>
      <c r="G139" s="6" t="s">
        <v>2602</v>
      </c>
      <c r="H139" s="6" t="s">
        <v>2603</v>
      </c>
      <c r="I139" s="6" t="s">
        <v>2604</v>
      </c>
      <c r="J139" s="6">
        <v>27</v>
      </c>
      <c r="K139" s="6" t="s">
        <v>19</v>
      </c>
      <c r="L139" s="10">
        <v>21.7333826325</v>
      </c>
      <c r="M139" s="6" t="s">
        <v>33</v>
      </c>
      <c r="N139" s="10">
        <f>Tabla11[[#This Row],[Price]]*Tabla11[[#This Row],[QTY Adjusted]]</f>
        <v>586.80133107749998</v>
      </c>
      <c r="O139" s="10">
        <v>586.80133107749998</v>
      </c>
      <c r="P139" s="10" t="s">
        <v>4225</v>
      </c>
      <c r="Q139" s="6">
        <v>0</v>
      </c>
    </row>
    <row r="140" spans="1:17" ht="40.200000000000003" customHeight="1" x14ac:dyDescent="0.3">
      <c r="A140" s="6">
        <v>1525</v>
      </c>
      <c r="B140" s="6" t="s">
        <v>2429</v>
      </c>
      <c r="C140" s="6" t="s">
        <v>309</v>
      </c>
      <c r="D140" s="6" t="s">
        <v>362</v>
      </c>
      <c r="E140" s="6" t="s">
        <v>2747</v>
      </c>
      <c r="F140" s="6" t="s">
        <v>4211</v>
      </c>
      <c r="G140" s="6">
        <v>370100</v>
      </c>
      <c r="H140" s="6" t="s">
        <v>2786</v>
      </c>
      <c r="I140" s="6" t="s">
        <v>2787</v>
      </c>
      <c r="J140" s="6">
        <v>2</v>
      </c>
      <c r="K140" s="6" t="s">
        <v>19</v>
      </c>
      <c r="L140" s="10">
        <v>293.27760000000001</v>
      </c>
      <c r="M140" s="6" t="s">
        <v>33</v>
      </c>
      <c r="N140" s="10">
        <f>Tabla11[[#This Row],[Price]]*Tabla11[[#This Row],[QTY Adjusted]]</f>
        <v>586.55520000000001</v>
      </c>
      <c r="O140" s="10">
        <v>586.55520000000001</v>
      </c>
      <c r="P140" s="10" t="s">
        <v>4225</v>
      </c>
      <c r="Q140" s="6">
        <v>0</v>
      </c>
    </row>
    <row r="141" spans="1:17" ht="40.200000000000003" customHeight="1" x14ac:dyDescent="0.3">
      <c r="A141" s="6">
        <v>1403</v>
      </c>
      <c r="B141" s="6" t="s">
        <v>2429</v>
      </c>
      <c r="C141" s="6" t="s">
        <v>723</v>
      </c>
      <c r="D141" s="6" t="s">
        <v>362</v>
      </c>
      <c r="E141" s="6" t="s">
        <v>2430</v>
      </c>
      <c r="F141" s="6" t="s">
        <v>4211</v>
      </c>
      <c r="G141" s="6" t="s">
        <v>2434</v>
      </c>
      <c r="H141" s="6" t="s">
        <v>2435</v>
      </c>
      <c r="I141" s="6" t="s">
        <v>2436</v>
      </c>
      <c r="J141" s="6">
        <v>64</v>
      </c>
      <c r="K141" s="6" t="s">
        <v>19</v>
      </c>
      <c r="L141" s="10">
        <v>8.9702427374999996</v>
      </c>
      <c r="M141" s="6" t="s">
        <v>33</v>
      </c>
      <c r="N141" s="10">
        <f>Tabla11[[#This Row],[Price]]*Tabla11[[#This Row],[QTY Adjusted]]</f>
        <v>574.09553519999997</v>
      </c>
      <c r="O141" s="10">
        <v>574.09553519999997</v>
      </c>
      <c r="P141" s="10" t="s">
        <v>4225</v>
      </c>
      <c r="Q141" s="6">
        <v>0</v>
      </c>
    </row>
    <row r="142" spans="1:17" ht="40.200000000000003" customHeight="1" x14ac:dyDescent="0.3">
      <c r="A142" s="6">
        <v>1406</v>
      </c>
      <c r="B142" s="6" t="s">
        <v>2429</v>
      </c>
      <c r="C142" s="6" t="s">
        <v>723</v>
      </c>
      <c r="D142" s="6" t="s">
        <v>362</v>
      </c>
      <c r="E142" s="6" t="s">
        <v>2430</v>
      </c>
      <c r="F142" s="6" t="s">
        <v>4211</v>
      </c>
      <c r="G142" s="6" t="s">
        <v>2443</v>
      </c>
      <c r="H142" s="6" t="s">
        <v>2444</v>
      </c>
      <c r="I142" s="6" t="s">
        <v>2445</v>
      </c>
      <c r="J142" s="6">
        <v>21</v>
      </c>
      <c r="K142" s="6" t="s">
        <v>19</v>
      </c>
      <c r="L142" s="10">
        <v>27.000840240000009</v>
      </c>
      <c r="M142" s="6" t="s">
        <v>33</v>
      </c>
      <c r="N142" s="10">
        <f>Tabla11[[#This Row],[Price]]*Tabla11[[#This Row],[QTY Adjusted]]</f>
        <v>567.01764504000016</v>
      </c>
      <c r="O142" s="10">
        <v>567.01764504000016</v>
      </c>
      <c r="P142" s="10" t="s">
        <v>4225</v>
      </c>
      <c r="Q142" s="6">
        <v>0</v>
      </c>
    </row>
    <row r="143" spans="1:17" ht="40.200000000000003" customHeight="1" x14ac:dyDescent="0.3">
      <c r="A143" s="6">
        <v>1689</v>
      </c>
      <c r="B143" s="6" t="s">
        <v>2429</v>
      </c>
      <c r="C143" s="6" t="s">
        <v>723</v>
      </c>
      <c r="D143" s="6" t="s">
        <v>362</v>
      </c>
      <c r="E143" s="6" t="s">
        <v>3245</v>
      </c>
      <c r="F143" s="6" t="s">
        <v>4211</v>
      </c>
      <c r="G143" s="6" t="s">
        <v>3258</v>
      </c>
      <c r="H143" s="6" t="s">
        <v>3259</v>
      </c>
      <c r="I143" s="6" t="s">
        <v>3260</v>
      </c>
      <c r="J143" s="6">
        <v>16</v>
      </c>
      <c r="K143" s="6" t="s">
        <v>19</v>
      </c>
      <c r="L143" s="10">
        <v>34.906122652500002</v>
      </c>
      <c r="M143" s="6" t="s">
        <v>33</v>
      </c>
      <c r="N143" s="10">
        <f>Tabla11[[#This Row],[Price]]*Tabla11[[#This Row],[QTY Adjusted]]</f>
        <v>558.49796244000004</v>
      </c>
      <c r="O143" s="10">
        <v>558.49796244000004</v>
      </c>
      <c r="P143" s="10" t="s">
        <v>4225</v>
      </c>
      <c r="Q143" s="6">
        <v>0</v>
      </c>
    </row>
    <row r="144" spans="1:17" ht="40.200000000000003" customHeight="1" x14ac:dyDescent="0.3">
      <c r="A144" s="6">
        <v>1708</v>
      </c>
      <c r="B144" s="6" t="s">
        <v>2429</v>
      </c>
      <c r="C144" s="6" t="s">
        <v>723</v>
      </c>
      <c r="D144" s="6" t="s">
        <v>362</v>
      </c>
      <c r="E144" s="6" t="s">
        <v>3282</v>
      </c>
      <c r="F144" s="6" t="s">
        <v>4211</v>
      </c>
      <c r="G144" s="6" t="s">
        <v>3313</v>
      </c>
      <c r="H144" s="6" t="s">
        <v>3314</v>
      </c>
      <c r="I144" s="6" t="s">
        <v>3315</v>
      </c>
      <c r="J144" s="6">
        <v>4</v>
      </c>
      <c r="K144" s="6" t="s">
        <v>19</v>
      </c>
      <c r="L144" s="10">
        <v>111.14908991999999</v>
      </c>
      <c r="M144" s="6" t="s">
        <v>33</v>
      </c>
      <c r="N144" s="10">
        <f>Tabla11[[#This Row],[Price]]*Tabla11[[#This Row],[QTY Adjusted]]</f>
        <v>444.59635967999998</v>
      </c>
      <c r="O144" s="10">
        <v>444.59635967999998</v>
      </c>
      <c r="P144" s="10" t="s">
        <v>4225</v>
      </c>
      <c r="Q144" s="6">
        <v>0</v>
      </c>
    </row>
    <row r="145" spans="1:17" ht="40.200000000000003" customHeight="1" x14ac:dyDescent="0.3">
      <c r="A145" s="6">
        <v>1752</v>
      </c>
      <c r="B145" s="6" t="s">
        <v>2429</v>
      </c>
      <c r="C145" s="6" t="s">
        <v>723</v>
      </c>
      <c r="D145" s="6" t="s">
        <v>362</v>
      </c>
      <c r="E145" s="6" t="s">
        <v>3402</v>
      </c>
      <c r="F145" s="6" t="s">
        <v>4211</v>
      </c>
      <c r="G145" s="6" t="s">
        <v>3442</v>
      </c>
      <c r="H145" s="6" t="s">
        <v>3443</v>
      </c>
      <c r="I145" s="6" t="s">
        <v>3444</v>
      </c>
      <c r="J145" s="6">
        <v>48</v>
      </c>
      <c r="K145" s="6" t="s">
        <v>19</v>
      </c>
      <c r="L145" s="10">
        <v>11.5261475175</v>
      </c>
      <c r="M145" s="6" t="s">
        <v>33</v>
      </c>
      <c r="N145" s="10">
        <f>Tabla11[[#This Row],[Price]]*Tabla11[[#This Row],[QTY Adjusted]]</f>
        <v>553.25508084000001</v>
      </c>
      <c r="O145" s="10">
        <v>553.25508084000001</v>
      </c>
      <c r="P145" s="10" t="s">
        <v>4225</v>
      </c>
      <c r="Q145" s="6">
        <v>0</v>
      </c>
    </row>
    <row r="146" spans="1:17" ht="40.200000000000003" customHeight="1" x14ac:dyDescent="0.3">
      <c r="A146" s="6">
        <v>1847</v>
      </c>
      <c r="B146" s="6" t="s">
        <v>2429</v>
      </c>
      <c r="C146" s="6" t="s">
        <v>723</v>
      </c>
      <c r="D146" s="6" t="s">
        <v>362</v>
      </c>
      <c r="E146" s="6" t="s">
        <v>3621</v>
      </c>
      <c r="F146" s="6" t="s">
        <v>4211</v>
      </c>
      <c r="G146" s="6" t="s">
        <v>3701</v>
      </c>
      <c r="H146" s="6" t="s">
        <v>3702</v>
      </c>
      <c r="I146" s="6" t="s">
        <v>3703</v>
      </c>
      <c r="J146" s="6">
        <v>48</v>
      </c>
      <c r="K146" s="6" t="s">
        <v>19</v>
      </c>
      <c r="L146" s="10">
        <v>10.788867292500001</v>
      </c>
      <c r="M146" s="6" t="s">
        <v>33</v>
      </c>
      <c r="N146" s="10">
        <f>Tabla11[[#This Row],[Price]]*Tabla11[[#This Row],[QTY Adjusted]]</f>
        <v>517.86563004000004</v>
      </c>
      <c r="O146" s="10">
        <v>517.86563004000004</v>
      </c>
      <c r="P146" s="10" t="s">
        <v>4225</v>
      </c>
      <c r="Q146" s="6">
        <v>0</v>
      </c>
    </row>
    <row r="147" spans="1:17" ht="40.200000000000003" customHeight="1" x14ac:dyDescent="0.3">
      <c r="A147" s="6">
        <v>1456</v>
      </c>
      <c r="B147" s="6" t="s">
        <v>2429</v>
      </c>
      <c r="C147" s="6" t="s">
        <v>723</v>
      </c>
      <c r="D147" s="6" t="s">
        <v>362</v>
      </c>
      <c r="E147" s="6" t="s">
        <v>2584</v>
      </c>
      <c r="F147" s="6" t="s">
        <v>4211</v>
      </c>
      <c r="G147" s="6" t="s">
        <v>2585</v>
      </c>
      <c r="H147" s="6" t="s">
        <v>2586</v>
      </c>
      <c r="I147" s="6" t="s">
        <v>2587</v>
      </c>
      <c r="J147" s="6">
        <v>12</v>
      </c>
      <c r="K147" s="6" t="s">
        <v>19</v>
      </c>
      <c r="L147" s="10">
        <v>42.319884914999989</v>
      </c>
      <c r="M147" s="6" t="s">
        <v>33</v>
      </c>
      <c r="N147" s="10">
        <f>Tabla11[[#This Row],[Price]]*Tabla11[[#This Row],[QTY Adjusted]]</f>
        <v>507.83861897999986</v>
      </c>
      <c r="O147" s="10">
        <v>507.83861897999986</v>
      </c>
      <c r="P147" s="10" t="s">
        <v>4225</v>
      </c>
      <c r="Q147" s="6">
        <v>0</v>
      </c>
    </row>
    <row r="148" spans="1:17" ht="40.200000000000003" customHeight="1" x14ac:dyDescent="0.3">
      <c r="A148" s="6">
        <v>1404</v>
      </c>
      <c r="B148" s="6" t="s">
        <v>2429</v>
      </c>
      <c r="C148" s="6" t="s">
        <v>723</v>
      </c>
      <c r="D148" s="6" t="s">
        <v>362</v>
      </c>
      <c r="E148" s="6" t="s">
        <v>2430</v>
      </c>
      <c r="F148" s="6" t="s">
        <v>4211</v>
      </c>
      <c r="G148" s="6" t="s">
        <v>2437</v>
      </c>
      <c r="H148" s="6" t="s">
        <v>2438</v>
      </c>
      <c r="I148" s="6" t="s">
        <v>2439</v>
      </c>
      <c r="J148" s="6">
        <v>42</v>
      </c>
      <c r="K148" s="6" t="s">
        <v>19</v>
      </c>
      <c r="L148" s="10">
        <v>11.935747642500001</v>
      </c>
      <c r="M148" s="6" t="s">
        <v>33</v>
      </c>
      <c r="N148" s="10">
        <f>Tabla11[[#This Row],[Price]]*Tabla11[[#This Row],[QTY Adjusted]]</f>
        <v>501.30140098500004</v>
      </c>
      <c r="O148" s="10">
        <v>501.30140098500004</v>
      </c>
      <c r="P148" s="10" t="s">
        <v>4225</v>
      </c>
      <c r="Q148" s="6">
        <v>0</v>
      </c>
    </row>
    <row r="149" spans="1:17" ht="40.200000000000003" customHeight="1" x14ac:dyDescent="0.3">
      <c r="A149" s="6">
        <v>1841</v>
      </c>
      <c r="B149" s="6" t="s">
        <v>2429</v>
      </c>
      <c r="C149" s="6" t="s">
        <v>2075</v>
      </c>
      <c r="D149" s="6" t="s">
        <v>362</v>
      </c>
      <c r="E149" s="6" t="s">
        <v>3621</v>
      </c>
      <c r="F149" s="6" t="s">
        <v>4211</v>
      </c>
      <c r="G149" s="6" t="s">
        <v>3685</v>
      </c>
      <c r="H149" s="6" t="s">
        <v>3686</v>
      </c>
      <c r="I149" s="6" t="s">
        <v>3687</v>
      </c>
      <c r="J149" s="6">
        <v>6</v>
      </c>
      <c r="K149" s="6" t="s">
        <v>19</v>
      </c>
      <c r="L149" s="10">
        <v>82.41</v>
      </c>
      <c r="M149" s="6" t="s">
        <v>33</v>
      </c>
      <c r="N149" s="10">
        <f>Tabla11[[#This Row],[Price]]*Tabla11[[#This Row],[QTY Adjusted]]</f>
        <v>494.46</v>
      </c>
      <c r="O149" s="10">
        <v>494.46</v>
      </c>
      <c r="P149" s="10" t="s">
        <v>4225</v>
      </c>
      <c r="Q149" s="6">
        <v>0</v>
      </c>
    </row>
    <row r="150" spans="1:17" ht="40.200000000000003" customHeight="1" x14ac:dyDescent="0.3">
      <c r="A150" s="6">
        <v>1546</v>
      </c>
      <c r="B150" s="6" t="s">
        <v>2429</v>
      </c>
      <c r="C150" s="6" t="s">
        <v>723</v>
      </c>
      <c r="D150" s="6" t="s">
        <v>362</v>
      </c>
      <c r="E150" s="6" t="s">
        <v>2747</v>
      </c>
      <c r="F150" s="6" t="s">
        <v>4211</v>
      </c>
      <c r="G150" s="6" t="s">
        <v>2845</v>
      </c>
      <c r="H150" s="6" t="s">
        <v>2846</v>
      </c>
      <c r="I150" s="6" t="s">
        <v>2847</v>
      </c>
      <c r="J150" s="6">
        <v>60</v>
      </c>
      <c r="K150" s="6" t="s">
        <v>19</v>
      </c>
      <c r="L150" s="10">
        <v>7.9872024374999988</v>
      </c>
      <c r="M150" s="6" t="s">
        <v>33</v>
      </c>
      <c r="N150" s="10">
        <f>Tabla11[[#This Row],[Price]]*Tabla11[[#This Row],[QTY Adjusted]]</f>
        <v>479.23214624999991</v>
      </c>
      <c r="O150" s="10">
        <v>479.23214624999991</v>
      </c>
      <c r="P150" s="10" t="s">
        <v>4225</v>
      </c>
      <c r="Q150" s="6">
        <v>0</v>
      </c>
    </row>
    <row r="151" spans="1:17" ht="40.200000000000003" customHeight="1" x14ac:dyDescent="0.3">
      <c r="A151" s="6">
        <v>1751</v>
      </c>
      <c r="B151" s="6" t="s">
        <v>2429</v>
      </c>
      <c r="C151" s="6" t="s">
        <v>723</v>
      </c>
      <c r="D151" s="6" t="s">
        <v>362</v>
      </c>
      <c r="E151" s="6" t="s">
        <v>3402</v>
      </c>
      <c r="F151" s="6" t="s">
        <v>4211</v>
      </c>
      <c r="G151" s="6" t="s">
        <v>3439</v>
      </c>
      <c r="H151" s="6" t="s">
        <v>3440</v>
      </c>
      <c r="I151" s="6" t="s">
        <v>3441</v>
      </c>
      <c r="J151" s="6">
        <v>48</v>
      </c>
      <c r="K151" s="6" t="s">
        <v>19</v>
      </c>
      <c r="L151" s="10">
        <v>9.9614750400000016</v>
      </c>
      <c r="M151" s="6" t="s">
        <v>33</v>
      </c>
      <c r="N151" s="10">
        <f>Tabla11[[#This Row],[Price]]*Tabla11[[#This Row],[QTY Adjusted]]</f>
        <v>478.15080192000005</v>
      </c>
      <c r="O151" s="10">
        <v>478.15080192000005</v>
      </c>
      <c r="P151" s="10" t="s">
        <v>4225</v>
      </c>
      <c r="Q151" s="6">
        <v>0</v>
      </c>
    </row>
    <row r="152" spans="1:17" ht="40.200000000000003" customHeight="1" x14ac:dyDescent="0.3">
      <c r="A152" s="6">
        <v>1824</v>
      </c>
      <c r="B152" s="6" t="s">
        <v>2429</v>
      </c>
      <c r="C152" s="6" t="s">
        <v>2330</v>
      </c>
      <c r="D152" s="6" t="s">
        <v>178</v>
      </c>
      <c r="E152" s="6" t="s">
        <v>3621</v>
      </c>
      <c r="F152" s="6" t="s">
        <v>4211</v>
      </c>
      <c r="G152" s="6" t="s">
        <v>3637</v>
      </c>
      <c r="H152" s="6" t="s">
        <v>3638</v>
      </c>
      <c r="I152" s="6" t="s">
        <v>3639</v>
      </c>
      <c r="J152" s="6">
        <v>8</v>
      </c>
      <c r="K152" s="6" t="s">
        <v>19</v>
      </c>
      <c r="L152" s="10">
        <v>39.53</v>
      </c>
      <c r="M152" s="6" t="s">
        <v>33</v>
      </c>
      <c r="N152" s="10">
        <f>Tabla11[[#This Row],[Price]]*Tabla11[[#This Row],[QTY Adjusted]]</f>
        <v>316.24</v>
      </c>
      <c r="O152" s="10">
        <v>316.24</v>
      </c>
      <c r="P152" s="10" t="s">
        <v>4230</v>
      </c>
      <c r="Q152" s="6">
        <v>0</v>
      </c>
    </row>
    <row r="153" spans="1:17" ht="40.200000000000003" customHeight="1" x14ac:dyDescent="0.3">
      <c r="A153" s="6">
        <v>1826</v>
      </c>
      <c r="B153" s="6" t="s">
        <v>2429</v>
      </c>
      <c r="C153" s="6" t="s">
        <v>2330</v>
      </c>
      <c r="D153" s="6" t="s">
        <v>178</v>
      </c>
      <c r="E153" s="6" t="s">
        <v>3621</v>
      </c>
      <c r="F153" s="6" t="s">
        <v>4211</v>
      </c>
      <c r="G153" s="6" t="s">
        <v>3643</v>
      </c>
      <c r="H153" s="6" t="s">
        <v>3644</v>
      </c>
      <c r="I153" s="6" t="s">
        <v>3645</v>
      </c>
      <c r="J153" s="6">
        <v>8</v>
      </c>
      <c r="K153" s="6" t="s">
        <v>19</v>
      </c>
      <c r="L153" s="10">
        <v>39.53</v>
      </c>
      <c r="M153" s="6" t="s">
        <v>33</v>
      </c>
      <c r="N153" s="10">
        <f>Tabla11[[#This Row],[Price]]*Tabla11[[#This Row],[QTY Adjusted]]</f>
        <v>316.24</v>
      </c>
      <c r="O153" s="10">
        <v>316.24</v>
      </c>
      <c r="P153" s="10" t="s">
        <v>4225</v>
      </c>
      <c r="Q153" s="6">
        <v>0</v>
      </c>
    </row>
    <row r="154" spans="1:17" ht="40.200000000000003" customHeight="1" x14ac:dyDescent="0.3">
      <c r="A154" s="6">
        <v>1544</v>
      </c>
      <c r="B154" s="6" t="s">
        <v>2429</v>
      </c>
      <c r="C154" s="6" t="s">
        <v>723</v>
      </c>
      <c r="D154" s="6" t="s">
        <v>362</v>
      </c>
      <c r="E154" s="6" t="s">
        <v>2747</v>
      </c>
      <c r="F154" s="6" t="s">
        <v>4211</v>
      </c>
      <c r="G154" s="6" t="s">
        <v>2839</v>
      </c>
      <c r="H154" s="6" t="s">
        <v>2840</v>
      </c>
      <c r="I154" s="6" t="s">
        <v>2841</v>
      </c>
      <c r="J154" s="6">
        <v>60</v>
      </c>
      <c r="K154" s="6" t="s">
        <v>19</v>
      </c>
      <c r="L154" s="10">
        <v>7.7414423625</v>
      </c>
      <c r="M154" s="6" t="s">
        <v>33</v>
      </c>
      <c r="N154" s="10">
        <f>Tabla11[[#This Row],[Price]]*Tabla11[[#This Row],[QTY Adjusted]]</f>
        <v>464.48654175000001</v>
      </c>
      <c r="O154" s="10">
        <v>464.48654175000001</v>
      </c>
      <c r="P154" s="10" t="s">
        <v>4225</v>
      </c>
      <c r="Q154" s="6">
        <v>0</v>
      </c>
    </row>
    <row r="155" spans="1:17" ht="40.200000000000003" customHeight="1" x14ac:dyDescent="0.3">
      <c r="A155" s="6">
        <v>1450</v>
      </c>
      <c r="B155" s="6" t="s">
        <v>2429</v>
      </c>
      <c r="C155" s="6" t="s">
        <v>723</v>
      </c>
      <c r="D155" s="6" t="s">
        <v>362</v>
      </c>
      <c r="E155" s="6" t="s">
        <v>2515</v>
      </c>
      <c r="F155" s="6" t="s">
        <v>4211</v>
      </c>
      <c r="G155" s="6" t="s">
        <v>2566</v>
      </c>
      <c r="H155" s="6" t="s">
        <v>2567</v>
      </c>
      <c r="I155" s="6" t="s">
        <v>2568</v>
      </c>
      <c r="J155" s="6">
        <v>68</v>
      </c>
      <c r="K155" s="6" t="s">
        <v>19</v>
      </c>
      <c r="L155" s="10">
        <v>6.7502100600000023</v>
      </c>
      <c r="M155" s="6" t="s">
        <v>33</v>
      </c>
      <c r="N155" s="10">
        <f>Tabla11[[#This Row],[Price]]*Tabla11[[#This Row],[QTY Adjusted]]</f>
        <v>459.01428408000015</v>
      </c>
      <c r="O155" s="10">
        <v>459.01428408000015</v>
      </c>
      <c r="P155" s="10" t="s">
        <v>4225</v>
      </c>
      <c r="Q155" s="6">
        <v>0</v>
      </c>
    </row>
    <row r="156" spans="1:17" ht="40.200000000000003" customHeight="1" x14ac:dyDescent="0.3">
      <c r="A156" s="6">
        <v>1405</v>
      </c>
      <c r="B156" s="6" t="s">
        <v>2429</v>
      </c>
      <c r="C156" s="6" t="s">
        <v>723</v>
      </c>
      <c r="D156" s="6" t="s">
        <v>362</v>
      </c>
      <c r="E156" s="6" t="s">
        <v>2430</v>
      </c>
      <c r="F156" s="6" t="s">
        <v>4211</v>
      </c>
      <c r="G156" s="6" t="s">
        <v>2440</v>
      </c>
      <c r="H156" s="6" t="s">
        <v>2441</v>
      </c>
      <c r="I156" s="6" t="s">
        <v>2442</v>
      </c>
      <c r="J156" s="6">
        <v>30</v>
      </c>
      <c r="K156" s="6" t="s">
        <v>19</v>
      </c>
      <c r="L156" s="10">
        <v>14.983172572500001</v>
      </c>
      <c r="M156" s="6" t="s">
        <v>33</v>
      </c>
      <c r="N156" s="10">
        <f>Tabla11[[#This Row],[Price]]*Tabla11[[#This Row],[QTY Adjusted]]</f>
        <v>449.49517717500004</v>
      </c>
      <c r="O156" s="10">
        <v>449.49517717500004</v>
      </c>
      <c r="P156" s="10" t="s">
        <v>4225</v>
      </c>
      <c r="Q156" s="6">
        <v>0</v>
      </c>
    </row>
    <row r="157" spans="1:17" ht="40.200000000000003" customHeight="1" x14ac:dyDescent="0.3">
      <c r="A157" s="6">
        <v>1767</v>
      </c>
      <c r="B157" s="6" t="s">
        <v>2429</v>
      </c>
      <c r="C157" s="6" t="s">
        <v>723</v>
      </c>
      <c r="D157" s="6" t="s">
        <v>362</v>
      </c>
      <c r="E157" s="6" t="s">
        <v>3478</v>
      </c>
      <c r="F157" s="6" t="s">
        <v>4211</v>
      </c>
      <c r="G157" s="6" t="s">
        <v>3485</v>
      </c>
      <c r="H157" s="6" t="s">
        <v>3486</v>
      </c>
      <c r="I157" s="6" t="s">
        <v>3486</v>
      </c>
      <c r="J157" s="6">
        <v>8</v>
      </c>
      <c r="K157" s="6" t="s">
        <v>19</v>
      </c>
      <c r="L157" s="10">
        <v>56.14798513500002</v>
      </c>
      <c r="M157" s="6" t="s">
        <v>33</v>
      </c>
      <c r="N157" s="10">
        <f>Tabla11[[#This Row],[Price]]*Tabla11[[#This Row],[QTY Adjusted]]</f>
        <v>449.18388108000016</v>
      </c>
      <c r="O157" s="10">
        <v>449.18388108000016</v>
      </c>
      <c r="P157" s="10" t="s">
        <v>4225</v>
      </c>
      <c r="Q157" s="6">
        <v>0</v>
      </c>
    </row>
    <row r="158" spans="1:17" ht="40.200000000000003" customHeight="1" x14ac:dyDescent="0.3">
      <c r="A158" s="6">
        <v>1769</v>
      </c>
      <c r="B158" s="6" t="s">
        <v>2429</v>
      </c>
      <c r="C158" s="6" t="s">
        <v>723</v>
      </c>
      <c r="D158" s="6" t="s">
        <v>362</v>
      </c>
      <c r="E158" s="6" t="s">
        <v>3478</v>
      </c>
      <c r="F158" s="6" t="s">
        <v>4211</v>
      </c>
      <c r="G158" s="6" t="s">
        <v>3489</v>
      </c>
      <c r="H158" s="6" t="s">
        <v>3490</v>
      </c>
      <c r="I158" s="6" t="s">
        <v>3490</v>
      </c>
      <c r="J158" s="6">
        <v>8</v>
      </c>
      <c r="K158" s="6" t="s">
        <v>19</v>
      </c>
      <c r="L158" s="10">
        <v>56.14798513500002</v>
      </c>
      <c r="M158" s="6" t="s">
        <v>33</v>
      </c>
      <c r="N158" s="10">
        <f>Tabla11[[#This Row],[Price]]*Tabla11[[#This Row],[QTY Adjusted]]</f>
        <v>449.18388108000016</v>
      </c>
      <c r="O158" s="10">
        <v>449.18388108000016</v>
      </c>
      <c r="P158" s="10" t="s">
        <v>4225</v>
      </c>
      <c r="Q158" s="6">
        <v>0</v>
      </c>
    </row>
    <row r="159" spans="1:17" ht="40.200000000000003" customHeight="1" x14ac:dyDescent="0.3">
      <c r="A159" s="6">
        <v>1773</v>
      </c>
      <c r="B159" s="6" t="s">
        <v>2429</v>
      </c>
      <c r="C159" s="6" t="s">
        <v>723</v>
      </c>
      <c r="D159" s="6" t="s">
        <v>362</v>
      </c>
      <c r="E159" s="6" t="s">
        <v>3478</v>
      </c>
      <c r="F159" s="6" t="s">
        <v>4211</v>
      </c>
      <c r="G159" s="6" t="s">
        <v>3497</v>
      </c>
      <c r="H159" s="6" t="s">
        <v>3498</v>
      </c>
      <c r="I159" s="6" t="s">
        <v>3498</v>
      </c>
      <c r="J159" s="6">
        <v>8</v>
      </c>
      <c r="K159" s="6" t="s">
        <v>19</v>
      </c>
      <c r="L159" s="10">
        <v>56.14798513500002</v>
      </c>
      <c r="M159" s="6" t="s">
        <v>33</v>
      </c>
      <c r="N159" s="10">
        <f>Tabla11[[#This Row],[Price]]*Tabla11[[#This Row],[QTY Adjusted]]</f>
        <v>449.18388108000016</v>
      </c>
      <c r="O159" s="10">
        <v>449.18388108000016</v>
      </c>
      <c r="P159" s="10" t="s">
        <v>4225</v>
      </c>
      <c r="Q159" s="6">
        <v>0</v>
      </c>
    </row>
    <row r="160" spans="1:17" ht="40.200000000000003" customHeight="1" x14ac:dyDescent="0.3">
      <c r="A160" s="6">
        <v>1519</v>
      </c>
      <c r="B160" s="6" t="s">
        <v>2429</v>
      </c>
      <c r="C160" s="6" t="s">
        <v>723</v>
      </c>
      <c r="D160" s="6" t="s">
        <v>362</v>
      </c>
      <c r="E160" s="6" t="s">
        <v>2747</v>
      </c>
      <c r="F160" s="6" t="s">
        <v>4211</v>
      </c>
      <c r="G160" s="6" t="s">
        <v>2768</v>
      </c>
      <c r="H160" s="6" t="s">
        <v>2769</v>
      </c>
      <c r="I160" s="6" t="s">
        <v>2770</v>
      </c>
      <c r="J160" s="6">
        <v>24</v>
      </c>
      <c r="K160" s="6" t="s">
        <v>19</v>
      </c>
      <c r="L160" s="10">
        <v>18.685957702500001</v>
      </c>
      <c r="M160" s="6" t="s">
        <v>33</v>
      </c>
      <c r="N160" s="10">
        <f>Tabla11[[#This Row],[Price]]*Tabla11[[#This Row],[QTY Adjusted]]</f>
        <v>448.46298486000001</v>
      </c>
      <c r="O160" s="10">
        <v>448.46298486000001</v>
      </c>
      <c r="P160" s="10" t="s">
        <v>4225</v>
      </c>
      <c r="Q160" s="6">
        <v>0</v>
      </c>
    </row>
    <row r="161" spans="1:17" ht="40.200000000000003" customHeight="1" x14ac:dyDescent="0.3">
      <c r="A161" s="6">
        <v>1493</v>
      </c>
      <c r="B161" s="6" t="s">
        <v>2429</v>
      </c>
      <c r="C161" s="6" t="s">
        <v>723</v>
      </c>
      <c r="D161" s="6" t="s">
        <v>362</v>
      </c>
      <c r="E161" s="6" t="s">
        <v>2584</v>
      </c>
      <c r="F161" s="6" t="s">
        <v>4211</v>
      </c>
      <c r="G161" s="6" t="s">
        <v>2695</v>
      </c>
      <c r="H161" s="6" t="s">
        <v>2696</v>
      </c>
      <c r="I161" s="6" t="s">
        <v>2697</v>
      </c>
      <c r="J161" s="6">
        <v>4</v>
      </c>
      <c r="K161" s="6" t="s">
        <v>19</v>
      </c>
      <c r="L161" s="10">
        <v>89.489435310000005</v>
      </c>
      <c r="M161" s="6" t="s">
        <v>33</v>
      </c>
      <c r="N161" s="10">
        <f>Tabla11[[#This Row],[Price]]*Tabla11[[#This Row],[QTY Adjusted]]</f>
        <v>357.95774124000002</v>
      </c>
      <c r="O161" s="10">
        <v>357.95774124000002</v>
      </c>
      <c r="P161" s="10" t="s">
        <v>4225</v>
      </c>
      <c r="Q161" s="6">
        <v>0</v>
      </c>
    </row>
    <row r="162" spans="1:17" ht="40.200000000000003" customHeight="1" x14ac:dyDescent="0.3">
      <c r="A162" s="6">
        <v>1777</v>
      </c>
      <c r="B162" s="6" t="s">
        <v>2429</v>
      </c>
      <c r="C162" s="6" t="s">
        <v>723</v>
      </c>
      <c r="D162" s="6" t="s">
        <v>362</v>
      </c>
      <c r="E162" s="6" t="s">
        <v>3478</v>
      </c>
      <c r="F162" s="6" t="s">
        <v>4211</v>
      </c>
      <c r="G162" s="6" t="s">
        <v>3506</v>
      </c>
      <c r="H162" s="6" t="s">
        <v>3507</v>
      </c>
      <c r="I162" s="6" t="s">
        <v>3507</v>
      </c>
      <c r="J162" s="6">
        <v>8</v>
      </c>
      <c r="K162" s="6" t="s">
        <v>19</v>
      </c>
      <c r="L162" s="10">
        <v>40.509452362499999</v>
      </c>
      <c r="M162" s="6" t="s">
        <v>33</v>
      </c>
      <c r="N162" s="10">
        <f>Tabla11[[#This Row],[Price]]*Tabla11[[#This Row],[QTY Adjusted]]</f>
        <v>324.07561889999999</v>
      </c>
      <c r="O162" s="10">
        <v>324.07561889999999</v>
      </c>
      <c r="P162" s="10" t="s">
        <v>4225</v>
      </c>
      <c r="Q162" s="6">
        <v>0</v>
      </c>
    </row>
    <row r="163" spans="1:17" ht="40.200000000000003" customHeight="1" x14ac:dyDescent="0.3">
      <c r="A163" s="6">
        <v>1621</v>
      </c>
      <c r="B163" s="6" t="s">
        <v>2429</v>
      </c>
      <c r="C163" s="6" t="s">
        <v>3072</v>
      </c>
      <c r="D163" s="6" t="s">
        <v>178</v>
      </c>
      <c r="E163" s="6" t="s">
        <v>2999</v>
      </c>
      <c r="F163" s="6" t="s">
        <v>4211</v>
      </c>
      <c r="G163" s="6" t="s">
        <v>3073</v>
      </c>
      <c r="H163" s="6" t="s">
        <v>3074</v>
      </c>
      <c r="I163" s="6" t="s">
        <v>3075</v>
      </c>
      <c r="J163" s="6">
        <v>2</v>
      </c>
      <c r="K163" s="6" t="s">
        <v>19</v>
      </c>
      <c r="L163" s="10">
        <v>220.74</v>
      </c>
      <c r="M163" s="6" t="s">
        <v>33</v>
      </c>
      <c r="N163" s="10">
        <f>Tabla11[[#This Row],[Price]]*Tabla11[[#This Row],[QTY Adjusted]]</f>
        <v>441.48</v>
      </c>
      <c r="O163" s="10">
        <v>441.48</v>
      </c>
      <c r="P163" s="10" t="s">
        <v>4225</v>
      </c>
      <c r="Q163" s="6">
        <v>0</v>
      </c>
    </row>
    <row r="164" spans="1:17" ht="40.200000000000003" customHeight="1" x14ac:dyDescent="0.3">
      <c r="A164" s="6">
        <v>1624</v>
      </c>
      <c r="B164" s="6" t="s">
        <v>2429</v>
      </c>
      <c r="C164" s="6" t="s">
        <v>3082</v>
      </c>
      <c r="D164" s="6" t="s">
        <v>178</v>
      </c>
      <c r="E164" s="6" t="s">
        <v>2999</v>
      </c>
      <c r="F164" s="6" t="s">
        <v>4211</v>
      </c>
      <c r="G164" s="6">
        <v>56824</v>
      </c>
      <c r="H164" s="6" t="s">
        <v>3083</v>
      </c>
      <c r="I164" s="6" t="s">
        <v>3084</v>
      </c>
      <c r="J164" s="6">
        <v>2</v>
      </c>
      <c r="K164" s="6" t="s">
        <v>19</v>
      </c>
      <c r="L164" s="10">
        <v>220.01</v>
      </c>
      <c r="M164" s="6" t="s">
        <v>33</v>
      </c>
      <c r="N164" s="10">
        <f>Tabla11[[#This Row],[Price]]*Tabla11[[#This Row],[QTY Adjusted]]</f>
        <v>440.02</v>
      </c>
      <c r="O164" s="10">
        <v>440.02</v>
      </c>
      <c r="P164" s="10" t="s">
        <v>4235</v>
      </c>
      <c r="Q164" s="6">
        <v>0</v>
      </c>
    </row>
    <row r="165" spans="1:17" ht="40.200000000000003" customHeight="1" x14ac:dyDescent="0.3">
      <c r="A165" s="6">
        <v>1774</v>
      </c>
      <c r="B165" s="6" t="s">
        <v>2429</v>
      </c>
      <c r="C165" s="6" t="s">
        <v>723</v>
      </c>
      <c r="D165" s="6" t="s">
        <v>362</v>
      </c>
      <c r="E165" s="6" t="s">
        <v>3478</v>
      </c>
      <c r="F165" s="6" t="s">
        <v>4211</v>
      </c>
      <c r="G165" s="6" t="s">
        <v>3499</v>
      </c>
      <c r="H165" s="6" t="s">
        <v>3500</v>
      </c>
      <c r="I165" s="6" t="s">
        <v>3500</v>
      </c>
      <c r="J165" s="6">
        <v>18</v>
      </c>
      <c r="K165" s="6" t="s">
        <v>19</v>
      </c>
      <c r="L165" s="10">
        <v>24.178411764705881</v>
      </c>
      <c r="M165" s="6" t="s">
        <v>33</v>
      </c>
      <c r="N165" s="10">
        <f>Tabla11[[#This Row],[Price]]*Tabla11[[#This Row],[QTY Adjusted]]</f>
        <v>435.21141176470587</v>
      </c>
      <c r="O165" s="10">
        <v>435.21141176470587</v>
      </c>
      <c r="P165" s="10" t="s">
        <v>4225</v>
      </c>
      <c r="Q165" s="6">
        <v>0</v>
      </c>
    </row>
    <row r="166" spans="1:17" ht="40.200000000000003" customHeight="1" x14ac:dyDescent="0.3">
      <c r="A166" s="6">
        <v>1794</v>
      </c>
      <c r="B166" s="6" t="s">
        <v>2429</v>
      </c>
      <c r="C166" s="6" t="s">
        <v>723</v>
      </c>
      <c r="D166" s="6" t="s">
        <v>362</v>
      </c>
      <c r="E166" s="6" t="s">
        <v>3520</v>
      </c>
      <c r="F166" s="6" t="s">
        <v>4211</v>
      </c>
      <c r="G166" s="6" t="s">
        <v>3545</v>
      </c>
      <c r="H166" s="6" t="s">
        <v>3546</v>
      </c>
      <c r="I166" s="6" t="s">
        <v>3547</v>
      </c>
      <c r="J166" s="6">
        <v>108</v>
      </c>
      <c r="K166" s="6" t="s">
        <v>19</v>
      </c>
      <c r="L166" s="10">
        <v>3.9485452050000003</v>
      </c>
      <c r="M166" s="6" t="s">
        <v>33</v>
      </c>
      <c r="N166" s="10">
        <f>Tabla11[[#This Row],[Price]]*Tabla11[[#This Row],[QTY Adjusted]]</f>
        <v>426.44288214000005</v>
      </c>
      <c r="O166" s="10">
        <v>426.44288214000005</v>
      </c>
      <c r="P166" s="10" t="s">
        <v>4225</v>
      </c>
      <c r="Q166" s="6">
        <v>0</v>
      </c>
    </row>
    <row r="167" spans="1:17" ht="40.200000000000003" customHeight="1" x14ac:dyDescent="0.3">
      <c r="A167" s="6">
        <v>1461</v>
      </c>
      <c r="B167" s="6" t="s">
        <v>2429</v>
      </c>
      <c r="C167" s="6" t="s">
        <v>723</v>
      </c>
      <c r="D167" s="6" t="s">
        <v>362</v>
      </c>
      <c r="E167" s="6" t="s">
        <v>2584</v>
      </c>
      <c r="F167" s="6" t="s">
        <v>4211</v>
      </c>
      <c r="G167" s="6" t="s">
        <v>2599</v>
      </c>
      <c r="H167" s="6" t="s">
        <v>2600</v>
      </c>
      <c r="I167" s="6" t="s">
        <v>2601</v>
      </c>
      <c r="J167" s="6">
        <v>31</v>
      </c>
      <c r="K167" s="6" t="s">
        <v>19</v>
      </c>
      <c r="L167" s="10">
        <v>13.664260169999999</v>
      </c>
      <c r="M167" s="6" t="s">
        <v>33</v>
      </c>
      <c r="N167" s="10">
        <f>Tabla11[[#This Row],[Price]]*Tabla11[[#This Row],[QTY Adjusted]]</f>
        <v>423.59206526999998</v>
      </c>
      <c r="O167" s="10">
        <v>423.59206526999998</v>
      </c>
      <c r="P167" s="10" t="s">
        <v>4225</v>
      </c>
      <c r="Q167" s="6">
        <v>0</v>
      </c>
    </row>
    <row r="168" spans="1:17" ht="40.200000000000003" customHeight="1" x14ac:dyDescent="0.3">
      <c r="A168" s="6">
        <v>1722</v>
      </c>
      <c r="B168" s="6" t="s">
        <v>2429</v>
      </c>
      <c r="C168" s="6" t="s">
        <v>723</v>
      </c>
      <c r="D168" s="6" t="s">
        <v>362</v>
      </c>
      <c r="E168" s="6" t="s">
        <v>3325</v>
      </c>
      <c r="F168" s="6" t="s">
        <v>4211</v>
      </c>
      <c r="G168" s="6" t="s">
        <v>3353</v>
      </c>
      <c r="H168" s="6" t="s">
        <v>3354</v>
      </c>
      <c r="I168" s="6" t="s">
        <v>3355</v>
      </c>
      <c r="J168" s="6">
        <v>5</v>
      </c>
      <c r="K168" s="6" t="s">
        <v>19</v>
      </c>
      <c r="L168" s="10">
        <v>84.631577827499981</v>
      </c>
      <c r="M168" s="6" t="s">
        <v>33</v>
      </c>
      <c r="N168" s="10">
        <f>Tabla11[[#This Row],[Price]]*Tabla11[[#This Row],[QTY Adjusted]]</f>
        <v>423.15788913749992</v>
      </c>
      <c r="O168" s="10">
        <v>423.15788913749992</v>
      </c>
      <c r="P168" s="10" t="s">
        <v>4225</v>
      </c>
      <c r="Q168" s="6">
        <v>0</v>
      </c>
    </row>
    <row r="169" spans="1:17" ht="40.200000000000003" customHeight="1" x14ac:dyDescent="0.3">
      <c r="A169" s="6">
        <v>1723</v>
      </c>
      <c r="B169" s="6" t="s">
        <v>2429</v>
      </c>
      <c r="C169" s="6" t="s">
        <v>723</v>
      </c>
      <c r="D169" s="6" t="s">
        <v>362</v>
      </c>
      <c r="E169" s="6" t="s">
        <v>3325</v>
      </c>
      <c r="F169" s="6" t="s">
        <v>4211</v>
      </c>
      <c r="G169" s="6" t="s">
        <v>3356</v>
      </c>
      <c r="H169" s="6" t="s">
        <v>3357</v>
      </c>
      <c r="I169" s="6" t="s">
        <v>3358</v>
      </c>
      <c r="J169" s="6">
        <v>4</v>
      </c>
      <c r="K169" s="6" t="s">
        <v>19</v>
      </c>
      <c r="L169" s="10">
        <v>105.13616008500003</v>
      </c>
      <c r="M169" s="6" t="s">
        <v>33</v>
      </c>
      <c r="N169" s="10">
        <f>Tabla11[[#This Row],[Price]]*Tabla11[[#This Row],[QTY Adjusted]]</f>
        <v>420.54464034000011</v>
      </c>
      <c r="O169" s="10">
        <v>420.54464034000011</v>
      </c>
      <c r="P169" s="10" t="s">
        <v>4225</v>
      </c>
      <c r="Q169" s="6">
        <v>0</v>
      </c>
    </row>
    <row r="170" spans="1:17" ht="40.200000000000003" customHeight="1" x14ac:dyDescent="0.3">
      <c r="A170" s="6">
        <v>1724</v>
      </c>
      <c r="B170" s="6" t="s">
        <v>2429</v>
      </c>
      <c r="C170" s="6" t="s">
        <v>723</v>
      </c>
      <c r="D170" s="6" t="s">
        <v>362</v>
      </c>
      <c r="E170" s="6" t="s">
        <v>3325</v>
      </c>
      <c r="F170" s="6" t="s">
        <v>4211</v>
      </c>
      <c r="G170" s="6" t="s">
        <v>3359</v>
      </c>
      <c r="H170" s="6" t="s">
        <v>3360</v>
      </c>
      <c r="I170" s="6" t="s">
        <v>3361</v>
      </c>
      <c r="J170" s="6">
        <v>2</v>
      </c>
      <c r="K170" s="6" t="s">
        <v>19</v>
      </c>
      <c r="L170" s="10">
        <v>209.1991678425</v>
      </c>
      <c r="M170" s="6" t="s">
        <v>33</v>
      </c>
      <c r="N170" s="10">
        <f>Tabla11[[#This Row],[Price]]*Tabla11[[#This Row],[QTY Adjusted]]</f>
        <v>418.39833568500001</v>
      </c>
      <c r="O170" s="10">
        <v>418.39833568500001</v>
      </c>
      <c r="P170" s="10" t="s">
        <v>4225</v>
      </c>
      <c r="Q170" s="6">
        <v>0</v>
      </c>
    </row>
    <row r="171" spans="1:17" ht="40.200000000000003" customHeight="1" x14ac:dyDescent="0.3">
      <c r="A171" s="6">
        <v>1543</v>
      </c>
      <c r="B171" s="6" t="s">
        <v>2429</v>
      </c>
      <c r="C171" s="6" t="s">
        <v>723</v>
      </c>
      <c r="D171" s="6" t="s">
        <v>362</v>
      </c>
      <c r="E171" s="6" t="s">
        <v>2747</v>
      </c>
      <c r="F171" s="6" t="s">
        <v>4211</v>
      </c>
      <c r="G171" s="6" t="s">
        <v>2836</v>
      </c>
      <c r="H171" s="6" t="s">
        <v>2837</v>
      </c>
      <c r="I171" s="6" t="s">
        <v>2838</v>
      </c>
      <c r="J171" s="6">
        <v>60</v>
      </c>
      <c r="K171" s="6" t="s">
        <v>19</v>
      </c>
      <c r="L171" s="10">
        <v>6.8321300849999993</v>
      </c>
      <c r="M171" s="6" t="s">
        <v>33</v>
      </c>
      <c r="N171" s="10">
        <f>Tabla11[[#This Row],[Price]]*Tabla11[[#This Row],[QTY Adjusted]]</f>
        <v>409.92780509999994</v>
      </c>
      <c r="O171" s="10">
        <v>409.92780509999994</v>
      </c>
      <c r="P171" s="10" t="s">
        <v>4228</v>
      </c>
      <c r="Q171" s="6" t="s">
        <v>4246</v>
      </c>
    </row>
    <row r="172" spans="1:17" ht="40.200000000000003" customHeight="1" x14ac:dyDescent="0.3">
      <c r="A172" s="6">
        <v>1547</v>
      </c>
      <c r="B172" s="6" t="s">
        <v>2429</v>
      </c>
      <c r="C172" s="6" t="s">
        <v>723</v>
      </c>
      <c r="D172" s="6" t="s">
        <v>362</v>
      </c>
      <c r="E172" s="6" t="s">
        <v>2747</v>
      </c>
      <c r="F172" s="6" t="s">
        <v>4211</v>
      </c>
      <c r="G172" s="6" t="s">
        <v>2848</v>
      </c>
      <c r="H172" s="6" t="s">
        <v>2849</v>
      </c>
      <c r="I172" s="6" t="s">
        <v>2850</v>
      </c>
      <c r="J172" s="6">
        <v>60</v>
      </c>
      <c r="K172" s="6" t="s">
        <v>19</v>
      </c>
      <c r="L172" s="10">
        <v>6.8321300849999993</v>
      </c>
      <c r="M172" s="6" t="s">
        <v>33</v>
      </c>
      <c r="N172" s="10">
        <f>Tabla11[[#This Row],[Price]]*Tabla11[[#This Row],[QTY Adjusted]]</f>
        <v>409.92780509999994</v>
      </c>
      <c r="O172" s="10">
        <v>409.92780509999994</v>
      </c>
      <c r="P172" s="10" t="s">
        <v>4225</v>
      </c>
      <c r="Q172" s="6">
        <v>0</v>
      </c>
    </row>
    <row r="173" spans="1:17" ht="40.200000000000003" customHeight="1" x14ac:dyDescent="0.3">
      <c r="A173" s="6">
        <v>1531</v>
      </c>
      <c r="B173" s="6" t="s">
        <v>2429</v>
      </c>
      <c r="C173" s="6" t="s">
        <v>309</v>
      </c>
      <c r="D173" s="6" t="s">
        <v>362</v>
      </c>
      <c r="E173" s="6" t="s">
        <v>2747</v>
      </c>
      <c r="F173" s="6" t="s">
        <v>4211</v>
      </c>
      <c r="G173" s="6">
        <v>140204</v>
      </c>
      <c r="H173" s="6" t="s">
        <v>2802</v>
      </c>
      <c r="I173" s="6" t="s">
        <v>2803</v>
      </c>
      <c r="J173" s="6">
        <v>2</v>
      </c>
      <c r="K173" s="6" t="s">
        <v>19</v>
      </c>
      <c r="L173" s="10">
        <v>204.42526500000002</v>
      </c>
      <c r="M173" s="6" t="s">
        <v>33</v>
      </c>
      <c r="N173" s="10">
        <f>Tabla11[[#This Row],[Price]]*Tabla11[[#This Row],[QTY Adjusted]]</f>
        <v>408.85053000000005</v>
      </c>
      <c r="O173" s="10">
        <v>408.85053000000005</v>
      </c>
      <c r="P173" s="10" t="s">
        <v>4225</v>
      </c>
      <c r="Q173" s="6">
        <v>0</v>
      </c>
    </row>
    <row r="174" spans="1:17" ht="40.200000000000003" customHeight="1" x14ac:dyDescent="0.3">
      <c r="A174" s="6">
        <v>1792</v>
      </c>
      <c r="B174" s="6" t="s">
        <v>2429</v>
      </c>
      <c r="C174" s="6" t="s">
        <v>723</v>
      </c>
      <c r="D174" s="6" t="s">
        <v>362</v>
      </c>
      <c r="E174" s="6" t="s">
        <v>3520</v>
      </c>
      <c r="F174" s="6" t="s">
        <v>4211</v>
      </c>
      <c r="G174" s="6" t="s">
        <v>3539</v>
      </c>
      <c r="H174" s="6" t="s">
        <v>3540</v>
      </c>
      <c r="I174" s="6" t="s">
        <v>3541</v>
      </c>
      <c r="J174" s="6">
        <v>48</v>
      </c>
      <c r="K174" s="6" t="s">
        <v>19</v>
      </c>
      <c r="L174" s="10">
        <v>8.4787225875000019</v>
      </c>
      <c r="M174" s="6" t="s">
        <v>33</v>
      </c>
      <c r="N174" s="10">
        <f>Tabla11[[#This Row],[Price]]*Tabla11[[#This Row],[QTY Adjusted]]</f>
        <v>406.97868420000009</v>
      </c>
      <c r="O174" s="10">
        <v>406.97868420000009</v>
      </c>
      <c r="P174" s="10" t="s">
        <v>4225</v>
      </c>
      <c r="Q174" s="6">
        <v>0</v>
      </c>
    </row>
    <row r="175" spans="1:17" ht="40.200000000000003" customHeight="1" x14ac:dyDescent="0.3">
      <c r="A175" s="6">
        <v>1629</v>
      </c>
      <c r="B175" s="6" t="s">
        <v>2429</v>
      </c>
      <c r="C175" s="6" t="s">
        <v>3097</v>
      </c>
      <c r="D175" s="6" t="s">
        <v>178</v>
      </c>
      <c r="E175" s="6" t="s">
        <v>2999</v>
      </c>
      <c r="F175" s="6" t="s">
        <v>4211</v>
      </c>
      <c r="G175" s="6" t="s">
        <v>3098</v>
      </c>
      <c r="H175" s="6" t="s">
        <v>3099</v>
      </c>
      <c r="I175" s="6" t="s">
        <v>3100</v>
      </c>
      <c r="J175" s="6">
        <v>1</v>
      </c>
      <c r="K175" s="6" t="s">
        <v>19</v>
      </c>
      <c r="L175" s="10">
        <v>402.08</v>
      </c>
      <c r="M175" s="6" t="s">
        <v>33</v>
      </c>
      <c r="N175" s="10">
        <f>Tabla11[[#This Row],[Price]]*Tabla11[[#This Row],[QTY Adjusted]]</f>
        <v>402.08</v>
      </c>
      <c r="O175" s="10">
        <v>402.08</v>
      </c>
      <c r="P175" s="10" t="s">
        <v>4225</v>
      </c>
      <c r="Q175" s="6">
        <v>0</v>
      </c>
    </row>
    <row r="176" spans="1:17" ht="40.200000000000003" customHeight="1" x14ac:dyDescent="0.3">
      <c r="A176" s="6">
        <v>1635</v>
      </c>
      <c r="B176" s="6" t="s">
        <v>2429</v>
      </c>
      <c r="C176" s="6" t="s">
        <v>723</v>
      </c>
      <c r="D176" s="6" t="s">
        <v>362</v>
      </c>
      <c r="E176" s="6" t="s">
        <v>3107</v>
      </c>
      <c r="F176" s="6" t="s">
        <v>4211</v>
      </c>
      <c r="G176" s="6" t="s">
        <v>3117</v>
      </c>
      <c r="H176" s="6" t="s">
        <v>3118</v>
      </c>
      <c r="I176" s="6" t="s">
        <v>3113</v>
      </c>
      <c r="J176" s="6">
        <v>10</v>
      </c>
      <c r="K176" s="6" t="s">
        <v>19</v>
      </c>
      <c r="L176" s="10">
        <v>39.763980134999997</v>
      </c>
      <c r="M176" s="6" t="s">
        <v>33</v>
      </c>
      <c r="N176" s="10">
        <f>Tabla11[[#This Row],[Price]]*Tabla11[[#This Row],[QTY Adjusted]]</f>
        <v>397.63980134999997</v>
      </c>
      <c r="O176" s="10">
        <v>397.63980134999997</v>
      </c>
      <c r="P176" s="10" t="s">
        <v>4225</v>
      </c>
      <c r="Q176" s="6">
        <v>0</v>
      </c>
    </row>
    <row r="177" spans="1:17" ht="40.200000000000003" customHeight="1" x14ac:dyDescent="0.3">
      <c r="A177" s="6">
        <v>1702</v>
      </c>
      <c r="B177" s="6" t="s">
        <v>2429</v>
      </c>
      <c r="C177" s="6" t="s">
        <v>723</v>
      </c>
      <c r="D177" s="6" t="s">
        <v>362</v>
      </c>
      <c r="E177" s="6" t="s">
        <v>3282</v>
      </c>
      <c r="F177" s="6" t="s">
        <v>4211</v>
      </c>
      <c r="G177" s="6" t="s">
        <v>3295</v>
      </c>
      <c r="H177" s="6" t="s">
        <v>3296</v>
      </c>
      <c r="I177" s="6" t="s">
        <v>3297</v>
      </c>
      <c r="J177" s="6">
        <v>8</v>
      </c>
      <c r="K177" s="6" t="s">
        <v>19</v>
      </c>
      <c r="L177" s="10">
        <v>48.82433489999999</v>
      </c>
      <c r="M177" s="6" t="s">
        <v>33</v>
      </c>
      <c r="N177" s="10">
        <f>Tabla11[[#This Row],[Price]]*Tabla11[[#This Row],[QTY Adjusted]]</f>
        <v>390.59467919999992</v>
      </c>
      <c r="O177" s="10">
        <v>390.59467919999992</v>
      </c>
      <c r="P177" s="10" t="s">
        <v>4225</v>
      </c>
      <c r="Q177" s="6">
        <v>0</v>
      </c>
    </row>
    <row r="178" spans="1:17" ht="40.200000000000003" customHeight="1" x14ac:dyDescent="0.3">
      <c r="A178" s="6">
        <v>1626</v>
      </c>
      <c r="B178" s="6" t="s">
        <v>2429</v>
      </c>
      <c r="C178" s="6" t="s">
        <v>309</v>
      </c>
      <c r="D178" s="6" t="s">
        <v>362</v>
      </c>
      <c r="E178" s="6" t="s">
        <v>2999</v>
      </c>
      <c r="F178" s="6" t="s">
        <v>4211</v>
      </c>
      <c r="G178" s="6" t="s">
        <v>3088</v>
      </c>
      <c r="H178" s="6" t="s">
        <v>3089</v>
      </c>
      <c r="I178" s="6" t="s">
        <v>3090</v>
      </c>
      <c r="J178" s="6">
        <v>2</v>
      </c>
      <c r="K178" s="6" t="s">
        <v>19</v>
      </c>
      <c r="L178" s="10">
        <v>194.51675294117646</v>
      </c>
      <c r="M178" s="6" t="s">
        <v>33</v>
      </c>
      <c r="N178" s="10">
        <f>Tabla11[[#This Row],[Price]]*Tabla11[[#This Row],[QTY Adjusted]]</f>
        <v>389.03350588235293</v>
      </c>
      <c r="O178" s="10">
        <v>389.03350588235293</v>
      </c>
      <c r="P178" s="10" t="s">
        <v>4225</v>
      </c>
      <c r="Q178" s="6">
        <v>0</v>
      </c>
    </row>
    <row r="179" spans="1:17" ht="40.200000000000003" customHeight="1" x14ac:dyDescent="0.3">
      <c r="A179" s="6">
        <v>1701</v>
      </c>
      <c r="B179" s="6" t="s">
        <v>2429</v>
      </c>
      <c r="C179" s="6" t="s">
        <v>723</v>
      </c>
      <c r="D179" s="6" t="s">
        <v>362</v>
      </c>
      <c r="E179" s="6" t="s">
        <v>3282</v>
      </c>
      <c r="F179" s="6" t="s">
        <v>4211</v>
      </c>
      <c r="G179" s="6" t="s">
        <v>3292</v>
      </c>
      <c r="H179" s="6" t="s">
        <v>3293</v>
      </c>
      <c r="I179" s="6" t="s">
        <v>3294</v>
      </c>
      <c r="J179" s="6">
        <v>12</v>
      </c>
      <c r="K179" s="6" t="s">
        <v>19</v>
      </c>
      <c r="L179" s="10">
        <v>32.194569825000002</v>
      </c>
      <c r="M179" s="6" t="s">
        <v>33</v>
      </c>
      <c r="N179" s="10">
        <f>Tabla11[[#This Row],[Price]]*Tabla11[[#This Row],[QTY Adjusted]]</f>
        <v>386.33483790000003</v>
      </c>
      <c r="O179" s="10">
        <v>386.33483790000003</v>
      </c>
      <c r="P179" s="10" t="s">
        <v>4225</v>
      </c>
      <c r="Q179" s="6">
        <v>0</v>
      </c>
    </row>
    <row r="180" spans="1:17" ht="40.200000000000003" customHeight="1" x14ac:dyDescent="0.3">
      <c r="A180" s="6">
        <v>1778</v>
      </c>
      <c r="B180" s="6" t="s">
        <v>2429</v>
      </c>
      <c r="C180" s="6" t="s">
        <v>3508</v>
      </c>
      <c r="D180" s="6" t="s">
        <v>362</v>
      </c>
      <c r="E180" s="6" t="s">
        <v>3478</v>
      </c>
      <c r="F180" s="6" t="s">
        <v>4211</v>
      </c>
      <c r="G180" s="6" t="s">
        <v>3509</v>
      </c>
      <c r="H180" s="6" t="s">
        <v>3510</v>
      </c>
      <c r="I180" s="6" t="s">
        <v>3510</v>
      </c>
      <c r="J180" s="6">
        <v>23</v>
      </c>
      <c r="K180" s="6" t="s">
        <v>19</v>
      </c>
      <c r="L180" s="10">
        <v>16.762941176470587</v>
      </c>
      <c r="M180" s="6" t="s">
        <v>33</v>
      </c>
      <c r="N180" s="10">
        <f>Tabla11[[#This Row],[Price]]*Tabla11[[#This Row],[QTY Adjusted]]</f>
        <v>385.54764705882349</v>
      </c>
      <c r="O180" s="10">
        <v>385.54764705882349</v>
      </c>
      <c r="P180" s="10" t="s">
        <v>4225</v>
      </c>
      <c r="Q180" s="6">
        <v>0</v>
      </c>
    </row>
    <row r="181" spans="1:17" ht="40.200000000000003" customHeight="1" x14ac:dyDescent="0.3">
      <c r="A181" s="6">
        <v>1793</v>
      </c>
      <c r="B181" s="6" t="s">
        <v>2429</v>
      </c>
      <c r="C181" s="6" t="s">
        <v>723</v>
      </c>
      <c r="D181" s="6" t="s">
        <v>362</v>
      </c>
      <c r="E181" s="6" t="s">
        <v>3520</v>
      </c>
      <c r="F181" s="6" t="s">
        <v>4211</v>
      </c>
      <c r="G181" s="6" t="s">
        <v>3542</v>
      </c>
      <c r="H181" s="6" t="s">
        <v>3543</v>
      </c>
      <c r="I181" s="6" t="s">
        <v>3544</v>
      </c>
      <c r="J181" s="6">
        <v>36</v>
      </c>
      <c r="K181" s="6" t="s">
        <v>19</v>
      </c>
      <c r="L181" s="10">
        <v>10.534915215</v>
      </c>
      <c r="M181" s="6" t="s">
        <v>33</v>
      </c>
      <c r="N181" s="10">
        <f>Tabla11[[#This Row],[Price]]*Tabla11[[#This Row],[QTY Adjusted]]</f>
        <v>379.25694773999999</v>
      </c>
      <c r="O181" s="10">
        <v>379.25694773999999</v>
      </c>
      <c r="P181" s="10" t="s">
        <v>4225</v>
      </c>
      <c r="Q181" s="6">
        <v>0</v>
      </c>
    </row>
    <row r="182" spans="1:17" ht="40.200000000000003" customHeight="1" x14ac:dyDescent="0.3">
      <c r="A182" s="6">
        <v>1851</v>
      </c>
      <c r="B182" s="6" t="s">
        <v>2429</v>
      </c>
      <c r="C182" s="6" t="s">
        <v>723</v>
      </c>
      <c r="D182" s="6" t="s">
        <v>362</v>
      </c>
      <c r="E182" s="6" t="s">
        <v>3621</v>
      </c>
      <c r="F182" s="6" t="s">
        <v>4211</v>
      </c>
      <c r="G182" s="6" t="s">
        <v>3169</v>
      </c>
      <c r="H182" s="6" t="s">
        <v>3712</v>
      </c>
      <c r="I182" s="6" t="s">
        <v>3171</v>
      </c>
      <c r="J182" s="6">
        <v>6</v>
      </c>
      <c r="K182" s="6" t="s">
        <v>19</v>
      </c>
      <c r="L182" s="10">
        <v>62.652435119999993</v>
      </c>
      <c r="M182" s="6" t="s">
        <v>33</v>
      </c>
      <c r="N182" s="10">
        <f>Tabla11[[#This Row],[Price]]*Tabla11[[#This Row],[QTY Adjusted]]</f>
        <v>375.91461071999993</v>
      </c>
      <c r="O182" s="10">
        <v>375.91461071999993</v>
      </c>
      <c r="P182" s="10" t="s">
        <v>4225</v>
      </c>
      <c r="Q182" s="6">
        <v>0</v>
      </c>
    </row>
    <row r="183" spans="1:17" ht="40.200000000000003" customHeight="1" x14ac:dyDescent="0.3">
      <c r="A183" s="6">
        <v>1639</v>
      </c>
      <c r="B183" s="6" t="s">
        <v>2429</v>
      </c>
      <c r="C183" s="6" t="s">
        <v>723</v>
      </c>
      <c r="D183" s="6" t="s">
        <v>362</v>
      </c>
      <c r="E183" s="6" t="s">
        <v>3107</v>
      </c>
      <c r="F183" s="6" t="s">
        <v>4211</v>
      </c>
      <c r="G183" s="6" t="s">
        <v>3128</v>
      </c>
      <c r="H183" s="6" t="s">
        <v>3129</v>
      </c>
      <c r="I183" s="6" t="s">
        <v>3130</v>
      </c>
      <c r="J183" s="6">
        <v>18</v>
      </c>
      <c r="K183" s="6" t="s">
        <v>19</v>
      </c>
      <c r="L183" s="10">
        <v>20.668422307499998</v>
      </c>
      <c r="M183" s="6" t="s">
        <v>33</v>
      </c>
      <c r="N183" s="10">
        <f>Tabla11[[#This Row],[Price]]*Tabla11[[#This Row],[QTY Adjusted]]</f>
        <v>372.03160153499999</v>
      </c>
      <c r="O183" s="10">
        <v>372.03160153499999</v>
      </c>
      <c r="P183" s="10" t="s">
        <v>4225</v>
      </c>
      <c r="Q183" s="6">
        <v>0</v>
      </c>
    </row>
    <row r="184" spans="1:17" ht="40.200000000000003" customHeight="1" x14ac:dyDescent="0.3">
      <c r="A184" s="6">
        <v>1457</v>
      </c>
      <c r="B184" s="6" t="s">
        <v>2429</v>
      </c>
      <c r="C184" s="6" t="s">
        <v>723</v>
      </c>
      <c r="D184" s="6" t="s">
        <v>362</v>
      </c>
      <c r="E184" s="6" t="s">
        <v>2584</v>
      </c>
      <c r="F184" s="6" t="s">
        <v>4211</v>
      </c>
      <c r="G184" s="6" t="s">
        <v>2588</v>
      </c>
      <c r="H184" s="6" t="s">
        <v>2589</v>
      </c>
      <c r="I184" s="6" t="s">
        <v>2590</v>
      </c>
      <c r="J184" s="6">
        <v>13</v>
      </c>
      <c r="K184" s="6" t="s">
        <v>19</v>
      </c>
      <c r="L184" s="10">
        <v>28.483592692500004</v>
      </c>
      <c r="M184" s="6" t="s">
        <v>33</v>
      </c>
      <c r="N184" s="10">
        <f>Tabla11[[#This Row],[Price]]*Tabla11[[#This Row],[QTY Adjusted]]</f>
        <v>370.28670500250007</v>
      </c>
      <c r="O184" s="10">
        <v>370.28670500250007</v>
      </c>
      <c r="P184" s="10" t="s">
        <v>4225</v>
      </c>
      <c r="Q184" s="6">
        <v>0</v>
      </c>
    </row>
    <row r="185" spans="1:17" ht="40.200000000000003" customHeight="1" x14ac:dyDescent="0.3">
      <c r="A185" s="6">
        <v>1449</v>
      </c>
      <c r="B185" s="6" t="s">
        <v>2429</v>
      </c>
      <c r="C185" s="6" t="s">
        <v>723</v>
      </c>
      <c r="D185" s="6" t="s">
        <v>362</v>
      </c>
      <c r="E185" s="6" t="s">
        <v>2515</v>
      </c>
      <c r="F185" s="6" t="s">
        <v>4211</v>
      </c>
      <c r="G185" s="6" t="s">
        <v>2563</v>
      </c>
      <c r="H185" s="6" t="s">
        <v>2564</v>
      </c>
      <c r="I185" s="6" t="s">
        <v>2565</v>
      </c>
      <c r="J185" s="6">
        <v>68</v>
      </c>
      <c r="K185" s="6" t="s">
        <v>19</v>
      </c>
      <c r="L185" s="10">
        <v>5.3493776325000004</v>
      </c>
      <c r="M185" s="6" t="s">
        <v>33</v>
      </c>
      <c r="N185" s="10">
        <f>Tabla11[[#This Row],[Price]]*Tabla11[[#This Row],[QTY Adjusted]]</f>
        <v>363.75767901</v>
      </c>
      <c r="O185" s="10">
        <v>363.75767901</v>
      </c>
      <c r="P185" s="10" t="s">
        <v>4225</v>
      </c>
      <c r="Q185" s="6">
        <v>0</v>
      </c>
    </row>
    <row r="186" spans="1:17" ht="40.200000000000003" customHeight="1" x14ac:dyDescent="0.3">
      <c r="A186" s="6">
        <v>1721</v>
      </c>
      <c r="B186" s="6" t="s">
        <v>2429</v>
      </c>
      <c r="C186" s="6" t="s">
        <v>723</v>
      </c>
      <c r="D186" s="6" t="s">
        <v>362</v>
      </c>
      <c r="E186" s="6" t="s">
        <v>3325</v>
      </c>
      <c r="F186" s="6" t="s">
        <v>4211</v>
      </c>
      <c r="G186" s="6" t="s">
        <v>3350</v>
      </c>
      <c r="H186" s="6" t="s">
        <v>3351</v>
      </c>
      <c r="I186" s="6" t="s">
        <v>3352</v>
      </c>
      <c r="J186" s="6">
        <v>2</v>
      </c>
      <c r="K186" s="6" t="s">
        <v>19</v>
      </c>
      <c r="L186" s="10">
        <v>181.20709530000002</v>
      </c>
      <c r="M186" s="6" t="s">
        <v>33</v>
      </c>
      <c r="N186" s="10">
        <f>Tabla11[[#This Row],[Price]]*Tabla11[[#This Row],[QTY Adjusted]]</f>
        <v>362.41419060000004</v>
      </c>
      <c r="O186" s="10">
        <v>362.41419060000004</v>
      </c>
      <c r="P186" s="10" t="s">
        <v>4225</v>
      </c>
      <c r="Q186" s="6">
        <v>0</v>
      </c>
    </row>
    <row r="187" spans="1:17" ht="40.200000000000003" customHeight="1" x14ac:dyDescent="0.3">
      <c r="A187" s="6">
        <v>1804</v>
      </c>
      <c r="B187" s="6" t="s">
        <v>2429</v>
      </c>
      <c r="C187" s="6" t="s">
        <v>723</v>
      </c>
      <c r="D187" s="6" t="s">
        <v>362</v>
      </c>
      <c r="E187" s="6" t="s">
        <v>3520</v>
      </c>
      <c r="F187" s="6" t="s">
        <v>4211</v>
      </c>
      <c r="G187" s="6" t="s">
        <v>3575</v>
      </c>
      <c r="H187" s="6" t="s">
        <v>3576</v>
      </c>
      <c r="I187" s="6" t="s">
        <v>3577</v>
      </c>
      <c r="J187" s="6">
        <v>15</v>
      </c>
      <c r="K187" s="6" t="s">
        <v>19</v>
      </c>
      <c r="L187" s="10">
        <v>24.125447362499994</v>
      </c>
      <c r="M187" s="6" t="s">
        <v>33</v>
      </c>
      <c r="N187" s="10">
        <f>Tabla11[[#This Row],[Price]]*Tabla11[[#This Row],[QTY Adjusted]]</f>
        <v>361.88171043749992</v>
      </c>
      <c r="O187" s="10">
        <v>361.88171043749992</v>
      </c>
      <c r="P187" s="10" t="s">
        <v>4225</v>
      </c>
      <c r="Q187" s="6">
        <v>0</v>
      </c>
    </row>
    <row r="188" spans="1:17" ht="40.200000000000003" customHeight="1" x14ac:dyDescent="0.3">
      <c r="A188" s="6">
        <v>1711</v>
      </c>
      <c r="B188" s="6" t="s">
        <v>2429</v>
      </c>
      <c r="C188" s="6" t="s">
        <v>1757</v>
      </c>
      <c r="D188" s="6" t="s">
        <v>178</v>
      </c>
      <c r="E188" s="6" t="s">
        <v>3282</v>
      </c>
      <c r="F188" s="6" t="s">
        <v>4211</v>
      </c>
      <c r="G188" s="6" t="s">
        <v>3321</v>
      </c>
      <c r="H188" s="6" t="s">
        <v>3322</v>
      </c>
      <c r="I188" s="6" t="s">
        <v>3322</v>
      </c>
      <c r="J188" s="6">
        <v>2</v>
      </c>
      <c r="K188" s="6" t="s">
        <v>19</v>
      </c>
      <c r="L188" s="10">
        <v>179.61</v>
      </c>
      <c r="M188" s="6" t="s">
        <v>33</v>
      </c>
      <c r="N188" s="10">
        <f>Tabla11[[#This Row],[Price]]*Tabla11[[#This Row],[QTY Adjusted]]</f>
        <v>359.22</v>
      </c>
      <c r="O188" s="10">
        <v>359.22</v>
      </c>
      <c r="P188" s="10" t="s">
        <v>4225</v>
      </c>
      <c r="Q188" s="6">
        <v>0</v>
      </c>
    </row>
    <row r="189" spans="1:17" ht="40.200000000000003" customHeight="1" x14ac:dyDescent="0.3">
      <c r="A189" s="6">
        <v>1545</v>
      </c>
      <c r="B189" s="6" t="s">
        <v>2429</v>
      </c>
      <c r="C189" s="6" t="s">
        <v>723</v>
      </c>
      <c r="D189" s="6" t="s">
        <v>362</v>
      </c>
      <c r="E189" s="6" t="s">
        <v>2747</v>
      </c>
      <c r="F189" s="6" t="s">
        <v>4211</v>
      </c>
      <c r="G189" s="6" t="s">
        <v>2842</v>
      </c>
      <c r="H189" s="6" t="s">
        <v>2843</v>
      </c>
      <c r="I189" s="6" t="s">
        <v>2844</v>
      </c>
      <c r="J189" s="6">
        <v>60</v>
      </c>
      <c r="K189" s="6" t="s">
        <v>19</v>
      </c>
      <c r="L189" s="10">
        <v>5.9310098100000008</v>
      </c>
      <c r="M189" s="6" t="s">
        <v>33</v>
      </c>
      <c r="N189" s="10">
        <f>Tabla11[[#This Row],[Price]]*Tabla11[[#This Row],[QTY Adjusted]]</f>
        <v>355.86058860000003</v>
      </c>
      <c r="O189" s="10">
        <v>355.86058860000003</v>
      </c>
      <c r="P189" s="10" t="s">
        <v>4228</v>
      </c>
      <c r="Q189" s="6" t="s">
        <v>4246</v>
      </c>
    </row>
    <row r="190" spans="1:17" ht="40.200000000000003" customHeight="1" x14ac:dyDescent="0.3">
      <c r="A190" s="6">
        <v>1796</v>
      </c>
      <c r="B190" s="6" t="s">
        <v>2429</v>
      </c>
      <c r="C190" s="6" t="s">
        <v>723</v>
      </c>
      <c r="D190" s="6" t="s">
        <v>362</v>
      </c>
      <c r="E190" s="6" t="s">
        <v>3520</v>
      </c>
      <c r="F190" s="6" t="s">
        <v>4211</v>
      </c>
      <c r="G190" s="6" t="s">
        <v>3551</v>
      </c>
      <c r="H190" s="6" t="s">
        <v>3552</v>
      </c>
      <c r="I190" s="6" t="s">
        <v>3553</v>
      </c>
      <c r="J190" s="6">
        <v>120</v>
      </c>
      <c r="K190" s="6" t="s">
        <v>19</v>
      </c>
      <c r="L190" s="10">
        <v>2.9655049050000004</v>
      </c>
      <c r="M190" s="6" t="s">
        <v>33</v>
      </c>
      <c r="N190" s="10">
        <f>Tabla11[[#This Row],[Price]]*Tabla11[[#This Row],[QTY Adjusted]]</f>
        <v>355.86058860000003</v>
      </c>
      <c r="O190" s="10">
        <v>355.86058860000003</v>
      </c>
      <c r="P190" s="10" t="s">
        <v>4225</v>
      </c>
      <c r="Q190" s="6">
        <v>0</v>
      </c>
    </row>
    <row r="191" spans="1:17" ht="40.200000000000003" customHeight="1" x14ac:dyDescent="0.3">
      <c r="A191" s="6">
        <v>1593</v>
      </c>
      <c r="B191" s="6" t="s">
        <v>2429</v>
      </c>
      <c r="C191" s="6" t="s">
        <v>309</v>
      </c>
      <c r="D191" s="6" t="s">
        <v>362</v>
      </c>
      <c r="E191" s="6" t="s">
        <v>2747</v>
      </c>
      <c r="F191" s="6" t="s">
        <v>4211</v>
      </c>
      <c r="G191" s="6">
        <v>410105</v>
      </c>
      <c r="H191" s="6" t="s">
        <v>2984</v>
      </c>
      <c r="I191" s="6" t="s">
        <v>2985</v>
      </c>
      <c r="J191" s="6">
        <v>1</v>
      </c>
      <c r="K191" s="6" t="s">
        <v>19</v>
      </c>
      <c r="L191" s="10">
        <v>349.90199999999999</v>
      </c>
      <c r="M191" s="6" t="s">
        <v>33</v>
      </c>
      <c r="N191" s="10">
        <f>Tabla11[[#This Row],[Price]]*Tabla11[[#This Row],[QTY Adjusted]]</f>
        <v>349.90199999999999</v>
      </c>
      <c r="O191" s="10">
        <v>349.90199999999999</v>
      </c>
      <c r="P191" s="10" t="s">
        <v>4225</v>
      </c>
      <c r="Q191" s="6">
        <v>0</v>
      </c>
    </row>
    <row r="192" spans="1:17" ht="40.200000000000003" customHeight="1" x14ac:dyDescent="0.3">
      <c r="A192" s="6">
        <v>1492</v>
      </c>
      <c r="B192" s="6" t="s">
        <v>2429</v>
      </c>
      <c r="C192" s="6" t="s">
        <v>723</v>
      </c>
      <c r="D192" s="6" t="s">
        <v>362</v>
      </c>
      <c r="E192" s="6" t="s">
        <v>2584</v>
      </c>
      <c r="F192" s="6" t="s">
        <v>4211</v>
      </c>
      <c r="G192" s="6" t="s">
        <v>2692</v>
      </c>
      <c r="H192" s="6" t="s">
        <v>2693</v>
      </c>
      <c r="I192" s="6" t="s">
        <v>2694</v>
      </c>
      <c r="J192" s="6">
        <v>4</v>
      </c>
      <c r="K192" s="6" t="s">
        <v>19</v>
      </c>
      <c r="L192" s="10">
        <v>69.156885105000015</v>
      </c>
      <c r="M192" s="6" t="s">
        <v>33</v>
      </c>
      <c r="N192" s="10">
        <f>Tabla11[[#This Row],[Price]]*Tabla11[[#This Row],[QTY Adjusted]]</f>
        <v>276.62754042000006</v>
      </c>
      <c r="O192" s="10">
        <v>276.62754042000006</v>
      </c>
      <c r="P192" s="10" t="s">
        <v>4225</v>
      </c>
      <c r="Q192" s="6">
        <v>0</v>
      </c>
    </row>
    <row r="193" spans="1:17" ht="40.200000000000003" customHeight="1" x14ac:dyDescent="0.3">
      <c r="A193" s="6">
        <v>1760</v>
      </c>
      <c r="B193" s="6" t="s">
        <v>2429</v>
      </c>
      <c r="C193" s="6" t="s">
        <v>723</v>
      </c>
      <c r="D193" s="6" t="s">
        <v>362</v>
      </c>
      <c r="E193" s="6" t="s">
        <v>3402</v>
      </c>
      <c r="F193" s="6" t="s">
        <v>4211</v>
      </c>
      <c r="G193" s="6" t="s">
        <v>3466</v>
      </c>
      <c r="H193" s="6" t="s">
        <v>3467</v>
      </c>
      <c r="I193" s="6" t="s">
        <v>3468</v>
      </c>
      <c r="J193" s="6">
        <v>24</v>
      </c>
      <c r="K193" s="6" t="s">
        <v>19</v>
      </c>
      <c r="L193" s="10">
        <v>14.327812372499999</v>
      </c>
      <c r="M193" s="6" t="s">
        <v>33</v>
      </c>
      <c r="N193" s="10">
        <f>Tabla11[[#This Row],[Price]]*Tabla11[[#This Row],[QTY Adjusted]]</f>
        <v>343.86749693999997</v>
      </c>
      <c r="O193" s="10">
        <v>343.86749693999997</v>
      </c>
      <c r="P193" s="10" t="s">
        <v>4225</v>
      </c>
      <c r="Q193" s="6">
        <v>0</v>
      </c>
    </row>
    <row r="194" spans="1:17" ht="40.200000000000003" customHeight="1" x14ac:dyDescent="0.3">
      <c r="A194" s="6">
        <v>1650</v>
      </c>
      <c r="B194" s="6" t="s">
        <v>2429</v>
      </c>
      <c r="C194" s="6" t="s">
        <v>723</v>
      </c>
      <c r="D194" s="6" t="s">
        <v>362</v>
      </c>
      <c r="E194" s="6" t="s">
        <v>3107</v>
      </c>
      <c r="F194" s="6" t="s">
        <v>4211</v>
      </c>
      <c r="G194" s="6" t="s">
        <v>3160</v>
      </c>
      <c r="H194" s="6" t="s">
        <v>3161</v>
      </c>
      <c r="I194" s="6" t="s">
        <v>3162</v>
      </c>
      <c r="J194" s="6">
        <v>18</v>
      </c>
      <c r="K194" s="6" t="s">
        <v>19</v>
      </c>
      <c r="L194" s="10">
        <v>19.021829804999999</v>
      </c>
      <c r="M194" s="6" t="s">
        <v>33</v>
      </c>
      <c r="N194" s="10">
        <f>Tabla11[[#This Row],[Price]]*Tabla11[[#This Row],[QTY Adjusted]]</f>
        <v>342.39293649000001</v>
      </c>
      <c r="O194" s="10">
        <v>342.39293649000001</v>
      </c>
      <c r="P194" s="10" t="s">
        <v>4225</v>
      </c>
      <c r="Q194" s="6">
        <v>0</v>
      </c>
    </row>
    <row r="195" spans="1:17" ht="40.200000000000003" customHeight="1" x14ac:dyDescent="0.3">
      <c r="A195" s="6">
        <v>1799</v>
      </c>
      <c r="B195" s="6" t="s">
        <v>2429</v>
      </c>
      <c r="C195" s="6" t="s">
        <v>723</v>
      </c>
      <c r="D195" s="6" t="s">
        <v>362</v>
      </c>
      <c r="E195" s="6" t="s">
        <v>3520</v>
      </c>
      <c r="F195" s="6" t="s">
        <v>4211</v>
      </c>
      <c r="G195" s="6" t="s">
        <v>3560</v>
      </c>
      <c r="H195" s="6" t="s">
        <v>3561</v>
      </c>
      <c r="I195" s="6" t="s">
        <v>3562</v>
      </c>
      <c r="J195" s="6">
        <v>36</v>
      </c>
      <c r="K195" s="6" t="s">
        <v>19</v>
      </c>
      <c r="L195" s="10">
        <v>9.3880348649999998</v>
      </c>
      <c r="M195" s="6" t="s">
        <v>33</v>
      </c>
      <c r="N195" s="10">
        <f>Tabla11[[#This Row],[Price]]*Tabla11[[#This Row],[QTY Adjusted]]</f>
        <v>337.96925513999997</v>
      </c>
      <c r="O195" s="10">
        <v>337.96925513999997</v>
      </c>
      <c r="P195" s="10" t="s">
        <v>4225</v>
      </c>
      <c r="Q195" s="6">
        <v>0</v>
      </c>
    </row>
    <row r="196" spans="1:17" ht="40.200000000000003" customHeight="1" x14ac:dyDescent="0.3">
      <c r="A196" s="6">
        <v>1766</v>
      </c>
      <c r="B196" s="6" t="s">
        <v>2429</v>
      </c>
      <c r="C196" s="6" t="s">
        <v>723</v>
      </c>
      <c r="D196" s="6" t="s">
        <v>362</v>
      </c>
      <c r="E196" s="6" t="s">
        <v>3478</v>
      </c>
      <c r="F196" s="6" t="s">
        <v>4211</v>
      </c>
      <c r="G196" s="6" t="s">
        <v>3483</v>
      </c>
      <c r="H196" s="6" t="s">
        <v>3484</v>
      </c>
      <c r="I196" s="6" t="s">
        <v>3484</v>
      </c>
      <c r="J196" s="6">
        <v>8</v>
      </c>
      <c r="K196" s="6" t="s">
        <v>19</v>
      </c>
      <c r="L196" s="10">
        <v>41.992204815000001</v>
      </c>
      <c r="M196" s="6" t="s">
        <v>33</v>
      </c>
      <c r="N196" s="10">
        <f>Tabla11[[#This Row],[Price]]*Tabla11[[#This Row],[QTY Adjusted]]</f>
        <v>335.93763852000001</v>
      </c>
      <c r="O196" s="10">
        <v>335.93763852000001</v>
      </c>
      <c r="P196" s="10" t="s">
        <v>4225</v>
      </c>
      <c r="Q196" s="6">
        <v>0</v>
      </c>
    </row>
    <row r="197" spans="1:17" ht="40.200000000000003" customHeight="1" x14ac:dyDescent="0.3">
      <c r="A197" s="6">
        <v>1768</v>
      </c>
      <c r="B197" s="6" t="s">
        <v>2429</v>
      </c>
      <c r="C197" s="6" t="s">
        <v>723</v>
      </c>
      <c r="D197" s="6" t="s">
        <v>362</v>
      </c>
      <c r="E197" s="6" t="s">
        <v>3478</v>
      </c>
      <c r="F197" s="6" t="s">
        <v>4211</v>
      </c>
      <c r="G197" s="6" t="s">
        <v>3487</v>
      </c>
      <c r="H197" s="6" t="s">
        <v>3488</v>
      </c>
      <c r="I197" s="6" t="s">
        <v>3488</v>
      </c>
      <c r="J197" s="6">
        <v>8</v>
      </c>
      <c r="K197" s="6" t="s">
        <v>19</v>
      </c>
      <c r="L197" s="10">
        <v>41.992204815000001</v>
      </c>
      <c r="M197" s="6" t="s">
        <v>33</v>
      </c>
      <c r="N197" s="10">
        <f>Tabla11[[#This Row],[Price]]*Tabla11[[#This Row],[QTY Adjusted]]</f>
        <v>335.93763852000001</v>
      </c>
      <c r="O197" s="10">
        <v>335.93763852000001</v>
      </c>
      <c r="P197" s="10" t="s">
        <v>4225</v>
      </c>
      <c r="Q197" s="6">
        <v>0</v>
      </c>
    </row>
    <row r="198" spans="1:17" ht="40.200000000000003" customHeight="1" x14ac:dyDescent="0.3">
      <c r="A198" s="6">
        <v>1772</v>
      </c>
      <c r="B198" s="6" t="s">
        <v>2429</v>
      </c>
      <c r="C198" s="6" t="s">
        <v>723</v>
      </c>
      <c r="D198" s="6" t="s">
        <v>362</v>
      </c>
      <c r="E198" s="6" t="s">
        <v>3478</v>
      </c>
      <c r="F198" s="6" t="s">
        <v>4211</v>
      </c>
      <c r="G198" s="6" t="s">
        <v>3495</v>
      </c>
      <c r="H198" s="6" t="s">
        <v>3496</v>
      </c>
      <c r="I198" s="6" t="s">
        <v>3496</v>
      </c>
      <c r="J198" s="6">
        <v>8</v>
      </c>
      <c r="K198" s="6" t="s">
        <v>19</v>
      </c>
      <c r="L198" s="10">
        <v>41.992204815000001</v>
      </c>
      <c r="M198" s="6" t="s">
        <v>33</v>
      </c>
      <c r="N198" s="10">
        <f>Tabla11[[#This Row],[Price]]*Tabla11[[#This Row],[QTY Adjusted]]</f>
        <v>335.93763852000001</v>
      </c>
      <c r="O198" s="10">
        <v>335.93763852000001</v>
      </c>
      <c r="P198" s="10" t="s">
        <v>4225</v>
      </c>
      <c r="Q198" s="6">
        <v>0</v>
      </c>
    </row>
    <row r="199" spans="1:17" ht="40.200000000000003" customHeight="1" x14ac:dyDescent="0.3">
      <c r="A199" s="6">
        <v>1725</v>
      </c>
      <c r="B199" s="6" t="s">
        <v>2429</v>
      </c>
      <c r="C199" s="6" t="s">
        <v>723</v>
      </c>
      <c r="D199" s="6" t="s">
        <v>362</v>
      </c>
      <c r="E199" s="6" t="s">
        <v>3325</v>
      </c>
      <c r="F199" s="6" t="s">
        <v>4211</v>
      </c>
      <c r="G199" s="6" t="s">
        <v>3362</v>
      </c>
      <c r="H199" s="6" t="s">
        <v>3363</v>
      </c>
      <c r="I199" s="6" t="s">
        <v>3364</v>
      </c>
      <c r="J199" s="6">
        <v>2</v>
      </c>
      <c r="K199" s="6" t="s">
        <v>19</v>
      </c>
      <c r="L199" s="10">
        <v>167.37899508000001</v>
      </c>
      <c r="M199" s="6" t="s">
        <v>33</v>
      </c>
      <c r="N199" s="10">
        <f>Tabla11[[#This Row],[Price]]*Tabla11[[#This Row],[QTY Adjusted]]</f>
        <v>334.75799016000002</v>
      </c>
      <c r="O199" s="10">
        <v>334.75799016000002</v>
      </c>
      <c r="P199" s="10" t="s">
        <v>4225</v>
      </c>
      <c r="Q199" s="6">
        <v>0</v>
      </c>
    </row>
    <row r="200" spans="1:17" ht="40.200000000000003" customHeight="1" x14ac:dyDescent="0.3">
      <c r="A200" s="6">
        <v>1815</v>
      </c>
      <c r="B200" s="6" t="s">
        <v>2429</v>
      </c>
      <c r="C200" s="6" t="s">
        <v>723</v>
      </c>
      <c r="D200" s="6" t="s">
        <v>362</v>
      </c>
      <c r="E200" s="6" t="s">
        <v>3520</v>
      </c>
      <c r="F200" s="6" t="s">
        <v>4211</v>
      </c>
      <c r="G200" s="6" t="s">
        <v>3608</v>
      </c>
      <c r="H200" s="6" t="s">
        <v>3609</v>
      </c>
      <c r="I200" s="6" t="s">
        <v>3610</v>
      </c>
      <c r="J200" s="6">
        <v>24</v>
      </c>
      <c r="K200" s="6" t="s">
        <v>19</v>
      </c>
      <c r="L200" s="10">
        <v>13.582340144999998</v>
      </c>
      <c r="M200" s="6" t="s">
        <v>33</v>
      </c>
      <c r="N200" s="10">
        <f>Tabla11[[#This Row],[Price]]*Tabla11[[#This Row],[QTY Adjusted]]</f>
        <v>325.97616347999997</v>
      </c>
      <c r="O200" s="10">
        <v>325.97616347999997</v>
      </c>
      <c r="P200" s="10" t="s">
        <v>4225</v>
      </c>
      <c r="Q200" s="6">
        <v>0</v>
      </c>
    </row>
    <row r="201" spans="1:17" ht="40.200000000000003" customHeight="1" x14ac:dyDescent="0.3">
      <c r="A201" s="6">
        <v>1791</v>
      </c>
      <c r="B201" s="6" t="s">
        <v>2429</v>
      </c>
      <c r="C201" s="6" t="s">
        <v>723</v>
      </c>
      <c r="D201" s="6" t="s">
        <v>362</v>
      </c>
      <c r="E201" s="6" t="s">
        <v>3520</v>
      </c>
      <c r="F201" s="6" t="s">
        <v>4211</v>
      </c>
      <c r="G201" s="6" t="s">
        <v>3536</v>
      </c>
      <c r="H201" s="6" t="s">
        <v>3537</v>
      </c>
      <c r="I201" s="6" t="s">
        <v>3538</v>
      </c>
      <c r="J201" s="6">
        <v>48</v>
      </c>
      <c r="K201" s="6" t="s">
        <v>19</v>
      </c>
      <c r="L201" s="10">
        <v>6.7502100600000023</v>
      </c>
      <c r="M201" s="6" t="s">
        <v>33</v>
      </c>
      <c r="N201" s="10">
        <f>Tabla11[[#This Row],[Price]]*Tabla11[[#This Row],[QTY Adjusted]]</f>
        <v>324.01008288000014</v>
      </c>
      <c r="O201" s="10">
        <v>324.01008288000014</v>
      </c>
      <c r="P201" s="10" t="s">
        <v>4225</v>
      </c>
      <c r="Q201" s="6">
        <v>0</v>
      </c>
    </row>
    <row r="202" spans="1:17" ht="40.200000000000003" customHeight="1" x14ac:dyDescent="0.3">
      <c r="A202" s="6">
        <v>1700</v>
      </c>
      <c r="B202" s="6" t="s">
        <v>2429</v>
      </c>
      <c r="C202" s="6" t="s">
        <v>723</v>
      </c>
      <c r="D202" s="6" t="s">
        <v>362</v>
      </c>
      <c r="E202" s="6" t="s">
        <v>3282</v>
      </c>
      <c r="F202" s="6" t="s">
        <v>4211</v>
      </c>
      <c r="G202" s="6" t="s">
        <v>3289</v>
      </c>
      <c r="H202" s="6" t="s">
        <v>3290</v>
      </c>
      <c r="I202" s="6" t="s">
        <v>3291</v>
      </c>
      <c r="J202" s="6">
        <v>12</v>
      </c>
      <c r="K202" s="6" t="s">
        <v>19</v>
      </c>
      <c r="L202" s="10">
        <v>26.755080165000003</v>
      </c>
      <c r="M202" s="6" t="s">
        <v>33</v>
      </c>
      <c r="N202" s="10">
        <f>Tabla11[[#This Row],[Price]]*Tabla11[[#This Row],[QTY Adjusted]]</f>
        <v>321.06096198</v>
      </c>
      <c r="O202" s="10">
        <v>321.06096198</v>
      </c>
      <c r="P202" s="10" t="s">
        <v>4225</v>
      </c>
      <c r="Q202" s="6">
        <v>0</v>
      </c>
    </row>
    <row r="203" spans="1:17" ht="40.200000000000003" customHeight="1" x14ac:dyDescent="0.3">
      <c r="A203" s="6">
        <v>1655</v>
      </c>
      <c r="B203" s="6" t="s">
        <v>2429</v>
      </c>
      <c r="C203" s="6" t="s">
        <v>723</v>
      </c>
      <c r="D203" s="6" t="s">
        <v>362</v>
      </c>
      <c r="E203" s="6" t="s">
        <v>3107</v>
      </c>
      <c r="F203" s="6" t="s">
        <v>4211</v>
      </c>
      <c r="G203" s="6" t="s">
        <v>3175</v>
      </c>
      <c r="H203" s="6" t="s">
        <v>3176</v>
      </c>
      <c r="I203" s="6" t="s">
        <v>3177</v>
      </c>
      <c r="J203" s="6">
        <v>9</v>
      </c>
      <c r="K203" s="6" t="s">
        <v>19</v>
      </c>
      <c r="L203" s="10">
        <v>35.151882727500002</v>
      </c>
      <c r="M203" s="6" t="s">
        <v>33</v>
      </c>
      <c r="N203" s="10">
        <f>Tabla11[[#This Row],[Price]]*Tabla11[[#This Row],[QTY Adjusted]]</f>
        <v>316.3669445475</v>
      </c>
      <c r="O203" s="10">
        <v>316.3669445475</v>
      </c>
      <c r="P203" s="10" t="s">
        <v>4225</v>
      </c>
      <c r="Q203" s="6">
        <v>0</v>
      </c>
    </row>
    <row r="204" spans="1:17" ht="40.200000000000003" customHeight="1" x14ac:dyDescent="0.3">
      <c r="A204" s="6">
        <v>1550</v>
      </c>
      <c r="B204" s="6" t="s">
        <v>2429</v>
      </c>
      <c r="C204" s="6" t="s">
        <v>723</v>
      </c>
      <c r="D204" s="6" t="s">
        <v>362</v>
      </c>
      <c r="E204" s="6" t="s">
        <v>2747</v>
      </c>
      <c r="F204" s="6" t="s">
        <v>4211</v>
      </c>
      <c r="G204" s="6" t="s">
        <v>2857</v>
      </c>
      <c r="H204" s="6" t="s">
        <v>2858</v>
      </c>
      <c r="I204" s="6" t="s">
        <v>2859</v>
      </c>
      <c r="J204" s="6">
        <v>2</v>
      </c>
      <c r="K204" s="6" t="s">
        <v>19</v>
      </c>
      <c r="L204" s="10">
        <v>157.33560001500001</v>
      </c>
      <c r="M204" s="6" t="s">
        <v>33</v>
      </c>
      <c r="N204" s="10">
        <f>Tabla11[[#This Row],[Price]]*Tabla11[[#This Row],[QTY Adjusted]]</f>
        <v>314.67120003000002</v>
      </c>
      <c r="O204" s="10">
        <v>314.67120003000002</v>
      </c>
      <c r="P204" s="10" t="s">
        <v>4225</v>
      </c>
      <c r="Q204" s="6">
        <v>0</v>
      </c>
    </row>
    <row r="205" spans="1:17" ht="40.200000000000003" customHeight="1" x14ac:dyDescent="0.3">
      <c r="A205" s="6">
        <v>1551</v>
      </c>
      <c r="B205" s="6" t="s">
        <v>2429</v>
      </c>
      <c r="C205" s="6" t="s">
        <v>723</v>
      </c>
      <c r="D205" s="6" t="s">
        <v>362</v>
      </c>
      <c r="E205" s="6" t="s">
        <v>2747</v>
      </c>
      <c r="F205" s="6" t="s">
        <v>4211</v>
      </c>
      <c r="G205" s="6" t="s">
        <v>2860</v>
      </c>
      <c r="H205" s="6" t="s">
        <v>2861</v>
      </c>
      <c r="I205" s="6" t="s">
        <v>2862</v>
      </c>
      <c r="J205" s="6">
        <v>2</v>
      </c>
      <c r="K205" s="6" t="s">
        <v>19</v>
      </c>
      <c r="L205" s="10">
        <v>157.33560001500001</v>
      </c>
      <c r="M205" s="6" t="s">
        <v>33</v>
      </c>
      <c r="N205" s="10">
        <f>Tabla11[[#This Row],[Price]]*Tabla11[[#This Row],[QTY Adjusted]]</f>
        <v>314.67120003000002</v>
      </c>
      <c r="O205" s="10">
        <v>314.67120003000002</v>
      </c>
      <c r="P205" s="10" t="s">
        <v>4225</v>
      </c>
      <c r="Q205" s="6">
        <v>0</v>
      </c>
    </row>
    <row r="206" spans="1:17" ht="40.200000000000003" customHeight="1" x14ac:dyDescent="0.3">
      <c r="A206" s="6">
        <v>1553</v>
      </c>
      <c r="B206" s="6" t="s">
        <v>2429</v>
      </c>
      <c r="C206" s="6" t="s">
        <v>723</v>
      </c>
      <c r="D206" s="6" t="s">
        <v>362</v>
      </c>
      <c r="E206" s="6" t="s">
        <v>2747</v>
      </c>
      <c r="F206" s="6" t="s">
        <v>4211</v>
      </c>
      <c r="G206" s="6" t="s">
        <v>2866</v>
      </c>
      <c r="H206" s="6" t="s">
        <v>2867</v>
      </c>
      <c r="I206" s="6" t="s">
        <v>2868</v>
      </c>
      <c r="J206" s="6">
        <v>2</v>
      </c>
      <c r="K206" s="6" t="s">
        <v>19</v>
      </c>
      <c r="L206" s="10">
        <v>157.33560001500001</v>
      </c>
      <c r="M206" s="6" t="s">
        <v>33</v>
      </c>
      <c r="N206" s="10">
        <f>Tabla11[[#This Row],[Price]]*Tabla11[[#This Row],[QTY Adjusted]]</f>
        <v>314.67120003000002</v>
      </c>
      <c r="O206" s="10">
        <v>314.67120003000002</v>
      </c>
      <c r="P206" s="10" t="s">
        <v>4225</v>
      </c>
      <c r="Q206" s="6">
        <v>0</v>
      </c>
    </row>
    <row r="207" spans="1:17" ht="40.200000000000003" customHeight="1" x14ac:dyDescent="0.3">
      <c r="A207" s="6">
        <v>1556</v>
      </c>
      <c r="B207" s="6" t="s">
        <v>2429</v>
      </c>
      <c r="C207" s="6" t="s">
        <v>723</v>
      </c>
      <c r="D207" s="6" t="s">
        <v>362</v>
      </c>
      <c r="E207" s="6" t="s">
        <v>2747</v>
      </c>
      <c r="F207" s="6" t="s">
        <v>4211</v>
      </c>
      <c r="G207" s="6" t="s">
        <v>2875</v>
      </c>
      <c r="H207" s="6" t="s">
        <v>2876</v>
      </c>
      <c r="I207" s="6" t="s">
        <v>2877</v>
      </c>
      <c r="J207" s="6">
        <v>2</v>
      </c>
      <c r="K207" s="6" t="s">
        <v>19</v>
      </c>
      <c r="L207" s="10">
        <v>157.33560001500001</v>
      </c>
      <c r="M207" s="6" t="s">
        <v>33</v>
      </c>
      <c r="N207" s="10">
        <f>Tabla11[[#This Row],[Price]]*Tabla11[[#This Row],[QTY Adjusted]]</f>
        <v>314.67120003000002</v>
      </c>
      <c r="O207" s="10">
        <v>314.67120003000002</v>
      </c>
      <c r="P207" s="10" t="s">
        <v>4225</v>
      </c>
      <c r="Q207" s="6">
        <v>0</v>
      </c>
    </row>
    <row r="208" spans="1:17" ht="40.200000000000003" customHeight="1" x14ac:dyDescent="0.3">
      <c r="A208" s="6">
        <v>1557</v>
      </c>
      <c r="B208" s="6" t="s">
        <v>2429</v>
      </c>
      <c r="C208" s="6" t="s">
        <v>723</v>
      </c>
      <c r="D208" s="6" t="s">
        <v>362</v>
      </c>
      <c r="E208" s="6" t="s">
        <v>2747</v>
      </c>
      <c r="F208" s="6" t="s">
        <v>4211</v>
      </c>
      <c r="G208" s="6" t="s">
        <v>2878</v>
      </c>
      <c r="H208" s="6" t="s">
        <v>2879</v>
      </c>
      <c r="I208" s="6" t="s">
        <v>2880</v>
      </c>
      <c r="J208" s="6">
        <v>2</v>
      </c>
      <c r="K208" s="6" t="s">
        <v>19</v>
      </c>
      <c r="L208" s="10">
        <v>157.33560001500001</v>
      </c>
      <c r="M208" s="6" t="s">
        <v>33</v>
      </c>
      <c r="N208" s="10">
        <f>Tabla11[[#This Row],[Price]]*Tabla11[[#This Row],[QTY Adjusted]]</f>
        <v>314.67120003000002</v>
      </c>
      <c r="O208" s="10">
        <v>314.67120003000002</v>
      </c>
      <c r="P208" s="10" t="s">
        <v>4225</v>
      </c>
      <c r="Q208" s="6">
        <v>0</v>
      </c>
    </row>
    <row r="209" spans="1:17" ht="40.200000000000003" customHeight="1" x14ac:dyDescent="0.3">
      <c r="A209" s="6">
        <v>1558</v>
      </c>
      <c r="B209" s="6" t="s">
        <v>2429</v>
      </c>
      <c r="C209" s="6" t="s">
        <v>723</v>
      </c>
      <c r="D209" s="6" t="s">
        <v>362</v>
      </c>
      <c r="E209" s="6" t="s">
        <v>2747</v>
      </c>
      <c r="F209" s="6" t="s">
        <v>4211</v>
      </c>
      <c r="G209" s="6" t="s">
        <v>2881</v>
      </c>
      <c r="H209" s="6" t="s">
        <v>2882</v>
      </c>
      <c r="I209" s="6" t="s">
        <v>2883</v>
      </c>
      <c r="J209" s="6">
        <v>2</v>
      </c>
      <c r="K209" s="6" t="s">
        <v>19</v>
      </c>
      <c r="L209" s="10">
        <v>157.33560001500001</v>
      </c>
      <c r="M209" s="6" t="s">
        <v>33</v>
      </c>
      <c r="N209" s="10">
        <f>Tabla11[[#This Row],[Price]]*Tabla11[[#This Row],[QTY Adjusted]]</f>
        <v>314.67120003000002</v>
      </c>
      <c r="O209" s="10">
        <v>314.67120003000002</v>
      </c>
      <c r="P209" s="10" t="s">
        <v>4228</v>
      </c>
      <c r="Q209" s="6" t="s">
        <v>4245</v>
      </c>
    </row>
    <row r="210" spans="1:17" ht="40.200000000000003" customHeight="1" x14ac:dyDescent="0.3">
      <c r="A210" s="6">
        <v>1559</v>
      </c>
      <c r="B210" s="6" t="s">
        <v>2429</v>
      </c>
      <c r="C210" s="6" t="s">
        <v>723</v>
      </c>
      <c r="D210" s="6" t="s">
        <v>362</v>
      </c>
      <c r="E210" s="6" t="s">
        <v>2747</v>
      </c>
      <c r="F210" s="6" t="s">
        <v>4211</v>
      </c>
      <c r="G210" s="6" t="s">
        <v>2884</v>
      </c>
      <c r="H210" s="6" t="s">
        <v>2885</v>
      </c>
      <c r="I210" s="6" t="s">
        <v>2886</v>
      </c>
      <c r="J210" s="6">
        <v>2</v>
      </c>
      <c r="K210" s="6" t="s">
        <v>19</v>
      </c>
      <c r="L210" s="10">
        <v>157.33560001500001</v>
      </c>
      <c r="M210" s="6" t="s">
        <v>33</v>
      </c>
      <c r="N210" s="10">
        <f>Tabla11[[#This Row],[Price]]*Tabla11[[#This Row],[QTY Adjusted]]</f>
        <v>314.67120003000002</v>
      </c>
      <c r="O210" s="10">
        <v>314.67120003000002</v>
      </c>
      <c r="P210" s="10" t="s">
        <v>4225</v>
      </c>
      <c r="Q210" s="6">
        <v>0</v>
      </c>
    </row>
    <row r="211" spans="1:17" ht="40.200000000000003" customHeight="1" x14ac:dyDescent="0.3">
      <c r="A211" s="6">
        <v>1560</v>
      </c>
      <c r="B211" s="6" t="s">
        <v>2429</v>
      </c>
      <c r="C211" s="6" t="s">
        <v>723</v>
      </c>
      <c r="D211" s="6" t="s">
        <v>362</v>
      </c>
      <c r="E211" s="6" t="s">
        <v>2747</v>
      </c>
      <c r="F211" s="6" t="s">
        <v>4211</v>
      </c>
      <c r="G211" s="6" t="s">
        <v>2887</v>
      </c>
      <c r="H211" s="6" t="s">
        <v>2888</v>
      </c>
      <c r="I211" s="6" t="s">
        <v>2889</v>
      </c>
      <c r="J211" s="6">
        <v>2</v>
      </c>
      <c r="K211" s="6" t="s">
        <v>19</v>
      </c>
      <c r="L211" s="10">
        <v>157.33560001500001</v>
      </c>
      <c r="M211" s="6" t="s">
        <v>33</v>
      </c>
      <c r="N211" s="10">
        <f>Tabla11[[#This Row],[Price]]*Tabla11[[#This Row],[QTY Adjusted]]</f>
        <v>314.67120003000002</v>
      </c>
      <c r="O211" s="10">
        <v>314.67120003000002</v>
      </c>
      <c r="P211" s="10" t="s">
        <v>4225</v>
      </c>
      <c r="Q211" s="6">
        <v>0</v>
      </c>
    </row>
    <row r="212" spans="1:17" ht="40.200000000000003" customHeight="1" x14ac:dyDescent="0.3">
      <c r="A212" s="6">
        <v>1419</v>
      </c>
      <c r="B212" s="6" t="s">
        <v>2429</v>
      </c>
      <c r="C212" s="6" t="s">
        <v>723</v>
      </c>
      <c r="D212" s="6" t="s">
        <v>362</v>
      </c>
      <c r="E212" s="6" t="s">
        <v>2430</v>
      </c>
      <c r="F212" s="6" t="s">
        <v>4211</v>
      </c>
      <c r="G212" s="6" t="s">
        <v>2479</v>
      </c>
      <c r="H212" s="6" t="s">
        <v>2480</v>
      </c>
      <c r="I212" s="6" t="s">
        <v>2478</v>
      </c>
      <c r="J212" s="6">
        <v>13</v>
      </c>
      <c r="K212" s="6" t="s">
        <v>19</v>
      </c>
      <c r="L212" s="10">
        <v>24.043527337499999</v>
      </c>
      <c r="M212" s="6" t="s">
        <v>33</v>
      </c>
      <c r="N212" s="10">
        <f>Tabla11[[#This Row],[Price]]*Tabla11[[#This Row],[QTY Adjusted]]</f>
        <v>312.56585538749999</v>
      </c>
      <c r="O212" s="10">
        <v>312.56585538749999</v>
      </c>
      <c r="P212" s="10" t="s">
        <v>4225</v>
      </c>
      <c r="Q212" s="6">
        <v>0</v>
      </c>
    </row>
    <row r="213" spans="1:17" ht="40.200000000000003" customHeight="1" x14ac:dyDescent="0.3">
      <c r="A213" s="6">
        <v>1672</v>
      </c>
      <c r="B213" s="6" t="s">
        <v>2429</v>
      </c>
      <c r="C213" s="6" t="s">
        <v>723</v>
      </c>
      <c r="D213" s="6" t="s">
        <v>362</v>
      </c>
      <c r="E213" s="6" t="s">
        <v>3107</v>
      </c>
      <c r="F213" s="6" t="s">
        <v>4211</v>
      </c>
      <c r="G213" s="6" t="s">
        <v>3218</v>
      </c>
      <c r="H213" s="6" t="s">
        <v>3219</v>
      </c>
      <c r="I213" s="6" t="s">
        <v>3220</v>
      </c>
      <c r="J213" s="6">
        <v>6</v>
      </c>
      <c r="K213" s="6" t="s">
        <v>19</v>
      </c>
      <c r="L213" s="10">
        <v>51.871759830000002</v>
      </c>
      <c r="M213" s="6" t="s">
        <v>33</v>
      </c>
      <c r="N213" s="10">
        <f>Tabla11[[#This Row],[Price]]*Tabla11[[#This Row],[QTY Adjusted]]</f>
        <v>311.23055898000001</v>
      </c>
      <c r="O213" s="10">
        <v>311.23055898000001</v>
      </c>
      <c r="P213" s="10" t="s">
        <v>4225</v>
      </c>
      <c r="Q213" s="6">
        <v>0</v>
      </c>
    </row>
    <row r="214" spans="1:17" ht="40.200000000000003" customHeight="1" x14ac:dyDescent="0.3">
      <c r="A214" s="6">
        <v>1407</v>
      </c>
      <c r="B214" s="6" t="s">
        <v>2429</v>
      </c>
      <c r="C214" s="6" t="s">
        <v>723</v>
      </c>
      <c r="D214" s="6" t="s">
        <v>362</v>
      </c>
      <c r="E214" s="6" t="s">
        <v>2430</v>
      </c>
      <c r="F214" s="6" t="s">
        <v>4211</v>
      </c>
      <c r="G214" s="6" t="s">
        <v>2446</v>
      </c>
      <c r="H214" s="6" t="s">
        <v>2447</v>
      </c>
      <c r="I214" s="6" t="s">
        <v>2448</v>
      </c>
      <c r="J214" s="6">
        <v>10</v>
      </c>
      <c r="K214" s="6" t="s">
        <v>19</v>
      </c>
      <c r="L214" s="10">
        <v>31.039497472499999</v>
      </c>
      <c r="M214" s="6" t="s">
        <v>33</v>
      </c>
      <c r="N214" s="10">
        <f>Tabla11[[#This Row],[Price]]*Tabla11[[#This Row],[QTY Adjusted]]</f>
        <v>310.394974725</v>
      </c>
      <c r="O214" s="10">
        <v>310.394974725</v>
      </c>
      <c r="P214" s="10" t="s">
        <v>4225</v>
      </c>
      <c r="Q214" s="6">
        <v>0</v>
      </c>
    </row>
    <row r="215" spans="1:17" ht="40.200000000000003" customHeight="1" x14ac:dyDescent="0.3">
      <c r="A215" s="6">
        <v>1609</v>
      </c>
      <c r="B215" s="6" t="s">
        <v>2429</v>
      </c>
      <c r="C215" s="6" t="s">
        <v>309</v>
      </c>
      <c r="D215" s="6" t="s">
        <v>362</v>
      </c>
      <c r="E215" s="6" t="s">
        <v>2999</v>
      </c>
      <c r="F215" s="6" t="s">
        <v>4211</v>
      </c>
      <c r="G215" s="6" t="s">
        <v>3036</v>
      </c>
      <c r="H215" s="6" t="s">
        <v>3037</v>
      </c>
      <c r="I215" s="6" t="s">
        <v>3038</v>
      </c>
      <c r="J215" s="6">
        <v>1</v>
      </c>
      <c r="K215" s="6" t="s">
        <v>19</v>
      </c>
      <c r="L215" s="10">
        <v>309.60502941176469</v>
      </c>
      <c r="M215" s="6" t="s">
        <v>33</v>
      </c>
      <c r="N215" s="10">
        <f>Tabla11[[#This Row],[Price]]*Tabla11[[#This Row],[QTY Adjusted]]</f>
        <v>309.60502941176469</v>
      </c>
      <c r="O215" s="10">
        <v>309.60502941176469</v>
      </c>
      <c r="P215" s="10" t="s">
        <v>4225</v>
      </c>
      <c r="Q215" s="6">
        <v>0</v>
      </c>
    </row>
    <row r="216" spans="1:17" ht="40.200000000000003" customHeight="1" x14ac:dyDescent="0.3">
      <c r="A216" s="6">
        <v>1610</v>
      </c>
      <c r="B216" s="6" t="s">
        <v>2429</v>
      </c>
      <c r="C216" s="6" t="s">
        <v>309</v>
      </c>
      <c r="D216" s="6" t="s">
        <v>362</v>
      </c>
      <c r="E216" s="6" t="s">
        <v>2999</v>
      </c>
      <c r="F216" s="6" t="s">
        <v>4211</v>
      </c>
      <c r="G216" s="6" t="s">
        <v>3039</v>
      </c>
      <c r="H216" s="6" t="s">
        <v>3040</v>
      </c>
      <c r="I216" s="6" t="s">
        <v>3041</v>
      </c>
      <c r="J216" s="6">
        <v>1</v>
      </c>
      <c r="K216" s="6" t="s">
        <v>19</v>
      </c>
      <c r="L216" s="10">
        <v>309.60502941176469</v>
      </c>
      <c r="M216" s="6" t="s">
        <v>33</v>
      </c>
      <c r="N216" s="10">
        <f>Tabla11[[#This Row],[Price]]*Tabla11[[#This Row],[QTY Adjusted]]</f>
        <v>309.60502941176469</v>
      </c>
      <c r="O216" s="10">
        <v>309.60502941176469</v>
      </c>
      <c r="P216" s="10" t="s">
        <v>4225</v>
      </c>
      <c r="Q216" s="6">
        <v>0</v>
      </c>
    </row>
    <row r="217" spans="1:17" ht="40.200000000000003" customHeight="1" x14ac:dyDescent="0.3">
      <c r="A217" s="6">
        <v>1611</v>
      </c>
      <c r="B217" s="6" t="s">
        <v>2429</v>
      </c>
      <c r="C217" s="6" t="s">
        <v>309</v>
      </c>
      <c r="D217" s="6" t="s">
        <v>362</v>
      </c>
      <c r="E217" s="6" t="s">
        <v>2999</v>
      </c>
      <c r="F217" s="6" t="s">
        <v>4211</v>
      </c>
      <c r="G217" s="6" t="s">
        <v>3042</v>
      </c>
      <c r="H217" s="6" t="s">
        <v>3043</v>
      </c>
      <c r="I217" s="6" t="s">
        <v>3044</v>
      </c>
      <c r="J217" s="6">
        <v>1</v>
      </c>
      <c r="K217" s="6" t="s">
        <v>19</v>
      </c>
      <c r="L217" s="10">
        <v>309.60502941176469</v>
      </c>
      <c r="M217" s="6" t="s">
        <v>33</v>
      </c>
      <c r="N217" s="10">
        <f>Tabla11[[#This Row],[Price]]*Tabla11[[#This Row],[QTY Adjusted]]</f>
        <v>309.60502941176469</v>
      </c>
      <c r="O217" s="10">
        <v>309.60502941176469</v>
      </c>
      <c r="P217" s="10" t="s">
        <v>4225</v>
      </c>
      <c r="Q217" s="6">
        <v>0</v>
      </c>
    </row>
    <row r="218" spans="1:17" ht="40.200000000000003" customHeight="1" x14ac:dyDescent="0.3">
      <c r="A218" s="6">
        <v>1692</v>
      </c>
      <c r="B218" s="6" t="s">
        <v>2429</v>
      </c>
      <c r="C218" s="6" t="s">
        <v>723</v>
      </c>
      <c r="D218" s="6" t="s">
        <v>362</v>
      </c>
      <c r="E218" s="6" t="s">
        <v>3245</v>
      </c>
      <c r="F218" s="6" t="s">
        <v>4211</v>
      </c>
      <c r="G218" s="6" t="s">
        <v>3266</v>
      </c>
      <c r="H218" s="6" t="s">
        <v>3267</v>
      </c>
      <c r="I218" s="6" t="s">
        <v>3265</v>
      </c>
      <c r="J218" s="6">
        <v>12</v>
      </c>
      <c r="K218" s="6" t="s">
        <v>19</v>
      </c>
      <c r="L218" s="10">
        <v>25.608199815000003</v>
      </c>
      <c r="M218" s="6" t="s">
        <v>33</v>
      </c>
      <c r="N218" s="10">
        <f>Tabla11[[#This Row],[Price]]*Tabla11[[#This Row],[QTY Adjusted]]</f>
        <v>307.29839778000002</v>
      </c>
      <c r="O218" s="10">
        <v>307.29839778000002</v>
      </c>
      <c r="P218" s="10" t="s">
        <v>4225</v>
      </c>
      <c r="Q218" s="6">
        <v>0</v>
      </c>
    </row>
    <row r="219" spans="1:17" ht="40.200000000000003" customHeight="1" x14ac:dyDescent="0.3">
      <c r="A219" s="6">
        <v>1521</v>
      </c>
      <c r="B219" s="6" t="s">
        <v>2429</v>
      </c>
      <c r="C219" s="6" t="s">
        <v>723</v>
      </c>
      <c r="D219" s="6" t="s">
        <v>362</v>
      </c>
      <c r="E219" s="6" t="s">
        <v>2747</v>
      </c>
      <c r="F219" s="6" t="s">
        <v>4211</v>
      </c>
      <c r="G219" s="6" t="s">
        <v>2774</v>
      </c>
      <c r="H219" s="6" t="s">
        <v>2775</v>
      </c>
      <c r="I219" s="6" t="s">
        <v>2776</v>
      </c>
      <c r="J219" s="6">
        <v>18</v>
      </c>
      <c r="K219" s="6" t="s">
        <v>19</v>
      </c>
      <c r="L219" s="10">
        <v>16.711685099999997</v>
      </c>
      <c r="M219" s="6" t="s">
        <v>33</v>
      </c>
      <c r="N219" s="10">
        <f>Tabla11[[#This Row],[Price]]*Tabla11[[#This Row],[QTY Adjusted]]</f>
        <v>300.81033179999997</v>
      </c>
      <c r="O219" s="10">
        <v>300.81033179999997</v>
      </c>
      <c r="P219" s="10" t="s">
        <v>4225</v>
      </c>
      <c r="Q219" s="6">
        <v>0</v>
      </c>
    </row>
    <row r="220" spans="1:17" ht="40.200000000000003" customHeight="1" x14ac:dyDescent="0.3">
      <c r="A220" s="6">
        <v>1487</v>
      </c>
      <c r="B220" s="6" t="s">
        <v>2429</v>
      </c>
      <c r="C220" s="6" t="s">
        <v>723</v>
      </c>
      <c r="D220" s="6" t="s">
        <v>362</v>
      </c>
      <c r="E220" s="6" t="s">
        <v>2584</v>
      </c>
      <c r="F220" s="6" t="s">
        <v>4211</v>
      </c>
      <c r="G220" s="6" t="s">
        <v>2677</v>
      </c>
      <c r="H220" s="6" t="s">
        <v>2678</v>
      </c>
      <c r="I220" s="6" t="s">
        <v>2679</v>
      </c>
      <c r="J220" s="6">
        <v>26</v>
      </c>
      <c r="K220" s="6" t="s">
        <v>19</v>
      </c>
      <c r="L220" s="10">
        <v>11.5261475175</v>
      </c>
      <c r="M220" s="6" t="s">
        <v>33</v>
      </c>
      <c r="N220" s="10">
        <f>Tabla11[[#This Row],[Price]]*Tabla11[[#This Row],[QTY Adjusted]]</f>
        <v>299.67983545499999</v>
      </c>
      <c r="O220" s="10">
        <v>299.67983545499999</v>
      </c>
      <c r="P220" s="10" t="s">
        <v>4225</v>
      </c>
      <c r="Q220" s="6">
        <v>0</v>
      </c>
    </row>
    <row r="221" spans="1:17" ht="40.200000000000003" customHeight="1" x14ac:dyDescent="0.3">
      <c r="A221" s="6">
        <v>1693</v>
      </c>
      <c r="B221" s="6" t="s">
        <v>2429</v>
      </c>
      <c r="C221" s="6" t="s">
        <v>723</v>
      </c>
      <c r="D221" s="6" t="s">
        <v>362</v>
      </c>
      <c r="E221" s="6" t="s">
        <v>3245</v>
      </c>
      <c r="F221" s="6" t="s">
        <v>4211</v>
      </c>
      <c r="G221" s="6" t="s">
        <v>3268</v>
      </c>
      <c r="H221" s="6" t="s">
        <v>3269</v>
      </c>
      <c r="I221" s="6" t="s">
        <v>3265</v>
      </c>
      <c r="J221" s="6">
        <v>8</v>
      </c>
      <c r="K221" s="6" t="s">
        <v>19</v>
      </c>
      <c r="L221" s="10">
        <v>37.052427307500004</v>
      </c>
      <c r="M221" s="6" t="s">
        <v>33</v>
      </c>
      <c r="N221" s="10">
        <f>Tabla11[[#This Row],[Price]]*Tabla11[[#This Row],[QTY Adjusted]]</f>
        <v>296.41941846000003</v>
      </c>
      <c r="O221" s="10">
        <v>296.41941846000003</v>
      </c>
      <c r="P221" s="10" t="s">
        <v>4225</v>
      </c>
      <c r="Q221" s="6">
        <v>0</v>
      </c>
    </row>
    <row r="222" spans="1:17" ht="40.200000000000003" customHeight="1" x14ac:dyDescent="0.3">
      <c r="A222" s="6">
        <v>1671</v>
      </c>
      <c r="B222" s="6" t="s">
        <v>2429</v>
      </c>
      <c r="C222" s="6" t="s">
        <v>723</v>
      </c>
      <c r="D222" s="6" t="s">
        <v>362</v>
      </c>
      <c r="E222" s="6" t="s">
        <v>3107</v>
      </c>
      <c r="F222" s="6" t="s">
        <v>4211</v>
      </c>
      <c r="G222" s="6" t="s">
        <v>3215</v>
      </c>
      <c r="H222" s="6" t="s">
        <v>3216</v>
      </c>
      <c r="I222" s="6" t="s">
        <v>3217</v>
      </c>
      <c r="J222" s="6">
        <v>2</v>
      </c>
      <c r="K222" s="6" t="s">
        <v>19</v>
      </c>
      <c r="L222" s="10">
        <v>143.17162769249998</v>
      </c>
      <c r="M222" s="6" t="s">
        <v>33</v>
      </c>
      <c r="N222" s="10">
        <f>Tabla11[[#This Row],[Price]]*Tabla11[[#This Row],[QTY Adjusted]]</f>
        <v>286.34325538499996</v>
      </c>
      <c r="O222" s="10">
        <v>286.34325538499996</v>
      </c>
      <c r="P222" s="10" t="s">
        <v>4225</v>
      </c>
      <c r="Q222" s="6">
        <v>0</v>
      </c>
    </row>
    <row r="223" spans="1:17" ht="40.200000000000003" customHeight="1" x14ac:dyDescent="0.3">
      <c r="A223" s="6">
        <v>1471</v>
      </c>
      <c r="B223" s="6" t="s">
        <v>2429</v>
      </c>
      <c r="C223" s="6" t="s">
        <v>723</v>
      </c>
      <c r="D223" s="6" t="s">
        <v>362</v>
      </c>
      <c r="E223" s="6" t="s">
        <v>2584</v>
      </c>
      <c r="F223" s="6" t="s">
        <v>4211</v>
      </c>
      <c r="G223" s="6" t="s">
        <v>2629</v>
      </c>
      <c r="H223" s="6" t="s">
        <v>2630</v>
      </c>
      <c r="I223" s="6" t="s">
        <v>2631</v>
      </c>
      <c r="J223" s="6">
        <v>14</v>
      </c>
      <c r="K223" s="6" t="s">
        <v>19</v>
      </c>
      <c r="L223" s="10">
        <v>20.332550204999997</v>
      </c>
      <c r="M223" s="6" t="s">
        <v>33</v>
      </c>
      <c r="N223" s="10">
        <f>Tabla11[[#This Row],[Price]]*Tabla11[[#This Row],[QTY Adjusted]]</f>
        <v>284.65570286999997</v>
      </c>
      <c r="O223" s="10">
        <v>284.65570286999997</v>
      </c>
      <c r="P223" s="10" t="s">
        <v>4225</v>
      </c>
      <c r="Q223" s="6">
        <v>0</v>
      </c>
    </row>
    <row r="224" spans="1:17" ht="40.200000000000003" customHeight="1" x14ac:dyDescent="0.3">
      <c r="A224" s="6">
        <v>1662</v>
      </c>
      <c r="B224" s="6" t="s">
        <v>2429</v>
      </c>
      <c r="C224" s="6" t="s">
        <v>723</v>
      </c>
      <c r="D224" s="6" t="s">
        <v>362</v>
      </c>
      <c r="E224" s="6" t="s">
        <v>3107</v>
      </c>
      <c r="F224" s="6" t="s">
        <v>4211</v>
      </c>
      <c r="G224" s="6" t="s">
        <v>3191</v>
      </c>
      <c r="H224" s="6" t="s">
        <v>3192</v>
      </c>
      <c r="I224" s="6" t="s">
        <v>3193</v>
      </c>
      <c r="J224" s="6">
        <v>10</v>
      </c>
      <c r="K224" s="6" t="s">
        <v>19</v>
      </c>
      <c r="L224" s="10">
        <v>21.863187500000002</v>
      </c>
      <c r="M224" s="6" t="s">
        <v>33</v>
      </c>
      <c r="N224" s="10">
        <f>Tabla11[[#This Row],[Price]]*Tabla11[[#This Row],[QTY Adjusted]]</f>
        <v>218.63187500000004</v>
      </c>
      <c r="O224" s="10">
        <v>218.63187500000004</v>
      </c>
      <c r="P224" s="10" t="s">
        <v>4225</v>
      </c>
      <c r="Q224" s="6">
        <v>0</v>
      </c>
    </row>
    <row r="225" spans="1:17" ht="40.200000000000003" customHeight="1" x14ac:dyDescent="0.3">
      <c r="A225" s="6">
        <v>1762</v>
      </c>
      <c r="B225" s="6" t="s">
        <v>2429</v>
      </c>
      <c r="C225" s="6" t="s">
        <v>723</v>
      </c>
      <c r="D225" s="6" t="s">
        <v>362</v>
      </c>
      <c r="E225" s="6" t="s">
        <v>3402</v>
      </c>
      <c r="F225" s="6" t="s">
        <v>4211</v>
      </c>
      <c r="G225" s="6" t="s">
        <v>3472</v>
      </c>
      <c r="H225" s="6" t="s">
        <v>3473</v>
      </c>
      <c r="I225" s="6" t="s">
        <v>3474</v>
      </c>
      <c r="J225" s="6">
        <v>60</v>
      </c>
      <c r="K225" s="6" t="s">
        <v>19</v>
      </c>
      <c r="L225" s="10">
        <v>4.6940174324999999</v>
      </c>
      <c r="M225" s="6" t="s">
        <v>33</v>
      </c>
      <c r="N225" s="10">
        <f>Tabla11[[#This Row],[Price]]*Tabla11[[#This Row],[QTY Adjusted]]</f>
        <v>281.64104594999998</v>
      </c>
      <c r="O225" s="10">
        <v>281.64104594999998</v>
      </c>
      <c r="P225" s="10" t="s">
        <v>4225</v>
      </c>
      <c r="Q225" s="6">
        <v>0</v>
      </c>
    </row>
    <row r="226" spans="1:17" ht="40.200000000000003" customHeight="1" x14ac:dyDescent="0.3">
      <c r="A226" s="6">
        <v>1488</v>
      </c>
      <c r="B226" s="6" t="s">
        <v>2429</v>
      </c>
      <c r="C226" s="6" t="s">
        <v>723</v>
      </c>
      <c r="D226" s="6" t="s">
        <v>362</v>
      </c>
      <c r="E226" s="6" t="s">
        <v>2584</v>
      </c>
      <c r="F226" s="6" t="s">
        <v>4211</v>
      </c>
      <c r="G226" s="6" t="s">
        <v>2680</v>
      </c>
      <c r="H226" s="6" t="s">
        <v>2681</v>
      </c>
      <c r="I226" s="6" t="s">
        <v>2682</v>
      </c>
      <c r="J226" s="6">
        <v>18</v>
      </c>
      <c r="K226" s="6" t="s">
        <v>19</v>
      </c>
      <c r="L226" s="10">
        <v>13.336580069999998</v>
      </c>
      <c r="M226" s="6" t="s">
        <v>33</v>
      </c>
      <c r="N226" s="10">
        <f>Tabla11[[#This Row],[Price]]*Tabla11[[#This Row],[QTY Adjusted]]</f>
        <v>240.05844125999997</v>
      </c>
      <c r="O226" s="10">
        <v>240.05844125999997</v>
      </c>
      <c r="P226" s="10" t="s">
        <v>4225</v>
      </c>
      <c r="Q226" s="6">
        <v>0</v>
      </c>
    </row>
    <row r="227" spans="1:17" ht="40.200000000000003" customHeight="1" x14ac:dyDescent="0.3">
      <c r="A227" s="6">
        <v>1600</v>
      </c>
      <c r="B227" s="6" t="s">
        <v>2429</v>
      </c>
      <c r="C227" s="6" t="s">
        <v>2998</v>
      </c>
      <c r="D227" s="6" t="s">
        <v>362</v>
      </c>
      <c r="E227" s="6" t="s">
        <v>2999</v>
      </c>
      <c r="F227" s="6" t="s">
        <v>4211</v>
      </c>
      <c r="G227" s="6" t="s">
        <v>3006</v>
      </c>
      <c r="H227" s="6" t="s">
        <v>3007</v>
      </c>
      <c r="I227" s="6" t="s">
        <v>3008</v>
      </c>
      <c r="J227" s="6">
        <v>1</v>
      </c>
      <c r="K227" s="6" t="s">
        <v>19</v>
      </c>
      <c r="L227" s="10">
        <v>277.5</v>
      </c>
      <c r="M227" s="6" t="s">
        <v>33</v>
      </c>
      <c r="N227" s="10">
        <f>Tabla11[[#This Row],[Price]]*Tabla11[[#This Row],[QTY Adjusted]]</f>
        <v>277.5</v>
      </c>
      <c r="O227" s="10">
        <v>277.5</v>
      </c>
      <c r="P227" s="10" t="s">
        <v>4225</v>
      </c>
      <c r="Q227" s="6">
        <v>0</v>
      </c>
    </row>
    <row r="228" spans="1:17" ht="40.200000000000003" customHeight="1" x14ac:dyDescent="0.3">
      <c r="A228" s="6">
        <v>1460</v>
      </c>
      <c r="B228" s="6" t="s">
        <v>2429</v>
      </c>
      <c r="C228" s="6" t="s">
        <v>723</v>
      </c>
      <c r="D228" s="6" t="s">
        <v>362</v>
      </c>
      <c r="E228" s="6" t="s">
        <v>2584</v>
      </c>
      <c r="F228" s="6" t="s">
        <v>4211</v>
      </c>
      <c r="G228" s="6" t="s">
        <v>2596</v>
      </c>
      <c r="H228" s="6" t="s">
        <v>2597</v>
      </c>
      <c r="I228" s="6" t="s">
        <v>2598</v>
      </c>
      <c r="J228" s="6">
        <v>56</v>
      </c>
      <c r="K228" s="6" t="s">
        <v>19</v>
      </c>
      <c r="L228" s="10">
        <v>4.9397775075000006</v>
      </c>
      <c r="M228" s="6" t="s">
        <v>33</v>
      </c>
      <c r="N228" s="10">
        <f>Tabla11[[#This Row],[Price]]*Tabla11[[#This Row],[QTY Adjusted]]</f>
        <v>276.62754042000006</v>
      </c>
      <c r="O228" s="10">
        <v>276.62754042000006</v>
      </c>
      <c r="P228" s="10" t="s">
        <v>4225</v>
      </c>
      <c r="Q228" s="6">
        <v>0</v>
      </c>
    </row>
    <row r="229" spans="1:17" ht="40.200000000000003" customHeight="1" x14ac:dyDescent="0.3">
      <c r="A229" s="6">
        <v>1446</v>
      </c>
      <c r="B229" s="6" t="s">
        <v>2429</v>
      </c>
      <c r="C229" s="6" t="s">
        <v>723</v>
      </c>
      <c r="D229" s="6" t="s">
        <v>362</v>
      </c>
      <c r="E229" s="6" t="s">
        <v>2515</v>
      </c>
      <c r="F229" s="6" t="s">
        <v>4211</v>
      </c>
      <c r="G229" s="6" t="s">
        <v>2555</v>
      </c>
      <c r="H229" s="6" t="s">
        <v>2556</v>
      </c>
      <c r="I229" s="6" t="s">
        <v>2557</v>
      </c>
      <c r="J229" s="6">
        <v>38</v>
      </c>
      <c r="K229" s="6" t="s">
        <v>19</v>
      </c>
      <c r="L229" s="10">
        <v>7.1598101850000004</v>
      </c>
      <c r="M229" s="6" t="s">
        <v>33</v>
      </c>
      <c r="N229" s="10">
        <f>Tabla11[[#This Row],[Price]]*Tabla11[[#This Row],[QTY Adjusted]]</f>
        <v>272.07278703000003</v>
      </c>
      <c r="O229" s="10">
        <v>272.07278703000003</v>
      </c>
      <c r="P229" s="10" t="s">
        <v>4225</v>
      </c>
      <c r="Q229" s="6">
        <v>0</v>
      </c>
    </row>
    <row r="230" spans="1:17" ht="40.200000000000003" customHeight="1" x14ac:dyDescent="0.3">
      <c r="A230" s="6">
        <v>1758</v>
      </c>
      <c r="B230" s="6" t="s">
        <v>2429</v>
      </c>
      <c r="C230" s="6" t="s">
        <v>723</v>
      </c>
      <c r="D230" s="6" t="s">
        <v>362</v>
      </c>
      <c r="E230" s="6" t="s">
        <v>3402</v>
      </c>
      <c r="F230" s="6" t="s">
        <v>4211</v>
      </c>
      <c r="G230" s="6" t="s">
        <v>3460</v>
      </c>
      <c r="H230" s="6" t="s">
        <v>3461</v>
      </c>
      <c r="I230" s="6" t="s">
        <v>3462</v>
      </c>
      <c r="J230" s="6">
        <v>72</v>
      </c>
      <c r="K230" s="6" t="s">
        <v>19</v>
      </c>
      <c r="L230" s="10">
        <v>3.7027851300000005</v>
      </c>
      <c r="M230" s="6" t="s">
        <v>33</v>
      </c>
      <c r="N230" s="10">
        <f>Tabla11[[#This Row],[Price]]*Tabla11[[#This Row],[QTY Adjusted]]</f>
        <v>266.60052936000005</v>
      </c>
      <c r="O230" s="10">
        <v>266.60052936000005</v>
      </c>
      <c r="P230" s="10" t="s">
        <v>4225</v>
      </c>
      <c r="Q230" s="6">
        <v>0</v>
      </c>
    </row>
    <row r="231" spans="1:17" ht="40.200000000000003" customHeight="1" x14ac:dyDescent="0.3">
      <c r="A231" s="6">
        <v>1844</v>
      </c>
      <c r="B231" s="6" t="s">
        <v>2429</v>
      </c>
      <c r="C231" s="6" t="s">
        <v>2330</v>
      </c>
      <c r="D231" s="6" t="s">
        <v>178</v>
      </c>
      <c r="E231" s="6" t="s">
        <v>3621</v>
      </c>
      <c r="F231" s="6" t="s">
        <v>4211</v>
      </c>
      <c r="G231" s="6">
        <v>2017161</v>
      </c>
      <c r="H231" s="6" t="s">
        <v>3692</v>
      </c>
      <c r="I231" s="6" t="s">
        <v>3693</v>
      </c>
      <c r="J231" s="6">
        <v>12</v>
      </c>
      <c r="K231" s="6" t="s">
        <v>19</v>
      </c>
      <c r="L231" s="10">
        <v>22.05</v>
      </c>
      <c r="M231" s="6" t="s">
        <v>33</v>
      </c>
      <c r="N231" s="10">
        <f>Tabla11[[#This Row],[Price]]*Tabla11[[#This Row],[QTY Adjusted]]</f>
        <v>264.60000000000002</v>
      </c>
      <c r="O231" s="10">
        <v>264.60000000000002</v>
      </c>
      <c r="P231" s="10" t="s">
        <v>4230</v>
      </c>
      <c r="Q231" s="6">
        <v>0</v>
      </c>
    </row>
    <row r="232" spans="1:17" ht="40.200000000000003" customHeight="1" x14ac:dyDescent="0.3">
      <c r="A232" s="6">
        <v>1690</v>
      </c>
      <c r="B232" s="6" t="s">
        <v>2429</v>
      </c>
      <c r="C232" s="6" t="s">
        <v>723</v>
      </c>
      <c r="D232" s="6" t="s">
        <v>362</v>
      </c>
      <c r="E232" s="6" t="s">
        <v>3245</v>
      </c>
      <c r="F232" s="6" t="s">
        <v>4211</v>
      </c>
      <c r="G232" s="6" t="s">
        <v>3261</v>
      </c>
      <c r="H232" s="6" t="s">
        <v>3262</v>
      </c>
      <c r="I232" s="6" t="s">
        <v>3260</v>
      </c>
      <c r="J232" s="6">
        <v>6</v>
      </c>
      <c r="K232" s="6" t="s">
        <v>19</v>
      </c>
      <c r="L232" s="10">
        <v>41.656332712499996</v>
      </c>
      <c r="M232" s="6" t="s">
        <v>33</v>
      </c>
      <c r="N232" s="10">
        <f>Tabla11[[#This Row],[Price]]*Tabla11[[#This Row],[QTY Adjusted]]</f>
        <v>249.93799627499999</v>
      </c>
      <c r="O232" s="10">
        <v>249.93799627499999</v>
      </c>
      <c r="P232" s="10" t="s">
        <v>4225</v>
      </c>
      <c r="Q232" s="6">
        <v>0</v>
      </c>
    </row>
    <row r="233" spans="1:17" ht="40.200000000000003" customHeight="1" x14ac:dyDescent="0.3">
      <c r="A233" s="6">
        <v>1726</v>
      </c>
      <c r="B233" s="6" t="s">
        <v>2429</v>
      </c>
      <c r="C233" s="6" t="s">
        <v>723</v>
      </c>
      <c r="D233" s="6" t="s">
        <v>362</v>
      </c>
      <c r="E233" s="6" t="s">
        <v>3325</v>
      </c>
      <c r="F233" s="6" t="s">
        <v>4211</v>
      </c>
      <c r="G233" s="6" t="s">
        <v>3365</v>
      </c>
      <c r="H233" s="6" t="s">
        <v>3366</v>
      </c>
      <c r="I233" s="6" t="s">
        <v>3367</v>
      </c>
      <c r="J233" s="6">
        <v>1</v>
      </c>
      <c r="K233" s="6" t="s">
        <v>19</v>
      </c>
      <c r="L233" s="10">
        <v>245.75188299750002</v>
      </c>
      <c r="M233" s="6" t="s">
        <v>33</v>
      </c>
      <c r="N233" s="10">
        <f>Tabla11[[#This Row],[Price]]*Tabla11[[#This Row],[QTY Adjusted]]</f>
        <v>245.75188299750002</v>
      </c>
      <c r="O233" s="10">
        <v>245.75188299750002</v>
      </c>
      <c r="P233" s="10" t="s">
        <v>4225</v>
      </c>
      <c r="Q233" s="6">
        <v>0</v>
      </c>
    </row>
    <row r="234" spans="1:17" ht="40.200000000000003" customHeight="1" x14ac:dyDescent="0.3">
      <c r="A234" s="6">
        <v>1420</v>
      </c>
      <c r="B234" s="6" t="s">
        <v>2429</v>
      </c>
      <c r="C234" s="6" t="s">
        <v>723</v>
      </c>
      <c r="D234" s="6" t="s">
        <v>362</v>
      </c>
      <c r="E234" s="6" t="s">
        <v>2430</v>
      </c>
      <c r="F234" s="6" t="s">
        <v>4211</v>
      </c>
      <c r="G234" s="6" t="s">
        <v>2481</v>
      </c>
      <c r="H234" s="6" t="s">
        <v>2482</v>
      </c>
      <c r="I234" s="6" t="s">
        <v>2478</v>
      </c>
      <c r="J234" s="6">
        <v>6</v>
      </c>
      <c r="K234" s="6" t="s">
        <v>19</v>
      </c>
      <c r="L234" s="10">
        <v>40.919052487500004</v>
      </c>
      <c r="M234" s="6" t="s">
        <v>33</v>
      </c>
      <c r="N234" s="10">
        <f>Tabla11[[#This Row],[Price]]*Tabla11[[#This Row],[QTY Adjusted]]</f>
        <v>245.51431492500001</v>
      </c>
      <c r="O234" s="10">
        <v>245.51431492500001</v>
      </c>
      <c r="P234" s="10" t="s">
        <v>4225</v>
      </c>
      <c r="Q234" s="6">
        <v>0</v>
      </c>
    </row>
    <row r="235" spans="1:17" ht="40.200000000000003" customHeight="1" x14ac:dyDescent="0.3">
      <c r="A235" s="6">
        <v>1652</v>
      </c>
      <c r="B235" s="6" t="s">
        <v>2429</v>
      </c>
      <c r="C235" s="6" t="s">
        <v>723</v>
      </c>
      <c r="D235" s="6" t="s">
        <v>362</v>
      </c>
      <c r="E235" s="6" t="s">
        <v>3107</v>
      </c>
      <c r="F235" s="6" t="s">
        <v>4211</v>
      </c>
      <c r="G235" s="6" t="s">
        <v>3166</v>
      </c>
      <c r="H235" s="6" t="s">
        <v>3167</v>
      </c>
      <c r="I235" s="6" t="s">
        <v>3168</v>
      </c>
      <c r="J235" s="6">
        <v>16</v>
      </c>
      <c r="K235" s="6" t="s">
        <v>19</v>
      </c>
      <c r="L235" s="10">
        <v>12.845059919999999</v>
      </c>
      <c r="M235" s="6" t="s">
        <v>33</v>
      </c>
      <c r="N235" s="10">
        <f>Tabla11[[#This Row],[Price]]*Tabla11[[#This Row],[QTY Adjusted]]</f>
        <v>205.52095871999998</v>
      </c>
      <c r="O235" s="10">
        <v>205.52095871999998</v>
      </c>
      <c r="P235" s="10" t="s">
        <v>4225</v>
      </c>
      <c r="Q235" s="6">
        <v>0</v>
      </c>
    </row>
    <row r="236" spans="1:17" ht="40.200000000000003" customHeight="1" x14ac:dyDescent="0.3">
      <c r="A236" s="6">
        <v>1798</v>
      </c>
      <c r="B236" s="6" t="s">
        <v>2429</v>
      </c>
      <c r="C236" s="6" t="s">
        <v>723</v>
      </c>
      <c r="D236" s="6" t="s">
        <v>362</v>
      </c>
      <c r="E236" s="6" t="s">
        <v>3520</v>
      </c>
      <c r="F236" s="6" t="s">
        <v>4211</v>
      </c>
      <c r="G236" s="6" t="s">
        <v>3557</v>
      </c>
      <c r="H236" s="6" t="s">
        <v>3558</v>
      </c>
      <c r="I236" s="6" t="s">
        <v>3559</v>
      </c>
      <c r="J236" s="6">
        <v>24</v>
      </c>
      <c r="K236" s="6" t="s">
        <v>19</v>
      </c>
      <c r="L236" s="10">
        <v>6.7502100600000023</v>
      </c>
      <c r="M236" s="6" t="s">
        <v>33</v>
      </c>
      <c r="N236" s="10">
        <f>Tabla11[[#This Row],[Price]]*Tabla11[[#This Row],[QTY Adjusted]]</f>
        <v>162.00504144000007</v>
      </c>
      <c r="O236" s="10">
        <v>162.00504144000007</v>
      </c>
      <c r="P236" s="10" t="s">
        <v>4225</v>
      </c>
      <c r="Q236" s="6">
        <v>0</v>
      </c>
    </row>
    <row r="237" spans="1:17" ht="40.200000000000003" customHeight="1" x14ac:dyDescent="0.3">
      <c r="A237" s="6">
        <v>1816</v>
      </c>
      <c r="B237" s="6" t="s">
        <v>2429</v>
      </c>
      <c r="C237" s="6" t="s">
        <v>723</v>
      </c>
      <c r="D237" s="6" t="s">
        <v>362</v>
      </c>
      <c r="E237" s="6" t="s">
        <v>3520</v>
      </c>
      <c r="F237" s="6" t="s">
        <v>4211</v>
      </c>
      <c r="G237" s="6" t="s">
        <v>3611</v>
      </c>
      <c r="H237" s="6" t="s">
        <v>3612</v>
      </c>
      <c r="I237" s="6" t="s">
        <v>3613</v>
      </c>
      <c r="J237" s="6">
        <v>24</v>
      </c>
      <c r="K237" s="6" t="s">
        <v>19</v>
      </c>
      <c r="L237" s="10">
        <v>10.043395065000002</v>
      </c>
      <c r="M237" s="6" t="s">
        <v>33</v>
      </c>
      <c r="N237" s="10">
        <f>Tabla11[[#This Row],[Price]]*Tabla11[[#This Row],[QTY Adjusted]]</f>
        <v>241.04148156000005</v>
      </c>
      <c r="O237" s="10">
        <v>241.04148156000005</v>
      </c>
      <c r="P237" s="10" t="s">
        <v>4225</v>
      </c>
      <c r="Q237" s="6">
        <v>0</v>
      </c>
    </row>
    <row r="238" spans="1:17" ht="40.200000000000003" customHeight="1" x14ac:dyDescent="0.3">
      <c r="A238" s="6">
        <v>1869</v>
      </c>
      <c r="B238" s="6" t="s">
        <v>2429</v>
      </c>
      <c r="C238" s="6" t="s">
        <v>3766</v>
      </c>
      <c r="D238" s="6" t="s">
        <v>362</v>
      </c>
      <c r="E238" s="6" t="s">
        <v>3762</v>
      </c>
      <c r="F238" s="6" t="s">
        <v>4211</v>
      </c>
      <c r="G238" s="6" t="s">
        <v>3767</v>
      </c>
      <c r="H238" s="6" t="s">
        <v>3768</v>
      </c>
      <c r="I238" s="6" t="s">
        <v>3769</v>
      </c>
      <c r="J238" s="6">
        <v>24</v>
      </c>
      <c r="K238" s="6" t="s">
        <v>19</v>
      </c>
      <c r="L238" s="10">
        <v>10.012383900928793</v>
      </c>
      <c r="M238" s="6" t="s">
        <v>33</v>
      </c>
      <c r="N238" s="10">
        <f>Tabla11[[#This Row],[Price]]*Tabla11[[#This Row],[QTY Adjusted]]</f>
        <v>240.29721362229103</v>
      </c>
      <c r="O238" s="10">
        <v>240.29721362229103</v>
      </c>
      <c r="P238" s="10" t="s">
        <v>4225</v>
      </c>
      <c r="Q238" s="6">
        <v>0</v>
      </c>
    </row>
    <row r="239" spans="1:17" ht="40.200000000000003" customHeight="1" x14ac:dyDescent="0.3">
      <c r="A239" s="6">
        <v>1788</v>
      </c>
      <c r="B239" s="6" t="s">
        <v>2429</v>
      </c>
      <c r="C239" s="6" t="s">
        <v>723</v>
      </c>
      <c r="D239" s="6" t="s">
        <v>362</v>
      </c>
      <c r="E239" s="6" t="s">
        <v>3520</v>
      </c>
      <c r="F239" s="6" t="s">
        <v>4211</v>
      </c>
      <c r="G239" s="6" t="s">
        <v>3527</v>
      </c>
      <c r="H239" s="6" t="s">
        <v>3528</v>
      </c>
      <c r="I239" s="6" t="s">
        <v>3529</v>
      </c>
      <c r="J239" s="6">
        <v>36</v>
      </c>
      <c r="K239" s="6" t="s">
        <v>19</v>
      </c>
      <c r="L239" s="10">
        <v>6.6682900349999992</v>
      </c>
      <c r="M239" s="6" t="s">
        <v>33</v>
      </c>
      <c r="N239" s="10">
        <f>Tabla11[[#This Row],[Price]]*Tabla11[[#This Row],[QTY Adjusted]]</f>
        <v>240.05844125999997</v>
      </c>
      <c r="O239" s="10">
        <v>240.05844125999997</v>
      </c>
      <c r="P239" s="10" t="s">
        <v>4225</v>
      </c>
      <c r="Q239" s="6">
        <v>0</v>
      </c>
    </row>
    <row r="240" spans="1:17" ht="40.200000000000003" customHeight="1" x14ac:dyDescent="0.3">
      <c r="A240" s="6">
        <v>1578</v>
      </c>
      <c r="B240" s="6" t="s">
        <v>2429</v>
      </c>
      <c r="C240" s="6" t="s">
        <v>723</v>
      </c>
      <c r="D240" s="6" t="s">
        <v>362</v>
      </c>
      <c r="E240" s="6" t="s">
        <v>2747</v>
      </c>
      <c r="F240" s="6" t="s">
        <v>4211</v>
      </c>
      <c r="G240" s="6" t="s">
        <v>2941</v>
      </c>
      <c r="H240" s="6" t="s">
        <v>2942</v>
      </c>
      <c r="I240" s="6" t="s">
        <v>2943</v>
      </c>
      <c r="J240" s="6">
        <v>2</v>
      </c>
      <c r="K240" s="6" t="s">
        <v>19</v>
      </c>
      <c r="L240" s="10">
        <v>119.87357258250002</v>
      </c>
      <c r="M240" s="6" t="s">
        <v>33</v>
      </c>
      <c r="N240" s="10">
        <f>Tabla11[[#This Row],[Price]]*Tabla11[[#This Row],[QTY Adjusted]]</f>
        <v>239.74714516500003</v>
      </c>
      <c r="O240" s="10">
        <v>239.74714516500003</v>
      </c>
      <c r="P240" s="10" t="s">
        <v>4225</v>
      </c>
      <c r="Q240" s="6">
        <v>0</v>
      </c>
    </row>
    <row r="241" spans="1:17" ht="40.200000000000003" customHeight="1" x14ac:dyDescent="0.3">
      <c r="A241" s="6">
        <v>1472</v>
      </c>
      <c r="B241" s="6" t="s">
        <v>2429</v>
      </c>
      <c r="C241" s="6" t="s">
        <v>723</v>
      </c>
      <c r="D241" s="6" t="s">
        <v>362</v>
      </c>
      <c r="E241" s="6" t="s">
        <v>2584</v>
      </c>
      <c r="F241" s="6" t="s">
        <v>4211</v>
      </c>
      <c r="G241" s="6" t="s">
        <v>2632</v>
      </c>
      <c r="H241" s="6" t="s">
        <v>2633</v>
      </c>
      <c r="I241" s="6" t="s">
        <v>2634</v>
      </c>
      <c r="J241" s="6">
        <v>14</v>
      </c>
      <c r="K241" s="6" t="s">
        <v>19</v>
      </c>
      <c r="L241" s="10">
        <v>17.039365200000002</v>
      </c>
      <c r="M241" s="6" t="s">
        <v>33</v>
      </c>
      <c r="N241" s="10">
        <f>Tabla11[[#This Row],[Price]]*Tabla11[[#This Row],[QTY Adjusted]]</f>
        <v>238.55111280000003</v>
      </c>
      <c r="O241" s="10">
        <v>238.55111280000003</v>
      </c>
      <c r="P241" s="10" t="s">
        <v>4225</v>
      </c>
      <c r="Q241" s="6">
        <v>0</v>
      </c>
    </row>
    <row r="242" spans="1:17" ht="40.200000000000003" customHeight="1" x14ac:dyDescent="0.3">
      <c r="A242" s="6">
        <v>1459</v>
      </c>
      <c r="B242" s="6" t="s">
        <v>2429</v>
      </c>
      <c r="C242" s="6" t="s">
        <v>723</v>
      </c>
      <c r="D242" s="6" t="s">
        <v>362</v>
      </c>
      <c r="E242" s="6" t="s">
        <v>2584</v>
      </c>
      <c r="F242" s="6" t="s">
        <v>4211</v>
      </c>
      <c r="G242" s="6" t="s">
        <v>2593</v>
      </c>
      <c r="H242" s="6" t="s">
        <v>2594</v>
      </c>
      <c r="I242" s="6" t="s">
        <v>2595</v>
      </c>
      <c r="J242" s="6">
        <v>56</v>
      </c>
      <c r="K242" s="6" t="s">
        <v>19</v>
      </c>
      <c r="L242" s="10">
        <v>4.2024972824999995</v>
      </c>
      <c r="M242" s="6" t="s">
        <v>33</v>
      </c>
      <c r="N242" s="10">
        <f>Tabla11[[#This Row],[Price]]*Tabla11[[#This Row],[QTY Adjusted]]</f>
        <v>235.33984781999999</v>
      </c>
      <c r="O242" s="10">
        <v>235.33984781999999</v>
      </c>
      <c r="P242" s="10" t="s">
        <v>4225</v>
      </c>
      <c r="Q242" s="6">
        <v>0</v>
      </c>
    </row>
    <row r="243" spans="1:17" ht="40.200000000000003" customHeight="1" x14ac:dyDescent="0.3">
      <c r="A243" s="6">
        <v>1527</v>
      </c>
      <c r="B243" s="6" t="s">
        <v>2429</v>
      </c>
      <c r="C243" s="6" t="s">
        <v>723</v>
      </c>
      <c r="D243" s="6" t="s">
        <v>362</v>
      </c>
      <c r="E243" s="6" t="s">
        <v>2747</v>
      </c>
      <c r="F243" s="6" t="s">
        <v>4211</v>
      </c>
      <c r="G243" s="6" t="s">
        <v>2790</v>
      </c>
      <c r="H243" s="6" t="s">
        <v>2791</v>
      </c>
      <c r="I243" s="6" t="s">
        <v>2792</v>
      </c>
      <c r="J243" s="6">
        <v>12</v>
      </c>
      <c r="K243" s="6" t="s">
        <v>19</v>
      </c>
      <c r="L243" s="10">
        <v>19.43142993</v>
      </c>
      <c r="M243" s="6" t="s">
        <v>33</v>
      </c>
      <c r="N243" s="10">
        <f>Tabla11[[#This Row],[Price]]*Tabla11[[#This Row],[QTY Adjusted]]</f>
        <v>233.17715916</v>
      </c>
      <c r="O243" s="10">
        <v>233.17715916</v>
      </c>
      <c r="P243" s="10" t="s">
        <v>4225</v>
      </c>
      <c r="Q243" s="6">
        <v>0</v>
      </c>
    </row>
    <row r="244" spans="1:17" ht="40.200000000000003" customHeight="1" x14ac:dyDescent="0.3">
      <c r="A244" s="6">
        <v>1518</v>
      </c>
      <c r="B244" s="6" t="s">
        <v>2429</v>
      </c>
      <c r="C244" s="6" t="s">
        <v>723</v>
      </c>
      <c r="D244" s="6" t="s">
        <v>362</v>
      </c>
      <c r="E244" s="6" t="s">
        <v>2747</v>
      </c>
      <c r="F244" s="6" t="s">
        <v>4211</v>
      </c>
      <c r="G244" s="6" t="s">
        <v>2765</v>
      </c>
      <c r="H244" s="6" t="s">
        <v>2766</v>
      </c>
      <c r="I244" s="6" t="s">
        <v>2767</v>
      </c>
      <c r="J244" s="6">
        <v>4</v>
      </c>
      <c r="K244" s="6" t="s">
        <v>19</v>
      </c>
      <c r="L244" s="10">
        <v>58.122257737500014</v>
      </c>
      <c r="M244" s="6" t="s">
        <v>33</v>
      </c>
      <c r="N244" s="10">
        <f>Tabla11[[#This Row],[Price]]*Tabla11[[#This Row],[QTY Adjusted]]</f>
        <v>232.48903095000006</v>
      </c>
      <c r="O244" s="10">
        <v>232.48903095000006</v>
      </c>
      <c r="P244" s="10" t="s">
        <v>4228</v>
      </c>
      <c r="Q244" s="6" t="s">
        <v>4246</v>
      </c>
    </row>
    <row r="245" spans="1:17" ht="40.200000000000003" customHeight="1" x14ac:dyDescent="0.3">
      <c r="A245" s="6">
        <v>1763</v>
      </c>
      <c r="B245" s="6" t="s">
        <v>2429</v>
      </c>
      <c r="C245" s="6" t="s">
        <v>723</v>
      </c>
      <c r="D245" s="6" t="s">
        <v>362</v>
      </c>
      <c r="E245" s="6" t="s">
        <v>3402</v>
      </c>
      <c r="F245" s="6" t="s">
        <v>4211</v>
      </c>
      <c r="G245" s="6" t="s">
        <v>3475</v>
      </c>
      <c r="H245" s="6" t="s">
        <v>3476</v>
      </c>
      <c r="I245" s="6" t="s">
        <v>3477</v>
      </c>
      <c r="J245" s="6">
        <v>60</v>
      </c>
      <c r="K245" s="6" t="s">
        <v>19</v>
      </c>
      <c r="L245" s="10">
        <v>3.8666251800000007</v>
      </c>
      <c r="M245" s="6" t="s">
        <v>33</v>
      </c>
      <c r="N245" s="10">
        <f>Tabla11[[#This Row],[Price]]*Tabla11[[#This Row],[QTY Adjusted]]</f>
        <v>231.99751080000004</v>
      </c>
      <c r="O245" s="10">
        <v>231.99751080000004</v>
      </c>
      <c r="P245" s="10" t="s">
        <v>4225</v>
      </c>
      <c r="Q245" s="6">
        <v>0</v>
      </c>
    </row>
    <row r="246" spans="1:17" ht="40.200000000000003" customHeight="1" x14ac:dyDescent="0.3">
      <c r="A246" s="6">
        <v>1828</v>
      </c>
      <c r="B246" s="6" t="s">
        <v>2429</v>
      </c>
      <c r="C246" s="6" t="s">
        <v>723</v>
      </c>
      <c r="D246" s="6" t="s">
        <v>362</v>
      </c>
      <c r="E246" s="6" t="s">
        <v>3621</v>
      </c>
      <c r="F246" s="6" t="s">
        <v>4211</v>
      </c>
      <c r="G246" s="6" t="s">
        <v>3649</v>
      </c>
      <c r="H246" s="6" t="s">
        <v>3650</v>
      </c>
      <c r="I246" s="6" t="s">
        <v>3651</v>
      </c>
      <c r="J246" s="6">
        <v>12</v>
      </c>
      <c r="K246" s="6" t="s">
        <v>19</v>
      </c>
      <c r="L246" s="10">
        <v>19.267589880000003</v>
      </c>
      <c r="M246" s="6" t="s">
        <v>33</v>
      </c>
      <c r="N246" s="10">
        <f>Tabla11[[#This Row],[Price]]*Tabla11[[#This Row],[QTY Adjusted]]</f>
        <v>231.21107856000003</v>
      </c>
      <c r="O246" s="10">
        <v>231.21107856000003</v>
      </c>
      <c r="P246" s="10" t="s">
        <v>4225</v>
      </c>
      <c r="Q246" s="6">
        <v>0</v>
      </c>
    </row>
    <row r="247" spans="1:17" ht="40.200000000000003" customHeight="1" x14ac:dyDescent="0.3">
      <c r="A247" s="6">
        <v>1641</v>
      </c>
      <c r="B247" s="6" t="s">
        <v>2429</v>
      </c>
      <c r="C247" s="6" t="s">
        <v>723</v>
      </c>
      <c r="D247" s="6" t="s">
        <v>362</v>
      </c>
      <c r="E247" s="6" t="s">
        <v>3107</v>
      </c>
      <c r="F247" s="6" t="s">
        <v>4211</v>
      </c>
      <c r="G247" s="6" t="s">
        <v>3134</v>
      </c>
      <c r="H247" s="6" t="s">
        <v>3135</v>
      </c>
      <c r="I247" s="6" t="s">
        <v>3136</v>
      </c>
      <c r="J247" s="6">
        <v>2</v>
      </c>
      <c r="K247" s="6" t="s">
        <v>19</v>
      </c>
      <c r="L247" s="10">
        <v>114.27024287250001</v>
      </c>
      <c r="M247" s="6" t="s">
        <v>33</v>
      </c>
      <c r="N247" s="10">
        <f>Tabla11[[#This Row],[Price]]*Tabla11[[#This Row],[QTY Adjusted]]</f>
        <v>228.54048574500001</v>
      </c>
      <c r="O247" s="10">
        <v>228.54048574500001</v>
      </c>
      <c r="P247" s="10" t="s">
        <v>4225</v>
      </c>
      <c r="Q247" s="6">
        <v>0</v>
      </c>
    </row>
    <row r="248" spans="1:17" ht="40.200000000000003" customHeight="1" x14ac:dyDescent="0.3">
      <c r="A248" s="6">
        <v>1445</v>
      </c>
      <c r="B248" s="6" t="s">
        <v>2429</v>
      </c>
      <c r="C248" s="6" t="s">
        <v>723</v>
      </c>
      <c r="D248" s="6" t="s">
        <v>362</v>
      </c>
      <c r="E248" s="6" t="s">
        <v>2515</v>
      </c>
      <c r="F248" s="6" t="s">
        <v>4211</v>
      </c>
      <c r="G248" s="6" t="s">
        <v>2552</v>
      </c>
      <c r="H248" s="6" t="s">
        <v>2553</v>
      </c>
      <c r="I248" s="6" t="s">
        <v>2554</v>
      </c>
      <c r="J248" s="6">
        <v>38</v>
      </c>
      <c r="K248" s="6" t="s">
        <v>19</v>
      </c>
      <c r="L248" s="10">
        <v>6.0129298349999987</v>
      </c>
      <c r="M248" s="6" t="s">
        <v>33</v>
      </c>
      <c r="N248" s="10">
        <f>Tabla11[[#This Row],[Price]]*Tabla11[[#This Row],[QTY Adjusted]]</f>
        <v>228.49133372999995</v>
      </c>
      <c r="O248" s="10">
        <v>228.49133372999995</v>
      </c>
      <c r="P248" s="10" t="s">
        <v>4225</v>
      </c>
      <c r="Q248" s="6">
        <v>0</v>
      </c>
    </row>
    <row r="249" spans="1:17" ht="40.200000000000003" customHeight="1" x14ac:dyDescent="0.3">
      <c r="A249" s="6">
        <v>1849</v>
      </c>
      <c r="B249" s="6" t="s">
        <v>2429</v>
      </c>
      <c r="C249" s="6" t="s">
        <v>3707</v>
      </c>
      <c r="D249" s="6" t="s">
        <v>178</v>
      </c>
      <c r="E249" s="6" t="s">
        <v>3621</v>
      </c>
      <c r="F249" s="6" t="s">
        <v>4211</v>
      </c>
      <c r="G249" s="6">
        <v>90002</v>
      </c>
      <c r="H249" s="6" t="s">
        <v>3708</v>
      </c>
      <c r="I249" s="6" t="s">
        <v>3709</v>
      </c>
      <c r="J249" s="6">
        <v>6</v>
      </c>
      <c r="K249" s="6" t="s">
        <v>19</v>
      </c>
      <c r="L249" s="10">
        <v>37.674560000000007</v>
      </c>
      <c r="M249" s="6" t="s">
        <v>33</v>
      </c>
      <c r="N249" s="10">
        <f>Tabla11[[#This Row],[Price]]*Tabla11[[#This Row],[QTY Adjusted]]</f>
        <v>226.04736000000003</v>
      </c>
      <c r="O249" s="10">
        <v>226.04736000000003</v>
      </c>
      <c r="P249" s="10" t="s">
        <v>4235</v>
      </c>
      <c r="Q249" s="6">
        <v>0</v>
      </c>
    </row>
    <row r="250" spans="1:17" ht="40.200000000000003" customHeight="1" x14ac:dyDescent="0.3">
      <c r="A250" s="6">
        <v>1463</v>
      </c>
      <c r="B250" s="6" t="s">
        <v>2429</v>
      </c>
      <c r="C250" s="6" t="s">
        <v>723</v>
      </c>
      <c r="D250" s="6" t="s">
        <v>362</v>
      </c>
      <c r="E250" s="6" t="s">
        <v>2584</v>
      </c>
      <c r="F250" s="6" t="s">
        <v>4211</v>
      </c>
      <c r="G250" s="6" t="s">
        <v>2605</v>
      </c>
      <c r="H250" s="6" t="s">
        <v>2606</v>
      </c>
      <c r="I250" s="6" t="s">
        <v>2607</v>
      </c>
      <c r="J250" s="6">
        <v>9</v>
      </c>
      <c r="K250" s="6" t="s">
        <v>19</v>
      </c>
      <c r="L250" s="10">
        <v>24.780807562500001</v>
      </c>
      <c r="M250" s="6" t="s">
        <v>33</v>
      </c>
      <c r="N250" s="10">
        <f>Tabla11[[#This Row],[Price]]*Tabla11[[#This Row],[QTY Adjusted]]</f>
        <v>223.02726806250001</v>
      </c>
      <c r="O250" s="10">
        <v>223.02726806250001</v>
      </c>
      <c r="P250" s="10" t="s">
        <v>4225</v>
      </c>
      <c r="Q250" s="6">
        <v>0</v>
      </c>
    </row>
    <row r="251" spans="1:17" ht="40.200000000000003" customHeight="1" x14ac:dyDescent="0.3">
      <c r="A251" s="6">
        <v>1512</v>
      </c>
      <c r="B251" s="6" t="s">
        <v>2429</v>
      </c>
      <c r="C251" s="6" t="s">
        <v>723</v>
      </c>
      <c r="D251" s="6" t="s">
        <v>362</v>
      </c>
      <c r="E251" s="6" t="s">
        <v>2747</v>
      </c>
      <c r="F251" s="6" t="s">
        <v>4211</v>
      </c>
      <c r="G251" s="6" t="s">
        <v>2751</v>
      </c>
      <c r="H251" s="6" t="s">
        <v>2752</v>
      </c>
      <c r="I251" s="6" t="s">
        <v>2753</v>
      </c>
      <c r="J251" s="6">
        <v>12</v>
      </c>
      <c r="K251" s="6" t="s">
        <v>19</v>
      </c>
      <c r="L251" s="10">
        <v>18.358277602499999</v>
      </c>
      <c r="M251" s="6" t="s">
        <v>33</v>
      </c>
      <c r="N251" s="10">
        <f>Tabla11[[#This Row],[Price]]*Tabla11[[#This Row],[QTY Adjusted]]</f>
        <v>220.29933123000001</v>
      </c>
      <c r="O251" s="10">
        <v>220.29933123000001</v>
      </c>
      <c r="P251" s="10" t="s">
        <v>4225</v>
      </c>
      <c r="Q251" s="6">
        <v>0</v>
      </c>
    </row>
    <row r="252" spans="1:17" ht="40.200000000000003" customHeight="1" x14ac:dyDescent="0.3">
      <c r="A252" s="6">
        <v>1736</v>
      </c>
      <c r="B252" s="6" t="s">
        <v>2429</v>
      </c>
      <c r="C252" s="6" t="s">
        <v>723</v>
      </c>
      <c r="D252" s="6" t="s">
        <v>362</v>
      </c>
      <c r="E252" s="6" t="s">
        <v>3325</v>
      </c>
      <c r="F252" s="6" t="s">
        <v>4211</v>
      </c>
      <c r="G252" s="6" t="s">
        <v>3395</v>
      </c>
      <c r="H252" s="6" t="s">
        <v>3396</v>
      </c>
      <c r="I252" s="6" t="s">
        <v>3397</v>
      </c>
      <c r="J252" s="6">
        <v>1</v>
      </c>
      <c r="K252" s="6" t="s">
        <v>19</v>
      </c>
      <c r="L252" s="10">
        <v>214.05702532500001</v>
      </c>
      <c r="M252" s="6" t="s">
        <v>33</v>
      </c>
      <c r="N252" s="10">
        <f>Tabla11[[#This Row],[Price]]*Tabla11[[#This Row],[QTY Adjusted]]</f>
        <v>214.05702532500001</v>
      </c>
      <c r="O252" s="10">
        <v>214.05702532500001</v>
      </c>
      <c r="P252" s="10" t="s">
        <v>4225</v>
      </c>
      <c r="Q252" s="6">
        <v>0</v>
      </c>
    </row>
    <row r="253" spans="1:17" ht="40.200000000000003" customHeight="1" x14ac:dyDescent="0.3">
      <c r="A253" s="6">
        <v>1522</v>
      </c>
      <c r="B253" s="6" t="s">
        <v>2429</v>
      </c>
      <c r="C253" s="6" t="s">
        <v>723</v>
      </c>
      <c r="D253" s="6" t="s">
        <v>362</v>
      </c>
      <c r="E253" s="6" t="s">
        <v>2747</v>
      </c>
      <c r="F253" s="6" t="s">
        <v>4211</v>
      </c>
      <c r="G253" s="6" t="s">
        <v>2777</v>
      </c>
      <c r="H253" s="6" t="s">
        <v>2778</v>
      </c>
      <c r="I253" s="6" t="s">
        <v>2779</v>
      </c>
      <c r="J253" s="6">
        <v>12</v>
      </c>
      <c r="K253" s="6" t="s">
        <v>19</v>
      </c>
      <c r="L253" s="10">
        <v>9.7157149650000001</v>
      </c>
      <c r="M253" s="6" t="s">
        <v>33</v>
      </c>
      <c r="N253" s="10">
        <f>Tabla11[[#This Row],[Price]]*Tabla11[[#This Row],[QTY Adjusted]]</f>
        <v>116.58857958</v>
      </c>
      <c r="O253" s="10">
        <v>116.58857958</v>
      </c>
      <c r="P253" s="10" t="s">
        <v>4225</v>
      </c>
      <c r="Q253" s="6">
        <v>0</v>
      </c>
    </row>
    <row r="254" spans="1:17" ht="40.200000000000003" customHeight="1" x14ac:dyDescent="0.3">
      <c r="A254" s="6">
        <v>1677</v>
      </c>
      <c r="B254" s="6" t="s">
        <v>2429</v>
      </c>
      <c r="C254" s="6" t="s">
        <v>723</v>
      </c>
      <c r="D254" s="6" t="s">
        <v>362</v>
      </c>
      <c r="E254" s="6" t="s">
        <v>3107</v>
      </c>
      <c r="F254" s="6" t="s">
        <v>4211</v>
      </c>
      <c r="G254" s="6" t="s">
        <v>3224</v>
      </c>
      <c r="H254" s="6" t="s">
        <v>3225</v>
      </c>
      <c r="I254" s="6" t="s">
        <v>3226</v>
      </c>
      <c r="J254" s="6">
        <v>36</v>
      </c>
      <c r="K254" s="6" t="s">
        <v>19</v>
      </c>
      <c r="L254" s="10">
        <v>5.8490897849999994</v>
      </c>
      <c r="M254" s="6" t="s">
        <v>33</v>
      </c>
      <c r="N254" s="10">
        <f>Tabla11[[#This Row],[Price]]*Tabla11[[#This Row],[QTY Adjusted]]</f>
        <v>210.56723225999997</v>
      </c>
      <c r="O254" s="10">
        <v>210.56723225999997</v>
      </c>
      <c r="P254" s="10" t="s">
        <v>4225</v>
      </c>
      <c r="Q254" s="6">
        <v>0</v>
      </c>
    </row>
    <row r="255" spans="1:17" ht="40.200000000000003" customHeight="1" x14ac:dyDescent="0.3">
      <c r="A255" s="6">
        <v>1511</v>
      </c>
      <c r="B255" s="6" t="s">
        <v>2429</v>
      </c>
      <c r="C255" s="6" t="s">
        <v>723</v>
      </c>
      <c r="D255" s="6" t="s">
        <v>362</v>
      </c>
      <c r="E255" s="6" t="s">
        <v>2747</v>
      </c>
      <c r="F255" s="6" t="s">
        <v>4211</v>
      </c>
      <c r="G255" s="6" t="s">
        <v>2748</v>
      </c>
      <c r="H255" s="6" t="s">
        <v>2749</v>
      </c>
      <c r="I255" s="6" t="s">
        <v>2750</v>
      </c>
      <c r="J255" s="6">
        <v>12</v>
      </c>
      <c r="K255" s="6" t="s">
        <v>19</v>
      </c>
      <c r="L255" s="10">
        <v>17.293317277499998</v>
      </c>
      <c r="M255" s="6" t="s">
        <v>33</v>
      </c>
      <c r="N255" s="10">
        <f>Tabla11[[#This Row],[Price]]*Tabla11[[#This Row],[QTY Adjusted]]</f>
        <v>207.51980732999999</v>
      </c>
      <c r="O255" s="10">
        <v>207.51980732999999</v>
      </c>
      <c r="P255" s="10" t="s">
        <v>4225</v>
      </c>
      <c r="Q255" s="6">
        <v>0</v>
      </c>
    </row>
    <row r="256" spans="1:17" ht="40.200000000000003" customHeight="1" x14ac:dyDescent="0.3">
      <c r="A256" s="6">
        <v>1840</v>
      </c>
      <c r="B256" s="6" t="s">
        <v>2429</v>
      </c>
      <c r="C256" s="6" t="s">
        <v>3682</v>
      </c>
      <c r="D256" s="6" t="s">
        <v>362</v>
      </c>
      <c r="E256" s="6" t="s">
        <v>3621</v>
      </c>
      <c r="F256" s="6" t="s">
        <v>4211</v>
      </c>
      <c r="G256" s="6">
        <v>621315</v>
      </c>
      <c r="H256" s="6" t="s">
        <v>3683</v>
      </c>
      <c r="I256" s="6" t="s">
        <v>3684</v>
      </c>
      <c r="J256" s="6">
        <v>6</v>
      </c>
      <c r="K256" s="6" t="s">
        <v>19</v>
      </c>
      <c r="L256" s="10">
        <v>34.189189189189186</v>
      </c>
      <c r="M256" s="6" t="s">
        <v>33</v>
      </c>
      <c r="N256" s="10">
        <f>Tabla11[[#This Row],[Price]]*Tabla11[[#This Row],[QTY Adjusted]]</f>
        <v>205.1351351351351</v>
      </c>
      <c r="O256" s="10">
        <v>205.1351351351351</v>
      </c>
      <c r="P256" s="10" t="s">
        <v>4225</v>
      </c>
      <c r="Q256" s="6">
        <v>0</v>
      </c>
    </row>
    <row r="257" spans="1:17" ht="40.200000000000003" customHeight="1" x14ac:dyDescent="0.3">
      <c r="A257" s="6">
        <v>1670</v>
      </c>
      <c r="B257" s="6" t="s">
        <v>2429</v>
      </c>
      <c r="C257" s="6" t="s">
        <v>3211</v>
      </c>
      <c r="D257" s="6" t="s">
        <v>178</v>
      </c>
      <c r="E257" s="6" t="s">
        <v>3107</v>
      </c>
      <c r="F257" s="6" t="s">
        <v>4211</v>
      </c>
      <c r="G257" s="6" t="s">
        <v>3212</v>
      </c>
      <c r="H257" s="6" t="s">
        <v>3213</v>
      </c>
      <c r="I257" s="6" t="s">
        <v>3214</v>
      </c>
      <c r="J257" s="6">
        <v>4</v>
      </c>
      <c r="K257" s="6" t="s">
        <v>19</v>
      </c>
      <c r="L257" s="10">
        <v>40.798761609907125</v>
      </c>
      <c r="M257" s="6" t="s">
        <v>33</v>
      </c>
      <c r="N257" s="10">
        <f>Tabla11[[#This Row],[Price]]*Tabla11[[#This Row],[QTY Adjusted]]</f>
        <v>163.1950464396285</v>
      </c>
      <c r="O257" s="10">
        <v>163.1950464396285</v>
      </c>
      <c r="P257" s="10" t="s">
        <v>4236</v>
      </c>
      <c r="Q257" s="6">
        <v>0</v>
      </c>
    </row>
    <row r="258" spans="1:17" ht="40.200000000000003" customHeight="1" x14ac:dyDescent="0.3">
      <c r="A258" s="6">
        <v>1418</v>
      </c>
      <c r="B258" s="6" t="s">
        <v>2429</v>
      </c>
      <c r="C258" s="6" t="s">
        <v>723</v>
      </c>
      <c r="D258" s="6" t="s">
        <v>362</v>
      </c>
      <c r="E258" s="6" t="s">
        <v>2430</v>
      </c>
      <c r="F258" s="6" t="s">
        <v>4211</v>
      </c>
      <c r="G258" s="6" t="s">
        <v>2476</v>
      </c>
      <c r="H258" s="6" t="s">
        <v>2477</v>
      </c>
      <c r="I258" s="6" t="s">
        <v>2478</v>
      </c>
      <c r="J258" s="6">
        <v>11</v>
      </c>
      <c r="K258" s="6" t="s">
        <v>19</v>
      </c>
      <c r="L258" s="10">
        <v>17.948677477499999</v>
      </c>
      <c r="M258" s="6" t="s">
        <v>33</v>
      </c>
      <c r="N258" s="10">
        <f>Tabla11[[#This Row],[Price]]*Tabla11[[#This Row],[QTY Adjusted]]</f>
        <v>197.4354522525</v>
      </c>
      <c r="O258" s="10">
        <v>197.4354522525</v>
      </c>
      <c r="P258" s="10" t="s">
        <v>4225</v>
      </c>
      <c r="Q258" s="6">
        <v>0</v>
      </c>
    </row>
    <row r="259" spans="1:17" ht="40.200000000000003" customHeight="1" x14ac:dyDescent="0.3">
      <c r="A259" s="6">
        <v>1691</v>
      </c>
      <c r="B259" s="6" t="s">
        <v>2429</v>
      </c>
      <c r="C259" s="6" t="s">
        <v>723</v>
      </c>
      <c r="D259" s="6" t="s">
        <v>362</v>
      </c>
      <c r="E259" s="6" t="s">
        <v>3245</v>
      </c>
      <c r="F259" s="6" t="s">
        <v>4211</v>
      </c>
      <c r="G259" s="6" t="s">
        <v>3263</v>
      </c>
      <c r="H259" s="6" t="s">
        <v>3264</v>
      </c>
      <c r="I259" s="6" t="s">
        <v>3265</v>
      </c>
      <c r="J259" s="6">
        <v>8</v>
      </c>
      <c r="K259" s="6" t="s">
        <v>19</v>
      </c>
      <c r="L259" s="10">
        <v>24.6169675125</v>
      </c>
      <c r="M259" s="6" t="s">
        <v>33</v>
      </c>
      <c r="N259" s="10">
        <f>Tabla11[[#This Row],[Price]]*Tabla11[[#This Row],[QTY Adjusted]]</f>
        <v>196.9357401</v>
      </c>
      <c r="O259" s="10">
        <v>196.9357401</v>
      </c>
      <c r="P259" s="10" t="s">
        <v>4225</v>
      </c>
      <c r="Q259" s="6">
        <v>0</v>
      </c>
    </row>
    <row r="260" spans="1:17" ht="40.200000000000003" customHeight="1" x14ac:dyDescent="0.3">
      <c r="A260" s="6">
        <v>1634</v>
      </c>
      <c r="B260" s="6" t="s">
        <v>2429</v>
      </c>
      <c r="C260" s="6" t="s">
        <v>723</v>
      </c>
      <c r="D260" s="6" t="s">
        <v>362</v>
      </c>
      <c r="E260" s="6" t="s">
        <v>3107</v>
      </c>
      <c r="F260" s="6" t="s">
        <v>4211</v>
      </c>
      <c r="G260" s="6" t="s">
        <v>3114</v>
      </c>
      <c r="H260" s="6" t="s">
        <v>3115</v>
      </c>
      <c r="I260" s="6" t="s">
        <v>3116</v>
      </c>
      <c r="J260" s="6">
        <v>10</v>
      </c>
      <c r="K260" s="6" t="s">
        <v>19</v>
      </c>
      <c r="L260" s="10">
        <v>19.677190005</v>
      </c>
      <c r="M260" s="6" t="s">
        <v>33</v>
      </c>
      <c r="N260" s="10">
        <f>Tabla11[[#This Row],[Price]]*Tabla11[[#This Row],[QTY Adjusted]]</f>
        <v>196.77190005</v>
      </c>
      <c r="O260" s="10">
        <v>196.77190005</v>
      </c>
      <c r="P260" s="10" t="s">
        <v>4225</v>
      </c>
      <c r="Q260" s="6">
        <v>0</v>
      </c>
    </row>
    <row r="261" spans="1:17" ht="40.200000000000003" customHeight="1" x14ac:dyDescent="0.3">
      <c r="A261" s="6">
        <v>1797</v>
      </c>
      <c r="B261" s="6" t="s">
        <v>2429</v>
      </c>
      <c r="C261" s="6" t="s">
        <v>723</v>
      </c>
      <c r="D261" s="6" t="s">
        <v>362</v>
      </c>
      <c r="E261" s="6" t="s">
        <v>3520</v>
      </c>
      <c r="F261" s="6" t="s">
        <v>4211</v>
      </c>
      <c r="G261" s="6" t="s">
        <v>3554</v>
      </c>
      <c r="H261" s="6" t="s">
        <v>3555</v>
      </c>
      <c r="I261" s="6" t="s">
        <v>3556</v>
      </c>
      <c r="J261" s="6">
        <v>60</v>
      </c>
      <c r="K261" s="6" t="s">
        <v>19</v>
      </c>
      <c r="L261" s="10">
        <v>3.2112649799999997</v>
      </c>
      <c r="M261" s="6" t="s">
        <v>33</v>
      </c>
      <c r="N261" s="10">
        <f>Tabla11[[#This Row],[Price]]*Tabla11[[#This Row],[QTY Adjusted]]</f>
        <v>192.67589879999997</v>
      </c>
      <c r="O261" s="10">
        <v>192.67589879999997</v>
      </c>
      <c r="P261" s="10" t="s">
        <v>4225</v>
      </c>
      <c r="Q261" s="6">
        <v>0</v>
      </c>
    </row>
    <row r="262" spans="1:17" ht="40.200000000000003" customHeight="1" x14ac:dyDescent="0.3">
      <c r="A262" s="6">
        <v>1800</v>
      </c>
      <c r="B262" s="6" t="s">
        <v>2429</v>
      </c>
      <c r="C262" s="6" t="s">
        <v>723</v>
      </c>
      <c r="D262" s="6" t="s">
        <v>362</v>
      </c>
      <c r="E262" s="6" t="s">
        <v>3520</v>
      </c>
      <c r="F262" s="6" t="s">
        <v>4211</v>
      </c>
      <c r="G262" s="6" t="s">
        <v>3563</v>
      </c>
      <c r="H262" s="6" t="s">
        <v>3564</v>
      </c>
      <c r="I262" s="6" t="s">
        <v>3565</v>
      </c>
      <c r="J262" s="6">
        <v>36</v>
      </c>
      <c r="K262" s="6" t="s">
        <v>19</v>
      </c>
      <c r="L262" s="10">
        <v>5.3493776325000004</v>
      </c>
      <c r="M262" s="6" t="s">
        <v>33</v>
      </c>
      <c r="N262" s="10">
        <f>Tabla11[[#This Row],[Price]]*Tabla11[[#This Row],[QTY Adjusted]]</f>
        <v>192.57759477000002</v>
      </c>
      <c r="O262" s="10">
        <v>192.57759477000002</v>
      </c>
      <c r="P262" s="10" t="s">
        <v>4225</v>
      </c>
      <c r="Q262" s="6">
        <v>0</v>
      </c>
    </row>
    <row r="263" spans="1:17" ht="40.200000000000003" customHeight="1" x14ac:dyDescent="0.3">
      <c r="A263" s="6">
        <v>1827</v>
      </c>
      <c r="B263" s="6" t="s">
        <v>2429</v>
      </c>
      <c r="C263" s="6" t="s">
        <v>723</v>
      </c>
      <c r="D263" s="6" t="s">
        <v>362</v>
      </c>
      <c r="E263" s="6" t="s">
        <v>3621</v>
      </c>
      <c r="F263" s="6" t="s">
        <v>4211</v>
      </c>
      <c r="G263" s="6" t="s">
        <v>3646</v>
      </c>
      <c r="H263" s="6" t="s">
        <v>3647</v>
      </c>
      <c r="I263" s="6" t="s">
        <v>3648</v>
      </c>
      <c r="J263" s="6">
        <v>8</v>
      </c>
      <c r="K263" s="6" t="s">
        <v>19</v>
      </c>
      <c r="L263" s="10">
        <v>23.625735209999998</v>
      </c>
      <c r="M263" s="6" t="s">
        <v>33</v>
      </c>
      <c r="N263" s="10">
        <f>Tabla11[[#This Row],[Price]]*Tabla11[[#This Row],[QTY Adjusted]]</f>
        <v>189.00588167999999</v>
      </c>
      <c r="O263" s="10">
        <v>189.00588167999999</v>
      </c>
      <c r="P263" s="10" t="s">
        <v>4225</v>
      </c>
      <c r="Q263" s="6">
        <v>0</v>
      </c>
    </row>
    <row r="264" spans="1:17" ht="40.200000000000003" customHeight="1" x14ac:dyDescent="0.3">
      <c r="A264" s="6">
        <v>1583</v>
      </c>
      <c r="B264" s="6" t="s">
        <v>2429</v>
      </c>
      <c r="C264" s="6" t="s">
        <v>723</v>
      </c>
      <c r="D264" s="6" t="s">
        <v>362</v>
      </c>
      <c r="E264" s="6" t="s">
        <v>2747</v>
      </c>
      <c r="F264" s="6" t="s">
        <v>4211</v>
      </c>
      <c r="G264" s="6" t="s">
        <v>2956</v>
      </c>
      <c r="H264" s="6" t="s">
        <v>2957</v>
      </c>
      <c r="I264" s="6" t="s">
        <v>2958</v>
      </c>
      <c r="J264" s="6">
        <v>12</v>
      </c>
      <c r="K264" s="6" t="s">
        <v>19</v>
      </c>
      <c r="L264" s="10">
        <v>15.556612747499999</v>
      </c>
      <c r="M264" s="6" t="s">
        <v>33</v>
      </c>
      <c r="N264" s="10">
        <f>Tabla11[[#This Row],[Price]]*Tabla11[[#This Row],[QTY Adjusted]]</f>
        <v>186.67935297</v>
      </c>
      <c r="O264" s="10">
        <v>186.67935297</v>
      </c>
      <c r="P264" s="10" t="s">
        <v>4225</v>
      </c>
      <c r="Q264" s="6">
        <v>0</v>
      </c>
    </row>
    <row r="265" spans="1:17" ht="40.200000000000003" customHeight="1" x14ac:dyDescent="0.3">
      <c r="A265" s="6">
        <v>1846</v>
      </c>
      <c r="B265" s="6" t="s">
        <v>2429</v>
      </c>
      <c r="C265" s="6" t="s">
        <v>2330</v>
      </c>
      <c r="D265" s="6" t="s">
        <v>178</v>
      </c>
      <c r="E265" s="6" t="s">
        <v>3621</v>
      </c>
      <c r="F265" s="6" t="s">
        <v>4211</v>
      </c>
      <c r="G265" s="6" t="s">
        <v>3698</v>
      </c>
      <c r="H265" s="6" t="s">
        <v>3699</v>
      </c>
      <c r="I265" s="6" t="s">
        <v>3700</v>
      </c>
      <c r="J265" s="6">
        <v>8</v>
      </c>
      <c r="K265" s="6" t="s">
        <v>19</v>
      </c>
      <c r="L265" s="10">
        <v>23.3</v>
      </c>
      <c r="M265" s="6" t="s">
        <v>33</v>
      </c>
      <c r="N265" s="10">
        <f>Tabla11[[#This Row],[Price]]*Tabla11[[#This Row],[QTY Adjusted]]</f>
        <v>186.4</v>
      </c>
      <c r="O265" s="10">
        <v>186.4</v>
      </c>
      <c r="P265" s="10" t="s">
        <v>4230</v>
      </c>
      <c r="Q265" s="6">
        <v>0</v>
      </c>
    </row>
    <row r="266" spans="1:17" ht="40.200000000000003" customHeight="1" x14ac:dyDescent="0.3">
      <c r="A266" s="6">
        <v>1517</v>
      </c>
      <c r="B266" s="6" t="s">
        <v>2429</v>
      </c>
      <c r="C266" s="6" t="s">
        <v>309</v>
      </c>
      <c r="D266" s="6" t="s">
        <v>362</v>
      </c>
      <c r="E266" s="6" t="s">
        <v>2747</v>
      </c>
      <c r="F266" s="6" t="s">
        <v>4211</v>
      </c>
      <c r="G266" s="6">
        <v>116020</v>
      </c>
      <c r="H266" s="6" t="s">
        <v>2763</v>
      </c>
      <c r="I266" s="6" t="s">
        <v>2764</v>
      </c>
      <c r="J266" s="6">
        <v>14</v>
      </c>
      <c r="K266" s="6" t="s">
        <v>19</v>
      </c>
      <c r="L266" s="10">
        <v>13.094982352941178</v>
      </c>
      <c r="M266" s="6" t="s">
        <v>33</v>
      </c>
      <c r="N266" s="10">
        <f>Tabla11[[#This Row],[Price]]*Tabla11[[#This Row],[QTY Adjusted]]</f>
        <v>183.32975294117651</v>
      </c>
      <c r="O266" s="10">
        <v>183.32975294117651</v>
      </c>
      <c r="P266" s="10" t="s">
        <v>4225</v>
      </c>
      <c r="Q266" s="6">
        <v>0</v>
      </c>
    </row>
    <row r="267" spans="1:17" ht="40.200000000000003" customHeight="1" x14ac:dyDescent="0.3">
      <c r="A267" s="6">
        <v>1649</v>
      </c>
      <c r="B267" s="6" t="s">
        <v>2429</v>
      </c>
      <c r="C267" s="6" t="s">
        <v>723</v>
      </c>
      <c r="D267" s="6" t="s">
        <v>362</v>
      </c>
      <c r="E267" s="6" t="s">
        <v>3107</v>
      </c>
      <c r="F267" s="6" t="s">
        <v>4211</v>
      </c>
      <c r="G267" s="6" t="s">
        <v>3157</v>
      </c>
      <c r="H267" s="6" t="s">
        <v>3158</v>
      </c>
      <c r="I267" s="6" t="s">
        <v>3159</v>
      </c>
      <c r="J267" s="6">
        <v>1</v>
      </c>
      <c r="K267" s="6" t="s">
        <v>19</v>
      </c>
      <c r="L267" s="10">
        <v>180.21586299750001</v>
      </c>
      <c r="M267" s="6" t="s">
        <v>33</v>
      </c>
      <c r="N267" s="10">
        <f>Tabla11[[#This Row],[Price]]*Tabla11[[#This Row],[QTY Adjusted]]</f>
        <v>180.21586299750001</v>
      </c>
      <c r="O267" s="10">
        <v>180.21586299750001</v>
      </c>
      <c r="P267" s="10" t="s">
        <v>4225</v>
      </c>
      <c r="Q267" s="6">
        <v>0</v>
      </c>
    </row>
    <row r="268" spans="1:17" ht="40.200000000000003" customHeight="1" x14ac:dyDescent="0.3">
      <c r="A268" s="6">
        <v>1571</v>
      </c>
      <c r="B268" s="6" t="s">
        <v>2429</v>
      </c>
      <c r="C268" s="6" t="s">
        <v>723</v>
      </c>
      <c r="D268" s="6" t="s">
        <v>362</v>
      </c>
      <c r="E268" s="6" t="s">
        <v>2747</v>
      </c>
      <c r="F268" s="6" t="s">
        <v>4211</v>
      </c>
      <c r="G268" s="6" t="s">
        <v>2920</v>
      </c>
      <c r="H268" s="6" t="s">
        <v>2921</v>
      </c>
      <c r="I268" s="6" t="s">
        <v>2922</v>
      </c>
      <c r="J268" s="6">
        <v>10</v>
      </c>
      <c r="K268" s="6" t="s">
        <v>19</v>
      </c>
      <c r="L268" s="10">
        <v>17.948677477499999</v>
      </c>
      <c r="M268" s="6" t="s">
        <v>33</v>
      </c>
      <c r="N268" s="10">
        <f>Tabla11[[#This Row],[Price]]*Tabla11[[#This Row],[QTY Adjusted]]</f>
        <v>179.48677477499999</v>
      </c>
      <c r="O268" s="10">
        <v>179.48677477499999</v>
      </c>
      <c r="P268" s="10" t="s">
        <v>4225</v>
      </c>
      <c r="Q268" s="6">
        <v>0</v>
      </c>
    </row>
    <row r="269" spans="1:17" ht="40.200000000000003" customHeight="1" x14ac:dyDescent="0.3">
      <c r="A269" s="6">
        <v>1697</v>
      </c>
      <c r="B269" s="6" t="s">
        <v>2429</v>
      </c>
      <c r="C269" s="6" t="s">
        <v>723</v>
      </c>
      <c r="D269" s="6" t="s">
        <v>362</v>
      </c>
      <c r="E269" s="6" t="s">
        <v>3245</v>
      </c>
      <c r="F269" s="6" t="s">
        <v>4211</v>
      </c>
      <c r="G269" s="6" t="s">
        <v>3279</v>
      </c>
      <c r="H269" s="6" t="s">
        <v>3280</v>
      </c>
      <c r="I269" s="6" t="s">
        <v>3281</v>
      </c>
      <c r="J269" s="6">
        <v>4</v>
      </c>
      <c r="K269" s="6" t="s">
        <v>19</v>
      </c>
      <c r="L269" s="10">
        <v>44.294157517500004</v>
      </c>
      <c r="M269" s="6" t="s">
        <v>33</v>
      </c>
      <c r="N269" s="10">
        <f>Tabla11[[#This Row],[Price]]*Tabla11[[#This Row],[QTY Adjusted]]</f>
        <v>177.17663007000002</v>
      </c>
      <c r="O269" s="10">
        <v>177.17663007000002</v>
      </c>
      <c r="P269" s="10" t="s">
        <v>4225</v>
      </c>
      <c r="Q269" s="6">
        <v>0</v>
      </c>
    </row>
    <row r="270" spans="1:17" ht="40.200000000000003" customHeight="1" x14ac:dyDescent="0.3">
      <c r="A270" s="6">
        <v>1590</v>
      </c>
      <c r="B270" s="6" t="s">
        <v>2429</v>
      </c>
      <c r="C270" s="6" t="s">
        <v>723</v>
      </c>
      <c r="D270" s="6" t="s">
        <v>362</v>
      </c>
      <c r="E270" s="6" t="s">
        <v>2747</v>
      </c>
      <c r="F270" s="6" t="s">
        <v>4211</v>
      </c>
      <c r="G270" s="6" t="s">
        <v>2975</v>
      </c>
      <c r="H270" s="6" t="s">
        <v>2976</v>
      </c>
      <c r="I270" s="6" t="s">
        <v>2977</v>
      </c>
      <c r="J270" s="6">
        <v>1</v>
      </c>
      <c r="K270" s="6" t="s">
        <v>19</v>
      </c>
      <c r="L270" s="10">
        <v>175.77579764249998</v>
      </c>
      <c r="M270" s="6" t="s">
        <v>33</v>
      </c>
      <c r="N270" s="10">
        <f>Tabla11[[#This Row],[Price]]*Tabla11[[#This Row],[QTY Adjusted]]</f>
        <v>175.77579764249998</v>
      </c>
      <c r="O270" s="10">
        <v>175.77579764249998</v>
      </c>
      <c r="P270" s="10" t="s">
        <v>4225</v>
      </c>
      <c r="Q270" s="6">
        <v>0</v>
      </c>
    </row>
    <row r="271" spans="1:17" ht="40.200000000000003" customHeight="1" x14ac:dyDescent="0.3">
      <c r="A271" s="6">
        <v>1572</v>
      </c>
      <c r="B271" s="6" t="s">
        <v>2429</v>
      </c>
      <c r="C271" s="6" t="s">
        <v>723</v>
      </c>
      <c r="D271" s="6" t="s">
        <v>362</v>
      </c>
      <c r="E271" s="6" t="s">
        <v>2747</v>
      </c>
      <c r="F271" s="6" t="s">
        <v>4211</v>
      </c>
      <c r="G271" s="6" t="s">
        <v>2923</v>
      </c>
      <c r="H271" s="6" t="s">
        <v>2924</v>
      </c>
      <c r="I271" s="6" t="s">
        <v>2925</v>
      </c>
      <c r="J271" s="6">
        <v>2</v>
      </c>
      <c r="K271" s="6" t="s">
        <v>19</v>
      </c>
      <c r="L271" s="10">
        <v>87.515162707499996</v>
      </c>
      <c r="M271" s="6" t="s">
        <v>33</v>
      </c>
      <c r="N271" s="10">
        <f>Tabla11[[#This Row],[Price]]*Tabla11[[#This Row],[QTY Adjusted]]</f>
        <v>175.03032541499999</v>
      </c>
      <c r="O271" s="10">
        <v>175.03032541499999</v>
      </c>
      <c r="P271" s="10" t="s">
        <v>4225</v>
      </c>
      <c r="Q271" s="6">
        <v>0</v>
      </c>
    </row>
    <row r="272" spans="1:17" ht="40.200000000000003" customHeight="1" x14ac:dyDescent="0.3">
      <c r="A272" s="6">
        <v>1582</v>
      </c>
      <c r="B272" s="6" t="s">
        <v>2429</v>
      </c>
      <c r="C272" s="6" t="s">
        <v>723</v>
      </c>
      <c r="D272" s="6" t="s">
        <v>362</v>
      </c>
      <c r="E272" s="6" t="s">
        <v>2747</v>
      </c>
      <c r="F272" s="6" t="s">
        <v>4211</v>
      </c>
      <c r="G272" s="6" t="s">
        <v>2953</v>
      </c>
      <c r="H272" s="6" t="s">
        <v>2954</v>
      </c>
      <c r="I272" s="6" t="s">
        <v>2955</v>
      </c>
      <c r="J272" s="6">
        <v>12</v>
      </c>
      <c r="K272" s="6" t="s">
        <v>19</v>
      </c>
      <c r="L272" s="10">
        <v>14.491652422500005</v>
      </c>
      <c r="M272" s="6" t="s">
        <v>33</v>
      </c>
      <c r="N272" s="10">
        <f>Tabla11[[#This Row],[Price]]*Tabla11[[#This Row],[QTY Adjusted]]</f>
        <v>173.89982907000007</v>
      </c>
      <c r="O272" s="10">
        <v>173.89982907000007</v>
      </c>
      <c r="P272" s="10" t="s">
        <v>4225</v>
      </c>
      <c r="Q272" s="6">
        <v>0</v>
      </c>
    </row>
    <row r="273" spans="1:17" ht="40.200000000000003" customHeight="1" x14ac:dyDescent="0.3">
      <c r="A273" s="6">
        <v>1852</v>
      </c>
      <c r="B273" s="6" t="s">
        <v>2429</v>
      </c>
      <c r="C273" s="6" t="s">
        <v>2075</v>
      </c>
      <c r="D273" s="6" t="s">
        <v>362</v>
      </c>
      <c r="E273" s="6" t="s">
        <v>3621</v>
      </c>
      <c r="F273" s="6" t="s">
        <v>4211</v>
      </c>
      <c r="G273" s="6" t="s">
        <v>3713</v>
      </c>
      <c r="H273" s="6" t="s">
        <v>3714</v>
      </c>
      <c r="I273" s="6" t="s">
        <v>3715</v>
      </c>
      <c r="J273" s="6">
        <v>3</v>
      </c>
      <c r="K273" s="6" t="s">
        <v>19</v>
      </c>
      <c r="L273" s="10">
        <v>43.45</v>
      </c>
      <c r="M273" s="6" t="s">
        <v>33</v>
      </c>
      <c r="N273" s="10">
        <f>Tabla11[[#This Row],[Price]]*Tabla11[[#This Row],[QTY Adjusted]]</f>
        <v>130.35000000000002</v>
      </c>
      <c r="O273" s="10">
        <v>130.35000000000002</v>
      </c>
      <c r="P273" s="10" t="s">
        <v>4225</v>
      </c>
      <c r="Q273" s="6">
        <v>0</v>
      </c>
    </row>
    <row r="274" spans="1:17" ht="40.200000000000003" customHeight="1" x14ac:dyDescent="0.3">
      <c r="A274" s="6">
        <v>1853</v>
      </c>
      <c r="B274" s="6" t="s">
        <v>2429</v>
      </c>
      <c r="C274" s="6" t="s">
        <v>2075</v>
      </c>
      <c r="D274" s="6" t="s">
        <v>362</v>
      </c>
      <c r="E274" s="6" t="s">
        <v>3621</v>
      </c>
      <c r="F274" s="6" t="s">
        <v>4211</v>
      </c>
      <c r="G274" s="6" t="s">
        <v>3716</v>
      </c>
      <c r="H274" s="6" t="s">
        <v>3717</v>
      </c>
      <c r="I274" s="6" t="s">
        <v>3718</v>
      </c>
      <c r="J274" s="6">
        <v>3</v>
      </c>
      <c r="K274" s="6" t="s">
        <v>19</v>
      </c>
      <c r="L274" s="10">
        <v>43.45</v>
      </c>
      <c r="M274" s="6" t="s">
        <v>33</v>
      </c>
      <c r="N274" s="10">
        <f>Tabla11[[#This Row],[Price]]*Tabla11[[#This Row],[QTY Adjusted]]</f>
        <v>130.35000000000002</v>
      </c>
      <c r="O274" s="10">
        <v>130.35000000000002</v>
      </c>
      <c r="P274" s="10" t="s">
        <v>4225</v>
      </c>
      <c r="Q274" s="6">
        <v>0</v>
      </c>
    </row>
    <row r="275" spans="1:17" ht="40.200000000000003" customHeight="1" x14ac:dyDescent="0.3">
      <c r="A275" s="6">
        <v>1854</v>
      </c>
      <c r="B275" s="6" t="s">
        <v>2429</v>
      </c>
      <c r="C275" s="6" t="s">
        <v>2075</v>
      </c>
      <c r="D275" s="6" t="s">
        <v>362</v>
      </c>
      <c r="E275" s="6" t="s">
        <v>3621</v>
      </c>
      <c r="F275" s="6" t="s">
        <v>4211</v>
      </c>
      <c r="G275" s="6" t="s">
        <v>3719</v>
      </c>
      <c r="H275" s="6" t="s">
        <v>3720</v>
      </c>
      <c r="I275" s="6" t="s">
        <v>3721</v>
      </c>
      <c r="J275" s="6">
        <v>3</v>
      </c>
      <c r="K275" s="6" t="s">
        <v>19</v>
      </c>
      <c r="L275" s="10">
        <v>43.45</v>
      </c>
      <c r="M275" s="6" t="s">
        <v>33</v>
      </c>
      <c r="N275" s="10">
        <f>Tabla11[[#This Row],[Price]]*Tabla11[[#This Row],[QTY Adjusted]]</f>
        <v>130.35000000000002</v>
      </c>
      <c r="O275" s="10">
        <v>130.35000000000002</v>
      </c>
      <c r="P275" s="10" t="s">
        <v>4225</v>
      </c>
      <c r="Q275" s="6">
        <v>0</v>
      </c>
    </row>
    <row r="276" spans="1:17" ht="40.200000000000003" customHeight="1" x14ac:dyDescent="0.3">
      <c r="A276" s="6">
        <v>1585</v>
      </c>
      <c r="B276" s="6" t="s">
        <v>2429</v>
      </c>
      <c r="C276" s="6" t="s">
        <v>723</v>
      </c>
      <c r="D276" s="6" t="s">
        <v>362</v>
      </c>
      <c r="E276" s="6" t="s">
        <v>2747</v>
      </c>
      <c r="F276" s="6" t="s">
        <v>4211</v>
      </c>
      <c r="G276" s="6" t="s">
        <v>2961</v>
      </c>
      <c r="H276" s="6" t="s">
        <v>2962</v>
      </c>
      <c r="I276" s="6" t="s">
        <v>2963</v>
      </c>
      <c r="J276" s="6">
        <v>10</v>
      </c>
      <c r="K276" s="6" t="s">
        <v>19</v>
      </c>
      <c r="L276" s="10">
        <v>17.20320525</v>
      </c>
      <c r="M276" s="6" t="s">
        <v>33</v>
      </c>
      <c r="N276" s="10">
        <f>Tabla11[[#This Row],[Price]]*Tabla11[[#This Row],[QTY Adjusted]]</f>
        <v>172.03205249999999</v>
      </c>
      <c r="O276" s="10">
        <v>172.03205249999999</v>
      </c>
      <c r="P276" s="10" t="s">
        <v>4225</v>
      </c>
      <c r="Q276" s="6">
        <v>0</v>
      </c>
    </row>
    <row r="277" spans="1:17" ht="40.200000000000003" customHeight="1" x14ac:dyDescent="0.3">
      <c r="A277" s="6">
        <v>1638</v>
      </c>
      <c r="B277" s="6" t="s">
        <v>2429</v>
      </c>
      <c r="C277" s="6" t="s">
        <v>723</v>
      </c>
      <c r="D277" s="6" t="s">
        <v>362</v>
      </c>
      <c r="E277" s="6" t="s">
        <v>3107</v>
      </c>
      <c r="F277" s="6" t="s">
        <v>4211</v>
      </c>
      <c r="G277" s="6" t="s">
        <v>3125</v>
      </c>
      <c r="H277" s="6" t="s">
        <v>3126</v>
      </c>
      <c r="I277" s="6" t="s">
        <v>3127</v>
      </c>
      <c r="J277" s="6">
        <v>12</v>
      </c>
      <c r="K277" s="6" t="s">
        <v>19</v>
      </c>
      <c r="L277" s="10">
        <v>14.163972322499999</v>
      </c>
      <c r="M277" s="6" t="s">
        <v>33</v>
      </c>
      <c r="N277" s="10">
        <f>Tabla11[[#This Row],[Price]]*Tabla11[[#This Row],[QTY Adjusted]]</f>
        <v>169.96766786999999</v>
      </c>
      <c r="O277" s="10">
        <v>169.96766786999999</v>
      </c>
      <c r="P277" s="10" t="s">
        <v>4225</v>
      </c>
      <c r="Q277" s="6">
        <v>0</v>
      </c>
    </row>
    <row r="278" spans="1:17" ht="40.200000000000003" customHeight="1" x14ac:dyDescent="0.3">
      <c r="A278" s="6">
        <v>1417</v>
      </c>
      <c r="B278" s="6" t="s">
        <v>2429</v>
      </c>
      <c r="C278" s="6" t="s">
        <v>723</v>
      </c>
      <c r="D278" s="6" t="s">
        <v>362</v>
      </c>
      <c r="E278" s="6" t="s">
        <v>2430</v>
      </c>
      <c r="F278" s="6" t="s">
        <v>4211</v>
      </c>
      <c r="G278" s="6" t="s">
        <v>2473</v>
      </c>
      <c r="H278" s="6" t="s">
        <v>2474</v>
      </c>
      <c r="I278" s="6" t="s">
        <v>2475</v>
      </c>
      <c r="J278" s="6">
        <v>16</v>
      </c>
      <c r="K278" s="6" t="s">
        <v>19</v>
      </c>
      <c r="L278" s="10">
        <v>10.616835239999999</v>
      </c>
      <c r="M278" s="6" t="s">
        <v>33</v>
      </c>
      <c r="N278" s="10">
        <f>Tabla11[[#This Row],[Price]]*Tabla11[[#This Row],[QTY Adjusted]]</f>
        <v>169.86936383999998</v>
      </c>
      <c r="O278" s="10">
        <v>169.86936383999998</v>
      </c>
      <c r="P278" s="10" t="s">
        <v>4225</v>
      </c>
      <c r="Q278" s="6">
        <v>0</v>
      </c>
    </row>
    <row r="279" spans="1:17" ht="40.200000000000003" customHeight="1" x14ac:dyDescent="0.3">
      <c r="A279" s="6">
        <v>1474</v>
      </c>
      <c r="B279" s="6" t="s">
        <v>2429</v>
      </c>
      <c r="C279" s="6" t="s">
        <v>723</v>
      </c>
      <c r="D279" s="6" t="s">
        <v>362</v>
      </c>
      <c r="E279" s="6" t="s">
        <v>2584</v>
      </c>
      <c r="F279" s="6" t="s">
        <v>4211</v>
      </c>
      <c r="G279" s="6" t="s">
        <v>2638</v>
      </c>
      <c r="H279" s="6" t="s">
        <v>2639</v>
      </c>
      <c r="I279" s="6" t="s">
        <v>2640</v>
      </c>
      <c r="J279" s="6">
        <v>12</v>
      </c>
      <c r="K279" s="6" t="s">
        <v>19</v>
      </c>
      <c r="L279" s="10">
        <v>13.828100219999998</v>
      </c>
      <c r="M279" s="6" t="s">
        <v>33</v>
      </c>
      <c r="N279" s="10">
        <f>Tabla11[[#This Row],[Price]]*Tabla11[[#This Row],[QTY Adjusted]]</f>
        <v>165.93720263999998</v>
      </c>
      <c r="O279" s="10">
        <v>165.93720263999998</v>
      </c>
      <c r="P279" s="10" t="s">
        <v>4225</v>
      </c>
      <c r="Q279" s="6">
        <v>0</v>
      </c>
    </row>
    <row r="280" spans="1:17" ht="40.200000000000003" customHeight="1" x14ac:dyDescent="0.3">
      <c r="A280" s="6">
        <v>1782</v>
      </c>
      <c r="B280" s="6" t="s">
        <v>2429</v>
      </c>
      <c r="C280" s="6" t="s">
        <v>361</v>
      </c>
      <c r="D280" s="6" t="s">
        <v>362</v>
      </c>
      <c r="E280" s="6" t="s">
        <v>3478</v>
      </c>
      <c r="F280" s="6" t="s">
        <v>4211</v>
      </c>
      <c r="G280" s="6" t="s">
        <v>3516</v>
      </c>
      <c r="H280" s="6" t="s">
        <v>3514</v>
      </c>
      <c r="I280" s="6" t="s">
        <v>3514</v>
      </c>
      <c r="J280" s="6">
        <v>24</v>
      </c>
      <c r="K280" s="6" t="s">
        <v>19</v>
      </c>
      <c r="L280" s="10">
        <v>6.7318124999999993</v>
      </c>
      <c r="M280" s="6" t="s">
        <v>33</v>
      </c>
      <c r="N280" s="10">
        <f>Tabla11[[#This Row],[Price]]*Tabla11[[#This Row],[QTY Adjusted]]</f>
        <v>161.56349999999998</v>
      </c>
      <c r="O280" s="10">
        <v>161.56349999999998</v>
      </c>
      <c r="P280" s="10" t="s">
        <v>4225</v>
      </c>
      <c r="Q280" s="6">
        <v>0</v>
      </c>
    </row>
    <row r="281" spans="1:17" ht="40.200000000000003" customHeight="1" x14ac:dyDescent="0.3">
      <c r="A281" s="6">
        <v>1783</v>
      </c>
      <c r="B281" s="6" t="s">
        <v>2429</v>
      </c>
      <c r="C281" s="6" t="s">
        <v>361</v>
      </c>
      <c r="D281" s="6" t="s">
        <v>362</v>
      </c>
      <c r="E281" s="6" t="s">
        <v>3478</v>
      </c>
      <c r="F281" s="6" t="s">
        <v>4211</v>
      </c>
      <c r="G281" s="6" t="s">
        <v>3517</v>
      </c>
      <c r="H281" s="6" t="s">
        <v>3514</v>
      </c>
      <c r="I281" s="6" t="s">
        <v>3514</v>
      </c>
      <c r="J281" s="6">
        <v>24</v>
      </c>
      <c r="K281" s="6" t="s">
        <v>19</v>
      </c>
      <c r="L281" s="10">
        <v>6.73</v>
      </c>
      <c r="M281" s="6" t="s">
        <v>33</v>
      </c>
      <c r="N281" s="10">
        <f>Tabla11[[#This Row],[Price]]*Tabla11[[#This Row],[QTY Adjusted]]</f>
        <v>161.52000000000001</v>
      </c>
      <c r="O281" s="10">
        <v>161.52000000000001</v>
      </c>
      <c r="P281" s="10" t="s">
        <v>4225</v>
      </c>
      <c r="Q281" s="6">
        <v>0</v>
      </c>
    </row>
    <row r="282" spans="1:17" ht="40.200000000000003" customHeight="1" x14ac:dyDescent="0.3">
      <c r="A282" s="6">
        <v>1676</v>
      </c>
      <c r="B282" s="6" t="s">
        <v>2429</v>
      </c>
      <c r="C282" s="6" t="s">
        <v>723</v>
      </c>
      <c r="D282" s="6" t="s">
        <v>362</v>
      </c>
      <c r="E282" s="6" t="s">
        <v>3107</v>
      </c>
      <c r="F282" s="6" t="s">
        <v>4211</v>
      </c>
      <c r="G282" s="6" t="s">
        <v>3221</v>
      </c>
      <c r="H282" s="6" t="s">
        <v>3222</v>
      </c>
      <c r="I282" s="6" t="s">
        <v>3223</v>
      </c>
      <c r="J282" s="6">
        <v>36</v>
      </c>
      <c r="K282" s="6" t="s">
        <v>19</v>
      </c>
      <c r="L282" s="10">
        <v>4.4482573575000002</v>
      </c>
      <c r="M282" s="6" t="s">
        <v>33</v>
      </c>
      <c r="N282" s="10">
        <f>Tabla11[[#This Row],[Price]]*Tabla11[[#This Row],[QTY Adjusted]]</f>
        <v>160.13726487</v>
      </c>
      <c r="O282" s="10">
        <v>160.13726487</v>
      </c>
      <c r="P282" s="10" t="s">
        <v>4225</v>
      </c>
      <c r="Q282" s="6">
        <v>0</v>
      </c>
    </row>
    <row r="283" spans="1:17" ht="40.200000000000003" customHeight="1" x14ac:dyDescent="0.3">
      <c r="A283" s="6">
        <v>1484</v>
      </c>
      <c r="B283" s="6" t="s">
        <v>2429</v>
      </c>
      <c r="C283" s="6" t="s">
        <v>723</v>
      </c>
      <c r="D283" s="6" t="s">
        <v>362</v>
      </c>
      <c r="E283" s="6" t="s">
        <v>2584</v>
      </c>
      <c r="F283" s="6" t="s">
        <v>4211</v>
      </c>
      <c r="G283" s="6" t="s">
        <v>2668</v>
      </c>
      <c r="H283" s="6" t="s">
        <v>2669</v>
      </c>
      <c r="I283" s="6" t="s">
        <v>2670</v>
      </c>
      <c r="J283" s="6">
        <v>12</v>
      </c>
      <c r="K283" s="6" t="s">
        <v>19</v>
      </c>
      <c r="L283" s="10">
        <v>13.336580069999998</v>
      </c>
      <c r="M283" s="6" t="s">
        <v>33</v>
      </c>
      <c r="N283" s="10">
        <f>Tabla11[[#This Row],[Price]]*Tabla11[[#This Row],[QTY Adjusted]]</f>
        <v>160.03896083999999</v>
      </c>
      <c r="O283" s="10">
        <v>160.03896083999999</v>
      </c>
      <c r="P283" s="10" t="s">
        <v>4225</v>
      </c>
      <c r="Q283" s="6">
        <v>0</v>
      </c>
    </row>
    <row r="284" spans="1:17" ht="40.200000000000003" customHeight="1" x14ac:dyDescent="0.3">
      <c r="A284" s="6">
        <v>1516</v>
      </c>
      <c r="B284" s="6" t="s">
        <v>2429</v>
      </c>
      <c r="C284" s="6" t="s">
        <v>723</v>
      </c>
      <c r="D284" s="6" t="s">
        <v>362</v>
      </c>
      <c r="E284" s="6" t="s">
        <v>2747</v>
      </c>
      <c r="F284" s="6" t="s">
        <v>4211</v>
      </c>
      <c r="G284" s="6" t="s">
        <v>2761</v>
      </c>
      <c r="H284" s="6" t="s">
        <v>2762</v>
      </c>
      <c r="I284" s="6" t="s">
        <v>2756</v>
      </c>
      <c r="J284" s="6">
        <v>26</v>
      </c>
      <c r="K284" s="6" t="s">
        <v>19</v>
      </c>
      <c r="L284" s="10">
        <v>6.0948498600000018</v>
      </c>
      <c r="M284" s="6" t="s">
        <v>33</v>
      </c>
      <c r="N284" s="10">
        <f>Tabla11[[#This Row],[Price]]*Tabla11[[#This Row],[QTY Adjusted]]</f>
        <v>158.46609636000005</v>
      </c>
      <c r="O284" s="10">
        <v>158.46609636000005</v>
      </c>
      <c r="P284" s="10" t="s">
        <v>4225</v>
      </c>
      <c r="Q284" s="6">
        <v>0</v>
      </c>
    </row>
    <row r="285" spans="1:17" ht="40.200000000000003" customHeight="1" x14ac:dyDescent="0.3">
      <c r="A285" s="6">
        <v>1483</v>
      </c>
      <c r="B285" s="6" t="s">
        <v>2429</v>
      </c>
      <c r="C285" s="6" t="s">
        <v>723</v>
      </c>
      <c r="D285" s="6" t="s">
        <v>362</v>
      </c>
      <c r="E285" s="6" t="s">
        <v>2584</v>
      </c>
      <c r="F285" s="6" t="s">
        <v>4211</v>
      </c>
      <c r="G285" s="6" t="s">
        <v>2665</v>
      </c>
      <c r="H285" s="6" t="s">
        <v>2666</v>
      </c>
      <c r="I285" s="6" t="s">
        <v>2667</v>
      </c>
      <c r="J285" s="6">
        <v>12</v>
      </c>
      <c r="K285" s="6" t="s">
        <v>19</v>
      </c>
      <c r="L285" s="10">
        <v>13.090819995000002</v>
      </c>
      <c r="M285" s="6" t="s">
        <v>33</v>
      </c>
      <c r="N285" s="10">
        <f>Tabla11[[#This Row],[Price]]*Tabla11[[#This Row],[QTY Adjusted]]</f>
        <v>157.08983994000002</v>
      </c>
      <c r="O285" s="10">
        <v>157.08983994000002</v>
      </c>
      <c r="P285" s="10" t="s">
        <v>4225</v>
      </c>
      <c r="Q285" s="6">
        <v>0</v>
      </c>
    </row>
    <row r="286" spans="1:17" ht="40.200000000000003" customHeight="1" x14ac:dyDescent="0.3">
      <c r="A286" s="6">
        <v>1735</v>
      </c>
      <c r="B286" s="6" t="s">
        <v>2429</v>
      </c>
      <c r="C286" s="6" t="s">
        <v>723</v>
      </c>
      <c r="D286" s="6" t="s">
        <v>362</v>
      </c>
      <c r="E286" s="6" t="s">
        <v>3325</v>
      </c>
      <c r="F286" s="6" t="s">
        <v>4211</v>
      </c>
      <c r="G286" s="6" t="s">
        <v>3392</v>
      </c>
      <c r="H286" s="6" t="s">
        <v>3393</v>
      </c>
      <c r="I286" s="6" t="s">
        <v>3394</v>
      </c>
      <c r="J286" s="6">
        <v>1</v>
      </c>
      <c r="K286" s="6" t="s">
        <v>19</v>
      </c>
      <c r="L286" s="10">
        <v>156.3443677125</v>
      </c>
      <c r="M286" s="6" t="s">
        <v>33</v>
      </c>
      <c r="N286" s="10">
        <f>Tabla11[[#This Row],[Price]]*Tabla11[[#This Row],[QTY Adjusted]]</f>
        <v>156.3443677125</v>
      </c>
      <c r="O286" s="10">
        <v>156.3443677125</v>
      </c>
      <c r="P286" s="10" t="s">
        <v>4225</v>
      </c>
      <c r="Q286" s="6">
        <v>0</v>
      </c>
    </row>
    <row r="287" spans="1:17" ht="40.200000000000003" customHeight="1" x14ac:dyDescent="0.3">
      <c r="A287" s="6">
        <v>1591</v>
      </c>
      <c r="B287" s="6" t="s">
        <v>2429</v>
      </c>
      <c r="C287" s="6" t="s">
        <v>723</v>
      </c>
      <c r="D287" s="6" t="s">
        <v>362</v>
      </c>
      <c r="E287" s="6" t="s">
        <v>2747</v>
      </c>
      <c r="F287" s="6" t="s">
        <v>4211</v>
      </c>
      <c r="G287" s="6" t="s">
        <v>2978</v>
      </c>
      <c r="H287" s="6" t="s">
        <v>2979</v>
      </c>
      <c r="I287" s="6" t="s">
        <v>2980</v>
      </c>
      <c r="J287" s="6">
        <v>1</v>
      </c>
      <c r="K287" s="6" t="s">
        <v>19</v>
      </c>
      <c r="L287" s="10">
        <v>154.86161525999998</v>
      </c>
      <c r="M287" s="6" t="s">
        <v>33</v>
      </c>
      <c r="N287" s="10">
        <f>Tabla11[[#This Row],[Price]]*Tabla11[[#This Row],[QTY Adjusted]]</f>
        <v>154.86161525999998</v>
      </c>
      <c r="O287" s="10">
        <v>154.86161525999998</v>
      </c>
      <c r="P287" s="10" t="s">
        <v>4225</v>
      </c>
      <c r="Q287" s="6">
        <v>0</v>
      </c>
    </row>
    <row r="288" spans="1:17" ht="40.200000000000003" customHeight="1" x14ac:dyDescent="0.3">
      <c r="A288" s="6">
        <v>1470</v>
      </c>
      <c r="B288" s="6" t="s">
        <v>2429</v>
      </c>
      <c r="C288" s="6" t="s">
        <v>723</v>
      </c>
      <c r="D288" s="6" t="s">
        <v>362</v>
      </c>
      <c r="E288" s="6" t="s">
        <v>2584</v>
      </c>
      <c r="F288" s="6" t="s">
        <v>4211</v>
      </c>
      <c r="G288" s="6" t="s">
        <v>2626</v>
      </c>
      <c r="H288" s="6" t="s">
        <v>2627</v>
      </c>
      <c r="I288" s="6" t="s">
        <v>2628</v>
      </c>
      <c r="J288" s="6">
        <v>5</v>
      </c>
      <c r="K288" s="6" t="s">
        <v>19</v>
      </c>
      <c r="L288" s="10">
        <v>30.875657422500002</v>
      </c>
      <c r="M288" s="6" t="s">
        <v>33</v>
      </c>
      <c r="N288" s="10">
        <f>Tabla11[[#This Row],[Price]]*Tabla11[[#This Row],[QTY Adjusted]]</f>
        <v>154.3782871125</v>
      </c>
      <c r="O288" s="10">
        <v>154.3782871125</v>
      </c>
      <c r="P288" s="10" t="s">
        <v>4225</v>
      </c>
      <c r="Q288" s="6">
        <v>0</v>
      </c>
    </row>
    <row r="289" spans="1:17" ht="40.200000000000003" customHeight="1" x14ac:dyDescent="0.3">
      <c r="A289" s="6">
        <v>1761</v>
      </c>
      <c r="B289" s="6" t="s">
        <v>2429</v>
      </c>
      <c r="C289" s="6" t="s">
        <v>723</v>
      </c>
      <c r="D289" s="6" t="s">
        <v>362</v>
      </c>
      <c r="E289" s="6" t="s">
        <v>3402</v>
      </c>
      <c r="F289" s="6" t="s">
        <v>4211</v>
      </c>
      <c r="G289" s="6" t="s">
        <v>3469</v>
      </c>
      <c r="H289" s="6" t="s">
        <v>3470</v>
      </c>
      <c r="I289" s="6" t="s">
        <v>3471</v>
      </c>
      <c r="J289" s="6">
        <v>24</v>
      </c>
      <c r="K289" s="6" t="s">
        <v>19</v>
      </c>
      <c r="L289" s="10">
        <v>6.3406099349999998</v>
      </c>
      <c r="M289" s="6" t="s">
        <v>33</v>
      </c>
      <c r="N289" s="10">
        <f>Tabla11[[#This Row],[Price]]*Tabla11[[#This Row],[QTY Adjusted]]</f>
        <v>152.17463844</v>
      </c>
      <c r="O289" s="10">
        <v>152.17463844</v>
      </c>
      <c r="P289" s="10" t="s">
        <v>4225</v>
      </c>
      <c r="Q289" s="6">
        <v>0</v>
      </c>
    </row>
    <row r="290" spans="1:17" ht="40.200000000000003" customHeight="1" x14ac:dyDescent="0.3">
      <c r="A290" s="6">
        <v>1759</v>
      </c>
      <c r="B290" s="6" t="s">
        <v>2429</v>
      </c>
      <c r="C290" s="6" t="s">
        <v>723</v>
      </c>
      <c r="D290" s="6" t="s">
        <v>362</v>
      </c>
      <c r="E290" s="6" t="s">
        <v>3402</v>
      </c>
      <c r="F290" s="6" t="s">
        <v>4211</v>
      </c>
      <c r="G290" s="6" t="s">
        <v>3463</v>
      </c>
      <c r="H290" s="6" t="s">
        <v>3464</v>
      </c>
      <c r="I290" s="6" t="s">
        <v>3465</v>
      </c>
      <c r="J290" s="6">
        <v>30</v>
      </c>
      <c r="K290" s="6" t="s">
        <v>19</v>
      </c>
      <c r="L290" s="10">
        <v>4.9397775075000006</v>
      </c>
      <c r="M290" s="6" t="s">
        <v>33</v>
      </c>
      <c r="N290" s="10">
        <f>Tabla11[[#This Row],[Price]]*Tabla11[[#This Row],[QTY Adjusted]]</f>
        <v>148.19332522500002</v>
      </c>
      <c r="O290" s="10">
        <v>148.19332522500002</v>
      </c>
      <c r="P290" s="10" t="s">
        <v>4225</v>
      </c>
      <c r="Q290" s="6">
        <v>0</v>
      </c>
    </row>
    <row r="291" spans="1:17" ht="40.200000000000003" customHeight="1" x14ac:dyDescent="0.3">
      <c r="A291" s="6">
        <v>1410</v>
      </c>
      <c r="B291" s="6" t="s">
        <v>2429</v>
      </c>
      <c r="C291" s="6" t="s">
        <v>723</v>
      </c>
      <c r="D291" s="6" t="s">
        <v>362</v>
      </c>
      <c r="E291" s="6" t="s">
        <v>2430</v>
      </c>
      <c r="F291" s="6" t="s">
        <v>4211</v>
      </c>
      <c r="G291" s="6" t="s">
        <v>2454</v>
      </c>
      <c r="H291" s="6" t="s">
        <v>2455</v>
      </c>
      <c r="I291" s="6" t="s">
        <v>2451</v>
      </c>
      <c r="J291" s="6">
        <v>7</v>
      </c>
      <c r="K291" s="6" t="s">
        <v>19</v>
      </c>
      <c r="L291" s="10">
        <v>20.750342332500001</v>
      </c>
      <c r="M291" s="6" t="s">
        <v>33</v>
      </c>
      <c r="N291" s="10">
        <f>Tabla11[[#This Row],[Price]]*Tabla11[[#This Row],[QTY Adjusted]]</f>
        <v>145.25239632750001</v>
      </c>
      <c r="O291" s="10">
        <v>145.25239632750001</v>
      </c>
      <c r="P291" s="10" t="s">
        <v>4225</v>
      </c>
      <c r="Q291" s="6">
        <v>0</v>
      </c>
    </row>
    <row r="292" spans="1:17" ht="40.200000000000003" customHeight="1" x14ac:dyDescent="0.3">
      <c r="A292" s="6">
        <v>1779</v>
      </c>
      <c r="B292" s="6" t="s">
        <v>2429</v>
      </c>
      <c r="C292" s="6" t="s">
        <v>2075</v>
      </c>
      <c r="D292" s="6" t="s">
        <v>362</v>
      </c>
      <c r="E292" s="6" t="s">
        <v>3478</v>
      </c>
      <c r="F292" s="6" t="s">
        <v>4211</v>
      </c>
      <c r="G292" s="6" t="s">
        <v>3511</v>
      </c>
      <c r="H292" s="6" t="s">
        <v>3512</v>
      </c>
      <c r="I292" s="6" t="s">
        <v>3512</v>
      </c>
      <c r="J292" s="6">
        <v>1</v>
      </c>
      <c r="K292" s="6" t="s">
        <v>19</v>
      </c>
      <c r="L292" s="10">
        <v>143.28</v>
      </c>
      <c r="M292" s="6" t="s">
        <v>33</v>
      </c>
      <c r="N292" s="10">
        <f>Tabla11[[#This Row],[Price]]*Tabla11[[#This Row],[QTY Adjusted]]</f>
        <v>143.28</v>
      </c>
      <c r="O292" s="10">
        <v>143.28</v>
      </c>
      <c r="P292" s="10" t="s">
        <v>4225</v>
      </c>
      <c r="Q292" s="6">
        <v>0</v>
      </c>
    </row>
    <row r="293" spans="1:17" ht="40.200000000000003" customHeight="1" x14ac:dyDescent="0.3">
      <c r="A293" s="6">
        <v>1836</v>
      </c>
      <c r="B293" s="6" t="s">
        <v>2429</v>
      </c>
      <c r="C293" s="6" t="s">
        <v>2330</v>
      </c>
      <c r="D293" s="6" t="s">
        <v>362</v>
      </c>
      <c r="E293" s="6" t="s">
        <v>3621</v>
      </c>
      <c r="F293" s="6" t="s">
        <v>4211</v>
      </c>
      <c r="G293" s="6" t="s">
        <v>3670</v>
      </c>
      <c r="H293" s="6" t="s">
        <v>3671</v>
      </c>
      <c r="I293" s="6" t="s">
        <v>3672</v>
      </c>
      <c r="J293" s="6">
        <v>12</v>
      </c>
      <c r="K293" s="6" t="s">
        <v>19</v>
      </c>
      <c r="L293" s="10">
        <v>11.702941176470588</v>
      </c>
      <c r="M293" s="6" t="s">
        <v>33</v>
      </c>
      <c r="N293" s="10">
        <f>Tabla11[[#This Row],[Price]]*Tabla11[[#This Row],[QTY Adjusted]]</f>
        <v>140.43529411764706</v>
      </c>
      <c r="O293" s="10">
        <v>140.43529411764706</v>
      </c>
      <c r="P293" s="10" t="s">
        <v>4225</v>
      </c>
      <c r="Q293" s="6">
        <v>0</v>
      </c>
    </row>
    <row r="294" spans="1:17" ht="40.200000000000003" customHeight="1" x14ac:dyDescent="0.3">
      <c r="A294" s="6">
        <v>1486</v>
      </c>
      <c r="B294" s="6" t="s">
        <v>2429</v>
      </c>
      <c r="C294" s="6" t="s">
        <v>723</v>
      </c>
      <c r="D294" s="6" t="s">
        <v>362</v>
      </c>
      <c r="E294" s="6" t="s">
        <v>2584</v>
      </c>
      <c r="F294" s="6" t="s">
        <v>4211</v>
      </c>
      <c r="G294" s="6" t="s">
        <v>2674</v>
      </c>
      <c r="H294" s="6" t="s">
        <v>2675</v>
      </c>
      <c r="I294" s="6" t="s">
        <v>2676</v>
      </c>
      <c r="J294" s="6">
        <v>8</v>
      </c>
      <c r="K294" s="6" t="s">
        <v>19</v>
      </c>
      <c r="L294" s="10">
        <v>17.539077352500001</v>
      </c>
      <c r="M294" s="6" t="s">
        <v>33</v>
      </c>
      <c r="N294" s="10">
        <f>Tabla11[[#This Row],[Price]]*Tabla11[[#This Row],[QTY Adjusted]]</f>
        <v>140.31261882000001</v>
      </c>
      <c r="O294" s="10">
        <v>140.31261882000001</v>
      </c>
      <c r="P294" s="10" t="s">
        <v>4225</v>
      </c>
      <c r="Q294" s="6">
        <v>0</v>
      </c>
    </row>
    <row r="295" spans="1:17" ht="40.200000000000003" customHeight="1" x14ac:dyDescent="0.3">
      <c r="A295" s="6">
        <v>1526</v>
      </c>
      <c r="B295" s="6" t="s">
        <v>2429</v>
      </c>
      <c r="C295" s="6" t="s">
        <v>309</v>
      </c>
      <c r="D295" s="6" t="s">
        <v>362</v>
      </c>
      <c r="E295" s="6" t="s">
        <v>2747</v>
      </c>
      <c r="F295" s="6" t="s">
        <v>4211</v>
      </c>
      <c r="G295" s="6">
        <v>310713</v>
      </c>
      <c r="H295" s="6" t="s">
        <v>2788</v>
      </c>
      <c r="I295" s="6" t="s">
        <v>2789</v>
      </c>
      <c r="J295" s="6">
        <v>2</v>
      </c>
      <c r="K295" s="6" t="s">
        <v>19</v>
      </c>
      <c r="L295" s="10">
        <v>70.13160000000002</v>
      </c>
      <c r="M295" s="6" t="s">
        <v>33</v>
      </c>
      <c r="N295" s="10">
        <f>Tabla11[[#This Row],[Price]]*Tabla11[[#This Row],[QTY Adjusted]]</f>
        <v>140.26320000000004</v>
      </c>
      <c r="O295" s="10">
        <v>140.26320000000004</v>
      </c>
      <c r="P295" s="10" t="s">
        <v>4225</v>
      </c>
      <c r="Q295" s="6">
        <v>0</v>
      </c>
    </row>
    <row r="296" spans="1:17" ht="40.200000000000003" customHeight="1" x14ac:dyDescent="0.3">
      <c r="A296" s="6">
        <v>1646</v>
      </c>
      <c r="B296" s="6" t="s">
        <v>2429</v>
      </c>
      <c r="C296" s="6" t="s">
        <v>723</v>
      </c>
      <c r="D296" s="6" t="s">
        <v>362</v>
      </c>
      <c r="E296" s="6" t="s">
        <v>3107</v>
      </c>
      <c r="F296" s="6" t="s">
        <v>4211</v>
      </c>
      <c r="G296" s="6" t="s">
        <v>3148</v>
      </c>
      <c r="H296" s="6" t="s">
        <v>3149</v>
      </c>
      <c r="I296" s="6" t="s">
        <v>3150</v>
      </c>
      <c r="J296" s="6">
        <v>1</v>
      </c>
      <c r="K296" s="6" t="s">
        <v>19</v>
      </c>
      <c r="L296" s="10">
        <v>138.23185018500001</v>
      </c>
      <c r="M296" s="6" t="s">
        <v>33</v>
      </c>
      <c r="N296" s="10">
        <f>Tabla11[[#This Row],[Price]]*Tabla11[[#This Row],[QTY Adjusted]]</f>
        <v>138.23185018500001</v>
      </c>
      <c r="O296" s="10">
        <v>138.23185018500001</v>
      </c>
      <c r="P296" s="10" t="s">
        <v>4225</v>
      </c>
      <c r="Q296" s="6">
        <v>0</v>
      </c>
    </row>
    <row r="297" spans="1:17" ht="40.200000000000003" customHeight="1" x14ac:dyDescent="0.3">
      <c r="A297" s="6">
        <v>1647</v>
      </c>
      <c r="B297" s="6" t="s">
        <v>2429</v>
      </c>
      <c r="C297" s="6" t="s">
        <v>723</v>
      </c>
      <c r="D297" s="6" t="s">
        <v>362</v>
      </c>
      <c r="E297" s="6" t="s">
        <v>3107</v>
      </c>
      <c r="F297" s="6" t="s">
        <v>4211</v>
      </c>
      <c r="G297" s="6" t="s">
        <v>3151</v>
      </c>
      <c r="H297" s="6" t="s">
        <v>3152</v>
      </c>
      <c r="I297" s="6" t="s">
        <v>3153</v>
      </c>
      <c r="J297" s="6">
        <v>1</v>
      </c>
      <c r="K297" s="6" t="s">
        <v>19</v>
      </c>
      <c r="L297" s="10">
        <v>138.23185018500001</v>
      </c>
      <c r="M297" s="6" t="s">
        <v>33</v>
      </c>
      <c r="N297" s="10">
        <f>Tabla11[[#This Row],[Price]]*Tabla11[[#This Row],[QTY Adjusted]]</f>
        <v>138.23185018500001</v>
      </c>
      <c r="O297" s="10">
        <v>138.23185018500001</v>
      </c>
      <c r="P297" s="10" t="s">
        <v>4225</v>
      </c>
      <c r="Q297" s="6">
        <v>0</v>
      </c>
    </row>
    <row r="298" spans="1:17" ht="40.200000000000003" customHeight="1" x14ac:dyDescent="0.3">
      <c r="A298" s="6">
        <v>1648</v>
      </c>
      <c r="B298" s="6" t="s">
        <v>2429</v>
      </c>
      <c r="C298" s="6" t="s">
        <v>723</v>
      </c>
      <c r="D298" s="6" t="s">
        <v>362</v>
      </c>
      <c r="E298" s="6" t="s">
        <v>3107</v>
      </c>
      <c r="F298" s="6" t="s">
        <v>4211</v>
      </c>
      <c r="G298" s="6" t="s">
        <v>3154</v>
      </c>
      <c r="H298" s="6" t="s">
        <v>3155</v>
      </c>
      <c r="I298" s="6" t="s">
        <v>3156</v>
      </c>
      <c r="J298" s="6">
        <v>1</v>
      </c>
      <c r="K298" s="6" t="s">
        <v>19</v>
      </c>
      <c r="L298" s="10">
        <v>138.23185018500001</v>
      </c>
      <c r="M298" s="6" t="s">
        <v>33</v>
      </c>
      <c r="N298" s="10">
        <f>Tabla11[[#This Row],[Price]]*Tabla11[[#This Row],[QTY Adjusted]]</f>
        <v>138.23185018500001</v>
      </c>
      <c r="O298" s="10">
        <v>138.23185018500001</v>
      </c>
      <c r="P298" s="10" t="s">
        <v>4225</v>
      </c>
      <c r="Q298" s="6">
        <v>0</v>
      </c>
    </row>
    <row r="299" spans="1:17" ht="40.200000000000003" customHeight="1" x14ac:dyDescent="0.3">
      <c r="A299" s="6">
        <v>1491</v>
      </c>
      <c r="B299" s="6" t="s">
        <v>2429</v>
      </c>
      <c r="C299" s="6" t="s">
        <v>723</v>
      </c>
      <c r="D299" s="6" t="s">
        <v>362</v>
      </c>
      <c r="E299" s="6" t="s">
        <v>2584</v>
      </c>
      <c r="F299" s="6" t="s">
        <v>4211</v>
      </c>
      <c r="G299" s="6" t="s">
        <v>2689</v>
      </c>
      <c r="H299" s="6" t="s">
        <v>2690</v>
      </c>
      <c r="I299" s="6" t="s">
        <v>2691</v>
      </c>
      <c r="J299" s="6">
        <v>5</v>
      </c>
      <c r="K299" s="6" t="s">
        <v>19</v>
      </c>
      <c r="L299" s="10">
        <v>27.336712342500004</v>
      </c>
      <c r="M299" s="6" t="s">
        <v>33</v>
      </c>
      <c r="N299" s="10">
        <f>Tabla11[[#This Row],[Price]]*Tabla11[[#This Row],[QTY Adjusted]]</f>
        <v>136.68356171250002</v>
      </c>
      <c r="O299" s="10">
        <v>136.68356171250002</v>
      </c>
      <c r="P299" s="10" t="s">
        <v>4225</v>
      </c>
      <c r="Q299" s="6">
        <v>0</v>
      </c>
    </row>
    <row r="300" spans="1:17" ht="40.200000000000003" customHeight="1" x14ac:dyDescent="0.3">
      <c r="A300" s="6">
        <v>1436</v>
      </c>
      <c r="B300" s="6" t="s">
        <v>2429</v>
      </c>
      <c r="C300" s="6" t="s">
        <v>723</v>
      </c>
      <c r="D300" s="6" t="s">
        <v>362</v>
      </c>
      <c r="E300" s="6" t="s">
        <v>2515</v>
      </c>
      <c r="F300" s="6" t="s">
        <v>4211</v>
      </c>
      <c r="G300" s="6" t="s">
        <v>2525</v>
      </c>
      <c r="H300" s="6" t="s">
        <v>2526</v>
      </c>
      <c r="I300" s="6" t="s">
        <v>2527</v>
      </c>
      <c r="J300" s="6">
        <v>17</v>
      </c>
      <c r="K300" s="6" t="s">
        <v>19</v>
      </c>
      <c r="L300" s="10">
        <v>7.9052824125000019</v>
      </c>
      <c r="M300" s="6" t="s">
        <v>33</v>
      </c>
      <c r="N300" s="10">
        <f>Tabla11[[#This Row],[Price]]*Tabla11[[#This Row],[QTY Adjusted]]</f>
        <v>134.38980101250004</v>
      </c>
      <c r="O300" s="10">
        <v>134.38980101250004</v>
      </c>
      <c r="P300" s="10" t="s">
        <v>4225</v>
      </c>
      <c r="Q300" s="6">
        <v>0</v>
      </c>
    </row>
    <row r="301" spans="1:17" ht="40.200000000000003" customHeight="1" x14ac:dyDescent="0.3">
      <c r="A301" s="6">
        <v>1843</v>
      </c>
      <c r="B301" s="6" t="s">
        <v>2429</v>
      </c>
      <c r="C301" s="6" t="s">
        <v>3508</v>
      </c>
      <c r="D301" s="6" t="s">
        <v>362</v>
      </c>
      <c r="E301" s="6" t="s">
        <v>3621</v>
      </c>
      <c r="F301" s="6" t="s">
        <v>4211</v>
      </c>
      <c r="G301" s="6">
        <v>4007100</v>
      </c>
      <c r="H301" s="6" t="s">
        <v>3690</v>
      </c>
      <c r="I301" s="6" t="s">
        <v>3691</v>
      </c>
      <c r="J301" s="6">
        <v>6</v>
      </c>
      <c r="K301" s="6" t="s">
        <v>19</v>
      </c>
      <c r="L301" s="10">
        <v>22.079999999999995</v>
      </c>
      <c r="M301" s="6" t="s">
        <v>33</v>
      </c>
      <c r="N301" s="10">
        <f>Tabla11[[#This Row],[Price]]*Tabla11[[#This Row],[QTY Adjusted]]</f>
        <v>132.47999999999996</v>
      </c>
      <c r="O301" s="10">
        <v>132.47999999999996</v>
      </c>
      <c r="P301" s="10" t="s">
        <v>4225</v>
      </c>
      <c r="Q301" s="6">
        <v>0</v>
      </c>
    </row>
    <row r="302" spans="1:17" ht="40.200000000000003" customHeight="1" x14ac:dyDescent="0.3">
      <c r="A302" s="6">
        <v>1729</v>
      </c>
      <c r="B302" s="6" t="s">
        <v>2429</v>
      </c>
      <c r="C302" s="6" t="s">
        <v>723</v>
      </c>
      <c r="D302" s="6" t="s">
        <v>362</v>
      </c>
      <c r="E302" s="6" t="s">
        <v>3325</v>
      </c>
      <c r="F302" s="6" t="s">
        <v>4211</v>
      </c>
      <c r="G302" s="6" t="s">
        <v>3374</v>
      </c>
      <c r="H302" s="6" t="s">
        <v>3375</v>
      </c>
      <c r="I302" s="6" t="s">
        <v>3376</v>
      </c>
      <c r="J302" s="6">
        <v>6</v>
      </c>
      <c r="K302" s="6" t="s">
        <v>19</v>
      </c>
      <c r="L302" s="10">
        <v>21.897222682500001</v>
      </c>
      <c r="M302" s="6" t="s">
        <v>33</v>
      </c>
      <c r="N302" s="10">
        <f>Tabla11[[#This Row],[Price]]*Tabla11[[#This Row],[QTY Adjusted]]</f>
        <v>131.383336095</v>
      </c>
      <c r="O302" s="10">
        <v>131.383336095</v>
      </c>
      <c r="P302" s="10" t="s">
        <v>4225</v>
      </c>
      <c r="Q302" s="6">
        <v>0</v>
      </c>
    </row>
    <row r="303" spans="1:17" ht="40.200000000000003" customHeight="1" x14ac:dyDescent="0.3">
      <c r="A303" s="6">
        <v>1594</v>
      </c>
      <c r="B303" s="6" t="s">
        <v>2429</v>
      </c>
      <c r="C303" s="6" t="s">
        <v>723</v>
      </c>
      <c r="D303" s="6" t="s">
        <v>362</v>
      </c>
      <c r="E303" s="6" t="s">
        <v>2747</v>
      </c>
      <c r="F303" s="6" t="s">
        <v>4211</v>
      </c>
      <c r="G303" s="6" t="s">
        <v>2986</v>
      </c>
      <c r="H303" s="6" t="s">
        <v>2987</v>
      </c>
      <c r="I303" s="6" t="s">
        <v>2988</v>
      </c>
      <c r="J303" s="6">
        <v>4</v>
      </c>
      <c r="K303" s="6" t="s">
        <v>19</v>
      </c>
      <c r="L303" s="10">
        <v>32.358409875</v>
      </c>
      <c r="M303" s="6" t="s">
        <v>33</v>
      </c>
      <c r="N303" s="10">
        <f>Tabla11[[#This Row],[Price]]*Tabla11[[#This Row],[QTY Adjusted]]</f>
        <v>129.4336395</v>
      </c>
      <c r="O303" s="10">
        <v>129.4336395</v>
      </c>
      <c r="P303" s="10" t="s">
        <v>4225</v>
      </c>
      <c r="Q303" s="6">
        <v>0</v>
      </c>
    </row>
    <row r="304" spans="1:17" ht="40.200000000000003" customHeight="1" x14ac:dyDescent="0.3">
      <c r="A304" s="6">
        <v>1529</v>
      </c>
      <c r="B304" s="6" t="s">
        <v>2429</v>
      </c>
      <c r="C304" s="6" t="s">
        <v>723</v>
      </c>
      <c r="D304" s="6" t="s">
        <v>362</v>
      </c>
      <c r="E304" s="6" t="s">
        <v>2747</v>
      </c>
      <c r="F304" s="6" t="s">
        <v>4211</v>
      </c>
      <c r="G304" s="6" t="s">
        <v>2796</v>
      </c>
      <c r="H304" s="6" t="s">
        <v>2797</v>
      </c>
      <c r="I304" s="6" t="s">
        <v>2798</v>
      </c>
      <c r="J304" s="6">
        <v>1</v>
      </c>
      <c r="K304" s="6" t="s">
        <v>19</v>
      </c>
      <c r="L304" s="10">
        <v>129.089575395</v>
      </c>
      <c r="M304" s="6" t="s">
        <v>33</v>
      </c>
      <c r="N304" s="10">
        <f>Tabla11[[#This Row],[Price]]*Tabla11[[#This Row],[QTY Adjusted]]</f>
        <v>129.089575395</v>
      </c>
      <c r="O304" s="10">
        <v>129.089575395</v>
      </c>
      <c r="P304" s="10" t="s">
        <v>4225</v>
      </c>
      <c r="Q304" s="6">
        <v>0</v>
      </c>
    </row>
    <row r="305" spans="1:17" ht="40.200000000000003" customHeight="1" x14ac:dyDescent="0.3">
      <c r="A305" s="6">
        <v>1475</v>
      </c>
      <c r="B305" s="6" t="s">
        <v>2429</v>
      </c>
      <c r="C305" s="6" t="s">
        <v>723</v>
      </c>
      <c r="D305" s="6" t="s">
        <v>362</v>
      </c>
      <c r="E305" s="6" t="s">
        <v>2584</v>
      </c>
      <c r="F305" s="6" t="s">
        <v>4211</v>
      </c>
      <c r="G305" s="6" t="s">
        <v>2641</v>
      </c>
      <c r="H305" s="6" t="s">
        <v>2642</v>
      </c>
      <c r="I305" s="6" t="s">
        <v>2643</v>
      </c>
      <c r="J305" s="6">
        <v>3</v>
      </c>
      <c r="K305" s="6" t="s">
        <v>19</v>
      </c>
      <c r="L305" s="10">
        <v>42.319884914999989</v>
      </c>
      <c r="M305" s="6" t="s">
        <v>33</v>
      </c>
      <c r="N305" s="10">
        <f>Tabla11[[#This Row],[Price]]*Tabla11[[#This Row],[QTY Adjusted]]</f>
        <v>126.95965474499997</v>
      </c>
      <c r="O305" s="10">
        <v>126.95965474499997</v>
      </c>
      <c r="P305" s="10" t="s">
        <v>4225</v>
      </c>
      <c r="Q305" s="6">
        <v>0</v>
      </c>
    </row>
    <row r="306" spans="1:17" ht="40.200000000000003" customHeight="1" x14ac:dyDescent="0.3">
      <c r="A306" s="6">
        <v>1533</v>
      </c>
      <c r="B306" s="6" t="s">
        <v>2429</v>
      </c>
      <c r="C306" s="6" t="s">
        <v>723</v>
      </c>
      <c r="D306" s="6" t="s">
        <v>362</v>
      </c>
      <c r="E306" s="6" t="s">
        <v>2747</v>
      </c>
      <c r="F306" s="6" t="s">
        <v>4211</v>
      </c>
      <c r="G306" s="6" t="s">
        <v>2807</v>
      </c>
      <c r="H306" s="6" t="s">
        <v>2808</v>
      </c>
      <c r="I306" s="6" t="s">
        <v>2809</v>
      </c>
      <c r="J306" s="6">
        <v>12</v>
      </c>
      <c r="K306" s="6" t="s">
        <v>19</v>
      </c>
      <c r="L306" s="10">
        <v>10.534915215</v>
      </c>
      <c r="M306" s="6" t="s">
        <v>33</v>
      </c>
      <c r="N306" s="10">
        <f>Tabla11[[#This Row],[Price]]*Tabla11[[#This Row],[QTY Adjusted]]</f>
        <v>126.41898258000001</v>
      </c>
      <c r="O306" s="10">
        <v>126.41898258000001</v>
      </c>
      <c r="P306" s="10" t="s">
        <v>4225</v>
      </c>
      <c r="Q306" s="6">
        <v>0</v>
      </c>
    </row>
    <row r="307" spans="1:17" ht="40.200000000000003" customHeight="1" x14ac:dyDescent="0.3">
      <c r="A307" s="6">
        <v>1653</v>
      </c>
      <c r="B307" s="6" t="s">
        <v>2429</v>
      </c>
      <c r="C307" s="6" t="s">
        <v>723</v>
      </c>
      <c r="D307" s="6" t="s">
        <v>362</v>
      </c>
      <c r="E307" s="6" t="s">
        <v>3107</v>
      </c>
      <c r="F307" s="6" t="s">
        <v>4211</v>
      </c>
      <c r="G307" s="6" t="s">
        <v>3169</v>
      </c>
      <c r="H307" s="6" t="s">
        <v>3170</v>
      </c>
      <c r="I307" s="6" t="s">
        <v>3171</v>
      </c>
      <c r="J307" s="6">
        <v>2</v>
      </c>
      <c r="K307" s="6" t="s">
        <v>19</v>
      </c>
      <c r="L307" s="10">
        <v>62.652435119999993</v>
      </c>
      <c r="M307" s="6" t="s">
        <v>33</v>
      </c>
      <c r="N307" s="10">
        <f>Tabla11[[#This Row],[Price]]*Tabla11[[#This Row],[QTY Adjusted]]</f>
        <v>125.30487023999999</v>
      </c>
      <c r="O307" s="10">
        <v>125.30487023999999</v>
      </c>
      <c r="P307" s="10" t="s">
        <v>4225</v>
      </c>
      <c r="Q307" s="6">
        <v>0</v>
      </c>
    </row>
    <row r="308" spans="1:17" ht="40.200000000000003" customHeight="1" x14ac:dyDescent="0.3">
      <c r="A308" s="6">
        <v>1584</v>
      </c>
      <c r="B308" s="6" t="s">
        <v>2429</v>
      </c>
      <c r="C308" s="6" t="s">
        <v>723</v>
      </c>
      <c r="D308" s="6" t="s">
        <v>362</v>
      </c>
      <c r="E308" s="6" t="s">
        <v>2747</v>
      </c>
      <c r="F308" s="6" t="s">
        <v>4211</v>
      </c>
      <c r="G308" s="6" t="s">
        <v>2959</v>
      </c>
      <c r="H308" s="6" t="s">
        <v>2960</v>
      </c>
      <c r="I308" s="6" t="s">
        <v>2958</v>
      </c>
      <c r="J308" s="6">
        <v>8</v>
      </c>
      <c r="K308" s="6" t="s">
        <v>19</v>
      </c>
      <c r="L308" s="10">
        <v>15.556612747499999</v>
      </c>
      <c r="M308" s="6" t="s">
        <v>33</v>
      </c>
      <c r="N308" s="10">
        <f>Tabla11[[#This Row],[Price]]*Tabla11[[#This Row],[QTY Adjusted]]</f>
        <v>124.45290197999999</v>
      </c>
      <c r="O308" s="10">
        <v>124.45290197999999</v>
      </c>
      <c r="P308" s="10" t="s">
        <v>4225</v>
      </c>
      <c r="Q308" s="6">
        <v>0</v>
      </c>
    </row>
    <row r="309" spans="1:17" ht="40.200000000000003" customHeight="1" x14ac:dyDescent="0.3">
      <c r="A309" s="6">
        <v>1842</v>
      </c>
      <c r="B309" s="6" t="s">
        <v>2429</v>
      </c>
      <c r="C309" s="6" t="s">
        <v>3508</v>
      </c>
      <c r="D309" s="6" t="s">
        <v>362</v>
      </c>
      <c r="E309" s="6" t="s">
        <v>3621</v>
      </c>
      <c r="F309" s="6" t="s">
        <v>4211</v>
      </c>
      <c r="G309" s="6">
        <v>4007000</v>
      </c>
      <c r="H309" s="6" t="s">
        <v>3688</v>
      </c>
      <c r="I309" s="6" t="s">
        <v>3689</v>
      </c>
      <c r="J309" s="6">
        <v>6</v>
      </c>
      <c r="K309" s="6" t="s">
        <v>19</v>
      </c>
      <c r="L309" s="10">
        <v>20.642499999999998</v>
      </c>
      <c r="M309" s="6" t="s">
        <v>33</v>
      </c>
      <c r="N309" s="10">
        <f>Tabla11[[#This Row],[Price]]*Tabla11[[#This Row],[QTY Adjusted]]</f>
        <v>123.85499999999999</v>
      </c>
      <c r="O309" s="10">
        <v>123.85499999999999</v>
      </c>
      <c r="P309" s="10" t="s">
        <v>4225</v>
      </c>
      <c r="Q309" s="6">
        <v>0</v>
      </c>
    </row>
    <row r="310" spans="1:17" ht="40.200000000000003" customHeight="1" x14ac:dyDescent="0.3">
      <c r="A310" s="6">
        <v>1452</v>
      </c>
      <c r="B310" s="6" t="s">
        <v>2429</v>
      </c>
      <c r="C310" s="6" t="s">
        <v>723</v>
      </c>
      <c r="D310" s="6" t="s">
        <v>362</v>
      </c>
      <c r="E310" s="6" t="s">
        <v>2515</v>
      </c>
      <c r="F310" s="6" t="s">
        <v>4211</v>
      </c>
      <c r="G310" s="6" t="s">
        <v>2572</v>
      </c>
      <c r="H310" s="6" t="s">
        <v>2573</v>
      </c>
      <c r="I310" s="6" t="s">
        <v>2574</v>
      </c>
      <c r="J310" s="6">
        <v>22</v>
      </c>
      <c r="K310" s="6" t="s">
        <v>19</v>
      </c>
      <c r="L310" s="10">
        <v>5.5132176825000005</v>
      </c>
      <c r="M310" s="6" t="s">
        <v>33</v>
      </c>
      <c r="N310" s="10">
        <f>Tabla11[[#This Row],[Price]]*Tabla11[[#This Row],[QTY Adjusted]]</f>
        <v>121.29078901500002</v>
      </c>
      <c r="O310" s="10">
        <v>121.29078901500002</v>
      </c>
      <c r="P310" s="10" t="s">
        <v>4225</v>
      </c>
      <c r="Q310" s="6">
        <v>0</v>
      </c>
    </row>
    <row r="311" spans="1:17" ht="40.200000000000003" customHeight="1" x14ac:dyDescent="0.3">
      <c r="A311" s="6">
        <v>1409</v>
      </c>
      <c r="B311" s="6" t="s">
        <v>2429</v>
      </c>
      <c r="C311" s="6" t="s">
        <v>723</v>
      </c>
      <c r="D311" s="6" t="s">
        <v>362</v>
      </c>
      <c r="E311" s="6" t="s">
        <v>2430</v>
      </c>
      <c r="F311" s="6" t="s">
        <v>4211</v>
      </c>
      <c r="G311" s="6" t="s">
        <v>2452</v>
      </c>
      <c r="H311" s="6" t="s">
        <v>2453</v>
      </c>
      <c r="I311" s="6" t="s">
        <v>2451</v>
      </c>
      <c r="J311" s="6">
        <v>14</v>
      </c>
      <c r="K311" s="6" t="s">
        <v>19</v>
      </c>
      <c r="L311" s="10">
        <v>8.4787225875000019</v>
      </c>
      <c r="M311" s="6" t="s">
        <v>33</v>
      </c>
      <c r="N311" s="10">
        <f>Tabla11[[#This Row],[Price]]*Tabla11[[#This Row],[QTY Adjusted]]</f>
        <v>118.70211622500003</v>
      </c>
      <c r="O311" s="10">
        <v>118.70211622500003</v>
      </c>
      <c r="P311" s="10" t="s">
        <v>4225</v>
      </c>
      <c r="Q311" s="6">
        <v>0</v>
      </c>
    </row>
    <row r="312" spans="1:17" ht="40.200000000000003" customHeight="1" x14ac:dyDescent="0.3">
      <c r="A312" s="6">
        <v>1870</v>
      </c>
      <c r="B312" s="6" t="s">
        <v>2429</v>
      </c>
      <c r="C312" s="6" t="s">
        <v>3770</v>
      </c>
      <c r="D312" s="6" t="s">
        <v>362</v>
      </c>
      <c r="E312" s="6" t="s">
        <v>3762</v>
      </c>
      <c r="F312" s="6" t="s">
        <v>4211</v>
      </c>
      <c r="G312" s="6">
        <v>6087680</v>
      </c>
      <c r="H312" s="6" t="s">
        <v>3771</v>
      </c>
      <c r="I312" s="6" t="s">
        <v>3772</v>
      </c>
      <c r="J312" s="6">
        <v>24</v>
      </c>
      <c r="K312" s="6" t="s">
        <v>19</v>
      </c>
      <c r="L312" s="10">
        <v>4.92591</v>
      </c>
      <c r="M312" s="6" t="s">
        <v>33</v>
      </c>
      <c r="N312" s="10">
        <f>Tabla11[[#This Row],[Price]]*Tabla11[[#This Row],[QTY Adjusted]]</f>
        <v>118.22184</v>
      </c>
      <c r="O312" s="10">
        <v>118.22184</v>
      </c>
      <c r="P312" s="10" t="s">
        <v>4225</v>
      </c>
      <c r="Q312" s="6">
        <v>0</v>
      </c>
    </row>
    <row r="313" spans="1:17" ht="40.200000000000003" customHeight="1" x14ac:dyDescent="0.3">
      <c r="A313" s="6">
        <v>1871</v>
      </c>
      <c r="B313" s="6" t="s">
        <v>2429</v>
      </c>
      <c r="C313" s="6" t="s">
        <v>3770</v>
      </c>
      <c r="D313" s="6" t="s">
        <v>362</v>
      </c>
      <c r="E313" s="6" t="s">
        <v>3762</v>
      </c>
      <c r="F313" s="6" t="s">
        <v>4211</v>
      </c>
      <c r="G313" s="6">
        <v>6087681</v>
      </c>
      <c r="H313" s="6" t="s">
        <v>3773</v>
      </c>
      <c r="I313" s="6" t="s">
        <v>3774</v>
      </c>
      <c r="J313" s="6">
        <v>24</v>
      </c>
      <c r="K313" s="6" t="s">
        <v>19</v>
      </c>
      <c r="L313" s="10">
        <v>4.92591</v>
      </c>
      <c r="M313" s="6" t="s">
        <v>33</v>
      </c>
      <c r="N313" s="10">
        <f>Tabla11[[#This Row],[Price]]*Tabla11[[#This Row],[QTY Adjusted]]</f>
        <v>118.22184</v>
      </c>
      <c r="O313" s="10">
        <v>118.22184</v>
      </c>
      <c r="P313" s="10" t="s">
        <v>4225</v>
      </c>
      <c r="Q313" s="6">
        <v>0</v>
      </c>
    </row>
    <row r="314" spans="1:17" ht="40.200000000000003" customHeight="1" x14ac:dyDescent="0.3">
      <c r="A314" s="6">
        <v>1412</v>
      </c>
      <c r="B314" s="6" t="s">
        <v>2429</v>
      </c>
      <c r="C314" s="6" t="s">
        <v>723</v>
      </c>
      <c r="D314" s="6" t="s">
        <v>362</v>
      </c>
      <c r="E314" s="6" t="s">
        <v>2430</v>
      </c>
      <c r="F314" s="6" t="s">
        <v>4211</v>
      </c>
      <c r="G314" s="6" t="s">
        <v>2458</v>
      </c>
      <c r="H314" s="6" t="s">
        <v>2459</v>
      </c>
      <c r="I314" s="6" t="s">
        <v>2460</v>
      </c>
      <c r="J314" s="6">
        <v>9</v>
      </c>
      <c r="K314" s="6" t="s">
        <v>19</v>
      </c>
      <c r="L314" s="10">
        <v>13.00889997</v>
      </c>
      <c r="M314" s="6" t="s">
        <v>33</v>
      </c>
      <c r="N314" s="10">
        <f>Tabla11[[#This Row],[Price]]*Tabla11[[#This Row],[QTY Adjusted]]</f>
        <v>117.08009973</v>
      </c>
      <c r="O314" s="10">
        <v>117.08009973</v>
      </c>
      <c r="P314" s="10" t="s">
        <v>4225</v>
      </c>
      <c r="Q314" s="6">
        <v>0</v>
      </c>
    </row>
    <row r="315" spans="1:17" ht="40.200000000000003" customHeight="1" x14ac:dyDescent="0.3">
      <c r="A315" s="6">
        <v>1832</v>
      </c>
      <c r="B315" s="6" t="s">
        <v>2429</v>
      </c>
      <c r="C315" s="6" t="s">
        <v>723</v>
      </c>
      <c r="D315" s="6" t="s">
        <v>362</v>
      </c>
      <c r="E315" s="6" t="s">
        <v>3621</v>
      </c>
      <c r="F315" s="6" t="s">
        <v>4211</v>
      </c>
      <c r="G315" s="6" t="s">
        <v>3661</v>
      </c>
      <c r="H315" s="6" t="s">
        <v>3662</v>
      </c>
      <c r="I315" s="6" t="s">
        <v>3663</v>
      </c>
      <c r="J315" s="6">
        <v>12</v>
      </c>
      <c r="K315" s="6" t="s">
        <v>19</v>
      </c>
      <c r="L315" s="10">
        <v>9.5518749149999991</v>
      </c>
      <c r="M315" s="6" t="s">
        <v>33</v>
      </c>
      <c r="N315" s="10">
        <f>Tabla11[[#This Row],[Price]]*Tabla11[[#This Row],[QTY Adjusted]]</f>
        <v>114.62249897999999</v>
      </c>
      <c r="O315" s="10">
        <v>114.62249897999999</v>
      </c>
      <c r="P315" s="10" t="s">
        <v>4225</v>
      </c>
      <c r="Q315" s="6">
        <v>0</v>
      </c>
    </row>
    <row r="316" spans="1:17" ht="40.200000000000003" customHeight="1" x14ac:dyDescent="0.3">
      <c r="A316" s="6">
        <v>1485</v>
      </c>
      <c r="B316" s="6" t="s">
        <v>2429</v>
      </c>
      <c r="C316" s="6" t="s">
        <v>723</v>
      </c>
      <c r="D316" s="6" t="s">
        <v>362</v>
      </c>
      <c r="E316" s="6" t="s">
        <v>2584</v>
      </c>
      <c r="F316" s="6" t="s">
        <v>4211</v>
      </c>
      <c r="G316" s="6" t="s">
        <v>2671</v>
      </c>
      <c r="H316" s="6" t="s">
        <v>2672</v>
      </c>
      <c r="I316" s="6" t="s">
        <v>2673</v>
      </c>
      <c r="J316" s="6">
        <v>7</v>
      </c>
      <c r="K316" s="6" t="s">
        <v>19</v>
      </c>
      <c r="L316" s="10">
        <v>16.220164950000004</v>
      </c>
      <c r="M316" s="6" t="s">
        <v>33</v>
      </c>
      <c r="N316" s="10">
        <f>Tabla11[[#This Row],[Price]]*Tabla11[[#This Row],[QTY Adjusted]]</f>
        <v>113.54115465000004</v>
      </c>
      <c r="O316" s="10">
        <v>113.54115465000004</v>
      </c>
      <c r="P316" s="10" t="s">
        <v>4225</v>
      </c>
      <c r="Q316" s="6">
        <v>0</v>
      </c>
    </row>
    <row r="317" spans="1:17" ht="40.200000000000003" customHeight="1" x14ac:dyDescent="0.3">
      <c r="A317" s="6">
        <v>1586</v>
      </c>
      <c r="B317" s="6" t="s">
        <v>2429</v>
      </c>
      <c r="C317" s="6" t="s">
        <v>723</v>
      </c>
      <c r="D317" s="6" t="s">
        <v>362</v>
      </c>
      <c r="E317" s="6" t="s">
        <v>2747</v>
      </c>
      <c r="F317" s="6" t="s">
        <v>4211</v>
      </c>
      <c r="G317" s="6" t="s">
        <v>2964</v>
      </c>
      <c r="H317" s="6" t="s">
        <v>2965</v>
      </c>
      <c r="I317" s="6" t="s">
        <v>2966</v>
      </c>
      <c r="J317" s="6">
        <v>4</v>
      </c>
      <c r="K317" s="6" t="s">
        <v>19</v>
      </c>
      <c r="L317" s="10">
        <v>28.237832617499993</v>
      </c>
      <c r="M317" s="6" t="s">
        <v>33</v>
      </c>
      <c r="N317" s="10">
        <f>Tabla11[[#This Row],[Price]]*Tabla11[[#This Row],[QTY Adjusted]]</f>
        <v>112.95133046999997</v>
      </c>
      <c r="O317" s="10">
        <v>112.95133046999997</v>
      </c>
      <c r="P317" s="10" t="s">
        <v>4225</v>
      </c>
      <c r="Q317" s="6">
        <v>0</v>
      </c>
    </row>
    <row r="318" spans="1:17" ht="40.200000000000003" customHeight="1" x14ac:dyDescent="0.3">
      <c r="A318" s="6">
        <v>1780</v>
      </c>
      <c r="B318" s="6" t="s">
        <v>2429</v>
      </c>
      <c r="C318" s="6" t="s">
        <v>361</v>
      </c>
      <c r="D318" s="6" t="s">
        <v>362</v>
      </c>
      <c r="E318" s="6" t="s">
        <v>3478</v>
      </c>
      <c r="F318" s="6" t="s">
        <v>4211</v>
      </c>
      <c r="G318" s="6" t="s">
        <v>3513</v>
      </c>
      <c r="H318" s="6" t="s">
        <v>3514</v>
      </c>
      <c r="I318" s="6" t="s">
        <v>3514</v>
      </c>
      <c r="J318" s="6">
        <v>24</v>
      </c>
      <c r="K318" s="6" t="s">
        <v>19</v>
      </c>
      <c r="L318" s="10">
        <v>4.6790624999999997</v>
      </c>
      <c r="M318" s="6" t="s">
        <v>33</v>
      </c>
      <c r="N318" s="10">
        <f>Tabla11[[#This Row],[Price]]*Tabla11[[#This Row],[QTY Adjusted]]</f>
        <v>112.29749999999999</v>
      </c>
      <c r="O318" s="10">
        <v>112.29749999999999</v>
      </c>
      <c r="P318" s="10" t="s">
        <v>4225</v>
      </c>
      <c r="Q318" s="6">
        <v>0</v>
      </c>
    </row>
    <row r="319" spans="1:17" ht="40.200000000000003" customHeight="1" x14ac:dyDescent="0.3">
      <c r="A319" s="6">
        <v>1781</v>
      </c>
      <c r="B319" s="6" t="s">
        <v>2429</v>
      </c>
      <c r="C319" s="6" t="s">
        <v>361</v>
      </c>
      <c r="D319" s="6" t="s">
        <v>362</v>
      </c>
      <c r="E319" s="6" t="s">
        <v>3478</v>
      </c>
      <c r="F319" s="6" t="s">
        <v>4211</v>
      </c>
      <c r="G319" s="6" t="s">
        <v>3515</v>
      </c>
      <c r="H319" s="6" t="s">
        <v>3514</v>
      </c>
      <c r="I319" s="6" t="s">
        <v>3514</v>
      </c>
      <c r="J319" s="6">
        <v>24</v>
      </c>
      <c r="K319" s="6" t="s">
        <v>19</v>
      </c>
      <c r="L319" s="10">
        <v>4.6790624999999997</v>
      </c>
      <c r="M319" s="6" t="s">
        <v>33</v>
      </c>
      <c r="N319" s="10">
        <f>Tabla11[[#This Row],[Price]]*Tabla11[[#This Row],[QTY Adjusted]]</f>
        <v>112.29749999999999</v>
      </c>
      <c r="O319" s="10">
        <v>112.29749999999999</v>
      </c>
      <c r="P319" s="10" t="s">
        <v>4225</v>
      </c>
      <c r="Q319" s="6">
        <v>0</v>
      </c>
    </row>
    <row r="320" spans="1:17" ht="40.200000000000003" customHeight="1" x14ac:dyDescent="0.3">
      <c r="A320" s="6">
        <v>1458</v>
      </c>
      <c r="B320" s="6" t="s">
        <v>2429</v>
      </c>
      <c r="C320" s="6" t="s">
        <v>723</v>
      </c>
      <c r="D320" s="6" t="s">
        <v>362</v>
      </c>
      <c r="E320" s="6" t="s">
        <v>2584</v>
      </c>
      <c r="F320" s="6" t="s">
        <v>4211</v>
      </c>
      <c r="G320" s="6" t="s">
        <v>2591</v>
      </c>
      <c r="H320" s="6" t="s">
        <v>353</v>
      </c>
      <c r="I320" s="6" t="s">
        <v>2592</v>
      </c>
      <c r="J320" s="6">
        <v>6</v>
      </c>
      <c r="K320" s="6" t="s">
        <v>19</v>
      </c>
      <c r="L320" s="10">
        <v>18.440197627500002</v>
      </c>
      <c r="M320" s="6" t="s">
        <v>33</v>
      </c>
      <c r="N320" s="10">
        <f>Tabla11[[#This Row],[Price]]*Tabla11[[#This Row],[QTY Adjusted]]</f>
        <v>110.64118576500002</v>
      </c>
      <c r="O320" s="10">
        <v>110.64118576500002</v>
      </c>
      <c r="P320" s="10" t="s">
        <v>4225</v>
      </c>
      <c r="Q320" s="6">
        <v>0</v>
      </c>
    </row>
    <row r="321" spans="1:17" ht="40.200000000000003" customHeight="1" x14ac:dyDescent="0.3">
      <c r="A321" s="6">
        <v>1489</v>
      </c>
      <c r="B321" s="6" t="s">
        <v>2429</v>
      </c>
      <c r="C321" s="6" t="s">
        <v>723</v>
      </c>
      <c r="D321" s="6" t="s">
        <v>362</v>
      </c>
      <c r="E321" s="6" t="s">
        <v>2584</v>
      </c>
      <c r="F321" s="6" t="s">
        <v>4211</v>
      </c>
      <c r="G321" s="6" t="s">
        <v>2683</v>
      </c>
      <c r="H321" s="6" t="s">
        <v>2684</v>
      </c>
      <c r="I321" s="6" t="s">
        <v>2685</v>
      </c>
      <c r="J321" s="6">
        <v>7</v>
      </c>
      <c r="K321" s="6" t="s">
        <v>19</v>
      </c>
      <c r="L321" s="10">
        <v>15.7286448</v>
      </c>
      <c r="M321" s="6" t="s">
        <v>33</v>
      </c>
      <c r="N321" s="10">
        <f>Tabla11[[#This Row],[Price]]*Tabla11[[#This Row],[QTY Adjusted]]</f>
        <v>110.1005136</v>
      </c>
      <c r="O321" s="10">
        <v>110.1005136</v>
      </c>
      <c r="P321" s="10" t="s">
        <v>4225</v>
      </c>
      <c r="Q321" s="6">
        <v>0</v>
      </c>
    </row>
    <row r="322" spans="1:17" ht="40.200000000000003" customHeight="1" x14ac:dyDescent="0.3">
      <c r="A322" s="6">
        <v>1532</v>
      </c>
      <c r="B322" s="6" t="s">
        <v>2429</v>
      </c>
      <c r="C322" s="6" t="s">
        <v>723</v>
      </c>
      <c r="D322" s="6" t="s">
        <v>362</v>
      </c>
      <c r="E322" s="6" t="s">
        <v>2747</v>
      </c>
      <c r="F322" s="6" t="s">
        <v>4211</v>
      </c>
      <c r="G322" s="6" t="s">
        <v>2804</v>
      </c>
      <c r="H322" s="6" t="s">
        <v>2805</v>
      </c>
      <c r="I322" s="6" t="s">
        <v>2806</v>
      </c>
      <c r="J322" s="6">
        <v>12</v>
      </c>
      <c r="K322" s="6" t="s">
        <v>19</v>
      </c>
      <c r="L322" s="10">
        <v>9.1422747899999983</v>
      </c>
      <c r="M322" s="6" t="s">
        <v>33</v>
      </c>
      <c r="N322" s="10">
        <f>Tabla11[[#This Row],[Price]]*Tabla11[[#This Row],[QTY Adjusted]]</f>
        <v>109.70729747999998</v>
      </c>
      <c r="O322" s="10">
        <v>109.70729747999998</v>
      </c>
      <c r="P322" s="10" t="s">
        <v>4225</v>
      </c>
      <c r="Q322" s="6">
        <v>0</v>
      </c>
    </row>
    <row r="323" spans="1:17" ht="40.200000000000003" customHeight="1" x14ac:dyDescent="0.3">
      <c r="A323" s="6">
        <v>1501</v>
      </c>
      <c r="B323" s="6" t="s">
        <v>2429</v>
      </c>
      <c r="C323" s="6" t="s">
        <v>723</v>
      </c>
      <c r="D323" s="6" t="s">
        <v>362</v>
      </c>
      <c r="E323" s="6" t="s">
        <v>2584</v>
      </c>
      <c r="F323" s="6" t="s">
        <v>4211</v>
      </c>
      <c r="G323" s="6" t="s">
        <v>2719</v>
      </c>
      <c r="H323" s="6" t="s">
        <v>2720</v>
      </c>
      <c r="I323" s="6" t="s">
        <v>2721</v>
      </c>
      <c r="J323" s="6">
        <v>10</v>
      </c>
      <c r="K323" s="6" t="s">
        <v>19</v>
      </c>
      <c r="L323" s="10">
        <v>10.870787317500001</v>
      </c>
      <c r="M323" s="6" t="s">
        <v>33</v>
      </c>
      <c r="N323" s="10">
        <f>Tabla11[[#This Row],[Price]]*Tabla11[[#This Row],[QTY Adjusted]]</f>
        <v>108.70787317500002</v>
      </c>
      <c r="O323" s="10">
        <v>108.70787317500002</v>
      </c>
      <c r="P323" s="10" t="s">
        <v>4225</v>
      </c>
      <c r="Q323" s="6">
        <v>0</v>
      </c>
    </row>
    <row r="324" spans="1:17" ht="40.200000000000003" customHeight="1" x14ac:dyDescent="0.3">
      <c r="A324" s="6">
        <v>1502</v>
      </c>
      <c r="B324" s="6" t="s">
        <v>2429</v>
      </c>
      <c r="C324" s="6" t="s">
        <v>723</v>
      </c>
      <c r="D324" s="6" t="s">
        <v>362</v>
      </c>
      <c r="E324" s="6" t="s">
        <v>2584</v>
      </c>
      <c r="F324" s="6" t="s">
        <v>4211</v>
      </c>
      <c r="G324" s="6" t="s">
        <v>2722</v>
      </c>
      <c r="H324" s="6" t="s">
        <v>2723</v>
      </c>
      <c r="I324" s="6" t="s">
        <v>2721</v>
      </c>
      <c r="J324" s="6">
        <v>10</v>
      </c>
      <c r="K324" s="6" t="s">
        <v>19</v>
      </c>
      <c r="L324" s="10">
        <v>10.870787317500001</v>
      </c>
      <c r="M324" s="6" t="s">
        <v>33</v>
      </c>
      <c r="N324" s="10">
        <f>Tabla11[[#This Row],[Price]]*Tabla11[[#This Row],[QTY Adjusted]]</f>
        <v>108.70787317500002</v>
      </c>
      <c r="O324" s="10">
        <v>108.70787317500002</v>
      </c>
      <c r="P324" s="10" t="s">
        <v>4225</v>
      </c>
      <c r="Q324" s="6">
        <v>0</v>
      </c>
    </row>
    <row r="325" spans="1:17" ht="40.200000000000003" customHeight="1" x14ac:dyDescent="0.3">
      <c r="A325" s="6">
        <v>1737</v>
      </c>
      <c r="B325" s="6" t="s">
        <v>2429</v>
      </c>
      <c r="C325" s="6" t="s">
        <v>723</v>
      </c>
      <c r="D325" s="6" t="s">
        <v>362</v>
      </c>
      <c r="E325" s="6" t="s">
        <v>3325</v>
      </c>
      <c r="F325" s="6" t="s">
        <v>4211</v>
      </c>
      <c r="G325" s="6" t="s">
        <v>3356</v>
      </c>
      <c r="H325" s="6" t="s">
        <v>3398</v>
      </c>
      <c r="I325" s="6" t="s">
        <v>3358</v>
      </c>
      <c r="J325" s="6">
        <v>1</v>
      </c>
      <c r="K325" s="6" t="s">
        <v>19</v>
      </c>
      <c r="L325" s="10">
        <v>105.13616008500003</v>
      </c>
      <c r="M325" s="6" t="s">
        <v>33</v>
      </c>
      <c r="N325" s="10">
        <f>Tabla11[[#This Row],[Price]]*Tabla11[[#This Row],[QTY Adjusted]]</f>
        <v>105.13616008500003</v>
      </c>
      <c r="O325" s="10">
        <v>105.13616008500003</v>
      </c>
      <c r="P325" s="10" t="s">
        <v>4225</v>
      </c>
      <c r="Q325" s="6">
        <v>0</v>
      </c>
    </row>
    <row r="326" spans="1:17" ht="40.200000000000003" customHeight="1" x14ac:dyDescent="0.3">
      <c r="A326" s="6">
        <v>1432</v>
      </c>
      <c r="B326" s="6" t="s">
        <v>2429</v>
      </c>
      <c r="C326" s="6" t="s">
        <v>723</v>
      </c>
      <c r="D326" s="6" t="s">
        <v>362</v>
      </c>
      <c r="E326" s="6" t="s">
        <v>2430</v>
      </c>
      <c r="F326" s="6" t="s">
        <v>4211</v>
      </c>
      <c r="G326" s="6" t="s">
        <v>2512</v>
      </c>
      <c r="H326" s="6" t="s">
        <v>2513</v>
      </c>
      <c r="I326" s="6" t="s">
        <v>2514</v>
      </c>
      <c r="J326" s="6">
        <v>3</v>
      </c>
      <c r="K326" s="6" t="s">
        <v>19</v>
      </c>
      <c r="L326" s="10">
        <v>34.988042677499998</v>
      </c>
      <c r="M326" s="6" t="s">
        <v>33</v>
      </c>
      <c r="N326" s="10">
        <f>Tabla11[[#This Row],[Price]]*Tabla11[[#This Row],[QTY Adjusted]]</f>
        <v>104.96412803249999</v>
      </c>
      <c r="O326" s="10">
        <v>104.96412803249999</v>
      </c>
      <c r="P326" s="10" t="s">
        <v>4225</v>
      </c>
      <c r="Q326" s="6">
        <v>0</v>
      </c>
    </row>
    <row r="327" spans="1:17" ht="40.200000000000003" customHeight="1" x14ac:dyDescent="0.3">
      <c r="A327" s="6">
        <v>1454</v>
      </c>
      <c r="B327" s="6" t="s">
        <v>2429</v>
      </c>
      <c r="C327" s="6" t="s">
        <v>723</v>
      </c>
      <c r="D327" s="6" t="s">
        <v>362</v>
      </c>
      <c r="E327" s="6" t="s">
        <v>2515</v>
      </c>
      <c r="F327" s="6" t="s">
        <v>4211</v>
      </c>
      <c r="G327" s="6" t="s">
        <v>2578</v>
      </c>
      <c r="H327" s="6" t="s">
        <v>2579</v>
      </c>
      <c r="I327" s="6" t="s">
        <v>2580</v>
      </c>
      <c r="J327" s="6">
        <v>16</v>
      </c>
      <c r="K327" s="6" t="s">
        <v>19</v>
      </c>
      <c r="L327" s="10">
        <v>6.5044499849999999</v>
      </c>
      <c r="M327" s="6" t="s">
        <v>33</v>
      </c>
      <c r="N327" s="10">
        <f>Tabla11[[#This Row],[Price]]*Tabla11[[#This Row],[QTY Adjusted]]</f>
        <v>104.07119976</v>
      </c>
      <c r="O327" s="10">
        <v>104.07119976</v>
      </c>
      <c r="P327" s="10" t="s">
        <v>4225</v>
      </c>
      <c r="Q327" s="6">
        <v>0</v>
      </c>
    </row>
    <row r="328" spans="1:17" ht="40.200000000000003" customHeight="1" x14ac:dyDescent="0.3">
      <c r="A328" s="6">
        <v>1566</v>
      </c>
      <c r="B328" s="6" t="s">
        <v>2429</v>
      </c>
      <c r="C328" s="6" t="s">
        <v>723</v>
      </c>
      <c r="D328" s="6" t="s">
        <v>362</v>
      </c>
      <c r="E328" s="6" t="s">
        <v>2747</v>
      </c>
      <c r="F328" s="6" t="s">
        <v>4211</v>
      </c>
      <c r="G328" s="6" t="s">
        <v>2905</v>
      </c>
      <c r="H328" s="6" t="s">
        <v>2906</v>
      </c>
      <c r="I328" s="6" t="s">
        <v>2907</v>
      </c>
      <c r="J328" s="6">
        <v>60</v>
      </c>
      <c r="K328" s="6" t="s">
        <v>19</v>
      </c>
      <c r="L328" s="10">
        <v>1.7285125274999997</v>
      </c>
      <c r="M328" s="6" t="s">
        <v>33</v>
      </c>
      <c r="N328" s="10">
        <f>Tabla11[[#This Row],[Price]]*Tabla11[[#This Row],[QTY Adjusted]]</f>
        <v>103.71075164999998</v>
      </c>
      <c r="O328" s="10">
        <v>103.71075164999998</v>
      </c>
      <c r="P328" s="10" t="s">
        <v>4225</v>
      </c>
      <c r="Q328" s="6">
        <v>0</v>
      </c>
    </row>
    <row r="329" spans="1:17" ht="40.200000000000003" customHeight="1" x14ac:dyDescent="0.3">
      <c r="A329" s="6">
        <v>1589</v>
      </c>
      <c r="B329" s="6" t="s">
        <v>2429</v>
      </c>
      <c r="C329" s="6" t="s">
        <v>723</v>
      </c>
      <c r="D329" s="6" t="s">
        <v>362</v>
      </c>
      <c r="E329" s="6" t="s">
        <v>2747</v>
      </c>
      <c r="F329" s="6" t="s">
        <v>4211</v>
      </c>
      <c r="G329" s="6" t="s">
        <v>2972</v>
      </c>
      <c r="H329" s="6" t="s">
        <v>2973</v>
      </c>
      <c r="I329" s="6" t="s">
        <v>2974</v>
      </c>
      <c r="J329" s="6">
        <v>12</v>
      </c>
      <c r="K329" s="6" t="s">
        <v>19</v>
      </c>
      <c r="L329" s="10">
        <v>8.5606426125000006</v>
      </c>
      <c r="M329" s="6" t="s">
        <v>33</v>
      </c>
      <c r="N329" s="10">
        <f>Tabla11[[#This Row],[Price]]*Tabla11[[#This Row],[QTY Adjusted]]</f>
        <v>102.72771135000001</v>
      </c>
      <c r="O329" s="10">
        <v>102.72771135000001</v>
      </c>
      <c r="P329" s="10" t="s">
        <v>4225</v>
      </c>
      <c r="Q329" s="6">
        <v>0</v>
      </c>
    </row>
    <row r="330" spans="1:17" ht="40.200000000000003" customHeight="1" x14ac:dyDescent="0.3">
      <c r="A330" s="6">
        <v>1679</v>
      </c>
      <c r="B330" s="6" t="s">
        <v>2429</v>
      </c>
      <c r="C330" s="6" t="s">
        <v>723</v>
      </c>
      <c r="D330" s="6" t="s">
        <v>362</v>
      </c>
      <c r="E330" s="6" t="s">
        <v>3107</v>
      </c>
      <c r="F330" s="6" t="s">
        <v>4211</v>
      </c>
      <c r="G330" s="6" t="s">
        <v>3230</v>
      </c>
      <c r="H330" s="6" t="s">
        <v>3231</v>
      </c>
      <c r="I330" s="6" t="s">
        <v>3232</v>
      </c>
      <c r="J330" s="6">
        <v>12</v>
      </c>
      <c r="K330" s="6" t="s">
        <v>19</v>
      </c>
      <c r="L330" s="10">
        <v>8.5606426125000006</v>
      </c>
      <c r="M330" s="6" t="s">
        <v>33</v>
      </c>
      <c r="N330" s="10">
        <f>Tabla11[[#This Row],[Price]]*Tabla11[[#This Row],[QTY Adjusted]]</f>
        <v>102.72771135000001</v>
      </c>
      <c r="O330" s="10">
        <v>102.72771135000001</v>
      </c>
      <c r="P330" s="10" t="s">
        <v>4225</v>
      </c>
      <c r="Q330" s="6">
        <v>0</v>
      </c>
    </row>
    <row r="331" spans="1:17" ht="40.200000000000003" customHeight="1" x14ac:dyDescent="0.3">
      <c r="A331" s="6">
        <v>1577</v>
      </c>
      <c r="B331" s="6" t="s">
        <v>2429</v>
      </c>
      <c r="C331" s="6" t="s">
        <v>723</v>
      </c>
      <c r="D331" s="6" t="s">
        <v>362</v>
      </c>
      <c r="E331" s="6" t="s">
        <v>2747</v>
      </c>
      <c r="F331" s="6" t="s">
        <v>4211</v>
      </c>
      <c r="G331" s="6" t="s">
        <v>2938</v>
      </c>
      <c r="H331" s="6" t="s">
        <v>2939</v>
      </c>
      <c r="I331" s="6" t="s">
        <v>2940</v>
      </c>
      <c r="J331" s="6">
        <v>2</v>
      </c>
      <c r="K331" s="6" t="s">
        <v>19</v>
      </c>
      <c r="L331" s="10">
        <v>51.208207627500002</v>
      </c>
      <c r="M331" s="6" t="s">
        <v>33</v>
      </c>
      <c r="N331" s="10">
        <f>Tabla11[[#This Row],[Price]]*Tabla11[[#This Row],[QTY Adjusted]]</f>
        <v>102.416415255</v>
      </c>
      <c r="O331" s="10">
        <v>102.416415255</v>
      </c>
      <c r="P331" s="10" t="s">
        <v>4225</v>
      </c>
      <c r="Q331" s="6">
        <v>0</v>
      </c>
    </row>
    <row r="332" spans="1:17" ht="40.200000000000003" customHeight="1" x14ac:dyDescent="0.3">
      <c r="A332" s="6">
        <v>1473</v>
      </c>
      <c r="B332" s="6" t="s">
        <v>2429</v>
      </c>
      <c r="C332" s="6" t="s">
        <v>723</v>
      </c>
      <c r="D332" s="6" t="s">
        <v>362</v>
      </c>
      <c r="E332" s="6" t="s">
        <v>2584</v>
      </c>
      <c r="F332" s="6" t="s">
        <v>4211</v>
      </c>
      <c r="G332" s="6" t="s">
        <v>2635</v>
      </c>
      <c r="H332" s="6" t="s">
        <v>2636</v>
      </c>
      <c r="I332" s="6" t="s">
        <v>2637</v>
      </c>
      <c r="J332" s="6">
        <v>6</v>
      </c>
      <c r="K332" s="6" t="s">
        <v>19</v>
      </c>
      <c r="L332" s="10">
        <v>17.039365200000002</v>
      </c>
      <c r="M332" s="6" t="s">
        <v>33</v>
      </c>
      <c r="N332" s="10">
        <f>Tabla11[[#This Row],[Price]]*Tabla11[[#This Row],[QTY Adjusted]]</f>
        <v>102.23619120000001</v>
      </c>
      <c r="O332" s="10">
        <v>102.23619120000001</v>
      </c>
      <c r="P332" s="10" t="s">
        <v>4225</v>
      </c>
      <c r="Q332" s="6">
        <v>0</v>
      </c>
    </row>
    <row r="333" spans="1:17" ht="40.200000000000003" customHeight="1" x14ac:dyDescent="0.3">
      <c r="A333" s="6">
        <v>1477</v>
      </c>
      <c r="B333" s="6" t="s">
        <v>2429</v>
      </c>
      <c r="C333" s="6" t="s">
        <v>723</v>
      </c>
      <c r="D333" s="6" t="s">
        <v>362</v>
      </c>
      <c r="E333" s="6" t="s">
        <v>2584</v>
      </c>
      <c r="F333" s="6" t="s">
        <v>4211</v>
      </c>
      <c r="G333" s="6" t="s">
        <v>2647</v>
      </c>
      <c r="H333" s="6" t="s">
        <v>2648</v>
      </c>
      <c r="I333" s="6" t="s">
        <v>2649</v>
      </c>
      <c r="J333" s="6">
        <v>1</v>
      </c>
      <c r="K333" s="6" t="s">
        <v>19</v>
      </c>
      <c r="L333" s="10">
        <v>101.35145493</v>
      </c>
      <c r="M333" s="6" t="s">
        <v>33</v>
      </c>
      <c r="N333" s="10">
        <f>Tabla11[[#This Row],[Price]]*Tabla11[[#This Row],[QTY Adjusted]]</f>
        <v>101.35145493</v>
      </c>
      <c r="O333" s="10">
        <v>101.35145493</v>
      </c>
      <c r="P333" s="10" t="s">
        <v>4225</v>
      </c>
      <c r="Q333" s="6">
        <v>0</v>
      </c>
    </row>
    <row r="334" spans="1:17" ht="40.200000000000003" customHeight="1" x14ac:dyDescent="0.3">
      <c r="A334" s="6">
        <v>1515</v>
      </c>
      <c r="B334" s="6" t="s">
        <v>2429</v>
      </c>
      <c r="C334" s="6" t="s">
        <v>723</v>
      </c>
      <c r="D334" s="6" t="s">
        <v>362</v>
      </c>
      <c r="E334" s="6" t="s">
        <v>2747</v>
      </c>
      <c r="F334" s="6" t="s">
        <v>4211</v>
      </c>
      <c r="G334" s="6" t="s">
        <v>2759</v>
      </c>
      <c r="H334" s="6" t="s">
        <v>2760</v>
      </c>
      <c r="I334" s="6" t="s">
        <v>2756</v>
      </c>
      <c r="J334" s="6">
        <v>20</v>
      </c>
      <c r="K334" s="6" t="s">
        <v>19</v>
      </c>
      <c r="L334" s="10">
        <v>5.0216975325000011</v>
      </c>
      <c r="M334" s="6" t="s">
        <v>33</v>
      </c>
      <c r="N334" s="10">
        <f>Tabla11[[#This Row],[Price]]*Tabla11[[#This Row],[QTY Adjusted]]</f>
        <v>100.43395065000001</v>
      </c>
      <c r="O334" s="10">
        <v>100.43395065000001</v>
      </c>
      <c r="P334" s="10" t="s">
        <v>4225</v>
      </c>
      <c r="Q334" s="6">
        <v>0</v>
      </c>
    </row>
    <row r="335" spans="1:17" ht="40.200000000000003" customHeight="1" x14ac:dyDescent="0.3">
      <c r="A335" s="6">
        <v>1682</v>
      </c>
      <c r="B335" s="6" t="s">
        <v>2429</v>
      </c>
      <c r="C335" s="6" t="s">
        <v>723</v>
      </c>
      <c r="D335" s="6" t="s">
        <v>362</v>
      </c>
      <c r="E335" s="6" t="s">
        <v>3107</v>
      </c>
      <c r="F335" s="6" t="s">
        <v>4211</v>
      </c>
      <c r="G335" s="6" t="s">
        <v>3239</v>
      </c>
      <c r="H335" s="6" t="s">
        <v>3240</v>
      </c>
      <c r="I335" s="6" t="s">
        <v>3241</v>
      </c>
      <c r="J335" s="6">
        <v>2</v>
      </c>
      <c r="K335" s="6" t="s">
        <v>19</v>
      </c>
      <c r="L335" s="10">
        <v>49.561615125000003</v>
      </c>
      <c r="M335" s="6" t="s">
        <v>33</v>
      </c>
      <c r="N335" s="10">
        <f>Tabla11[[#This Row],[Price]]*Tabla11[[#This Row],[QTY Adjusted]]</f>
        <v>99.123230250000006</v>
      </c>
      <c r="O335" s="10">
        <v>99.123230250000006</v>
      </c>
      <c r="P335" s="10" t="s">
        <v>4225</v>
      </c>
      <c r="Q335" s="6">
        <v>0</v>
      </c>
    </row>
    <row r="336" spans="1:17" ht="40.200000000000003" customHeight="1" x14ac:dyDescent="0.3">
      <c r="A336" s="6">
        <v>1669</v>
      </c>
      <c r="B336" s="6" t="s">
        <v>2429</v>
      </c>
      <c r="C336" s="6" t="s">
        <v>723</v>
      </c>
      <c r="D336" s="6" t="s">
        <v>362</v>
      </c>
      <c r="E336" s="6" t="s">
        <v>3107</v>
      </c>
      <c r="F336" s="6" t="s">
        <v>4211</v>
      </c>
      <c r="G336" s="6" t="s">
        <v>3208</v>
      </c>
      <c r="H336" s="6" t="s">
        <v>3209</v>
      </c>
      <c r="I336" s="6" t="s">
        <v>3210</v>
      </c>
      <c r="J336" s="6">
        <v>1</v>
      </c>
      <c r="K336" s="6" t="s">
        <v>19</v>
      </c>
      <c r="L336" s="10">
        <v>96.657437497500013</v>
      </c>
      <c r="M336" s="6" t="s">
        <v>33</v>
      </c>
      <c r="N336" s="10">
        <f>Tabla11[[#This Row],[Price]]*Tabla11[[#This Row],[QTY Adjusted]]</f>
        <v>96.657437497500013</v>
      </c>
      <c r="O336" s="10">
        <v>96.657437497500013</v>
      </c>
      <c r="P336" s="10" t="s">
        <v>4225</v>
      </c>
      <c r="Q336" s="6">
        <v>0</v>
      </c>
    </row>
    <row r="337" spans="1:17" ht="40.200000000000003" customHeight="1" x14ac:dyDescent="0.3">
      <c r="A337" s="6">
        <v>1658</v>
      </c>
      <c r="B337" s="6" t="s">
        <v>2429</v>
      </c>
      <c r="C337" s="6" t="s">
        <v>723</v>
      </c>
      <c r="D337" s="6" t="s">
        <v>362</v>
      </c>
      <c r="E337" s="6" t="s">
        <v>3107</v>
      </c>
      <c r="F337" s="6" t="s">
        <v>4211</v>
      </c>
      <c r="G337" s="6" t="s">
        <v>3184</v>
      </c>
      <c r="H337" s="6" t="s">
        <v>3185</v>
      </c>
      <c r="I337" s="6" t="s">
        <v>3186</v>
      </c>
      <c r="J337" s="6">
        <v>2</v>
      </c>
      <c r="K337" s="6" t="s">
        <v>19</v>
      </c>
      <c r="L337" s="10">
        <v>48.078862672499994</v>
      </c>
      <c r="M337" s="6" t="s">
        <v>33</v>
      </c>
      <c r="N337" s="10">
        <f>Tabla11[[#This Row],[Price]]*Tabla11[[#This Row],[QTY Adjusted]]</f>
        <v>96.157725344999989</v>
      </c>
      <c r="O337" s="10">
        <v>96.157725344999989</v>
      </c>
      <c r="P337" s="10" t="s">
        <v>4225</v>
      </c>
      <c r="Q337" s="6">
        <v>0</v>
      </c>
    </row>
    <row r="338" spans="1:17" ht="40.200000000000003" customHeight="1" x14ac:dyDescent="0.3">
      <c r="A338" s="6">
        <v>1549</v>
      </c>
      <c r="B338" s="6" t="s">
        <v>2429</v>
      </c>
      <c r="C338" s="6" t="s">
        <v>723</v>
      </c>
      <c r="D338" s="6" t="s">
        <v>362</v>
      </c>
      <c r="E338" s="6" t="s">
        <v>2747</v>
      </c>
      <c r="F338" s="6" t="s">
        <v>4211</v>
      </c>
      <c r="G338" s="6" t="s">
        <v>2854</v>
      </c>
      <c r="H338" s="6" t="s">
        <v>2855</v>
      </c>
      <c r="I338" s="6" t="s">
        <v>2856</v>
      </c>
      <c r="J338" s="6">
        <v>12</v>
      </c>
      <c r="K338" s="6" t="s">
        <v>19</v>
      </c>
      <c r="L338" s="10">
        <v>7.8233623875000013</v>
      </c>
      <c r="M338" s="6" t="s">
        <v>33</v>
      </c>
      <c r="N338" s="10">
        <f>Tabla11[[#This Row],[Price]]*Tabla11[[#This Row],[QTY Adjusted]]</f>
        <v>93.880348650000016</v>
      </c>
      <c r="O338" s="10">
        <v>93.880348650000016</v>
      </c>
      <c r="P338" s="10" t="s">
        <v>4225</v>
      </c>
      <c r="Q338" s="6">
        <v>0</v>
      </c>
    </row>
    <row r="339" spans="1:17" ht="40.200000000000003" customHeight="1" x14ac:dyDescent="0.3">
      <c r="A339" s="6">
        <v>1580</v>
      </c>
      <c r="B339" s="6" t="s">
        <v>2429</v>
      </c>
      <c r="C339" s="6" t="s">
        <v>723</v>
      </c>
      <c r="D339" s="6" t="s">
        <v>362</v>
      </c>
      <c r="E339" s="6" t="s">
        <v>2747</v>
      </c>
      <c r="F339" s="6" t="s">
        <v>4211</v>
      </c>
      <c r="G339" s="6" t="s">
        <v>2947</v>
      </c>
      <c r="H339" s="6" t="s">
        <v>2948</v>
      </c>
      <c r="I339" s="6" t="s">
        <v>2949</v>
      </c>
      <c r="J339" s="6">
        <v>12</v>
      </c>
      <c r="K339" s="6" t="s">
        <v>19</v>
      </c>
      <c r="L339" s="10">
        <v>7.8233623875000013</v>
      </c>
      <c r="M339" s="6" t="s">
        <v>33</v>
      </c>
      <c r="N339" s="10">
        <f>Tabla11[[#This Row],[Price]]*Tabla11[[#This Row],[QTY Adjusted]]</f>
        <v>93.880348650000016</v>
      </c>
      <c r="O339" s="10">
        <v>93.880348650000016</v>
      </c>
      <c r="P339" s="10" t="s">
        <v>4225</v>
      </c>
      <c r="Q339" s="6">
        <v>0</v>
      </c>
    </row>
    <row r="340" spans="1:17" ht="40.200000000000003" customHeight="1" x14ac:dyDescent="0.3">
      <c r="A340" s="6">
        <v>1581</v>
      </c>
      <c r="B340" s="6" t="s">
        <v>2429</v>
      </c>
      <c r="C340" s="6" t="s">
        <v>723</v>
      </c>
      <c r="D340" s="6" t="s">
        <v>362</v>
      </c>
      <c r="E340" s="6" t="s">
        <v>2747</v>
      </c>
      <c r="F340" s="6" t="s">
        <v>4211</v>
      </c>
      <c r="G340" s="6" t="s">
        <v>2950</v>
      </c>
      <c r="H340" s="6" t="s">
        <v>2951</v>
      </c>
      <c r="I340" s="6" t="s">
        <v>2952</v>
      </c>
      <c r="J340" s="6">
        <v>12</v>
      </c>
      <c r="K340" s="6" t="s">
        <v>19</v>
      </c>
      <c r="L340" s="10">
        <v>7.8233623875000013</v>
      </c>
      <c r="M340" s="6" t="s">
        <v>33</v>
      </c>
      <c r="N340" s="10">
        <f>Tabla11[[#This Row],[Price]]*Tabla11[[#This Row],[QTY Adjusted]]</f>
        <v>93.880348650000016</v>
      </c>
      <c r="O340" s="10">
        <v>93.880348650000016</v>
      </c>
      <c r="P340" s="10" t="s">
        <v>4225</v>
      </c>
      <c r="Q340" s="6">
        <v>0</v>
      </c>
    </row>
    <row r="341" spans="1:17" ht="40.200000000000003" customHeight="1" x14ac:dyDescent="0.3">
      <c r="A341" s="6">
        <v>1829</v>
      </c>
      <c r="B341" s="6" t="s">
        <v>2429</v>
      </c>
      <c r="C341" s="6" t="s">
        <v>2330</v>
      </c>
      <c r="D341" s="6" t="s">
        <v>362</v>
      </c>
      <c r="E341" s="6" t="s">
        <v>3621</v>
      </c>
      <c r="F341" s="6" t="s">
        <v>4211</v>
      </c>
      <c r="G341" s="6" t="s">
        <v>3652</v>
      </c>
      <c r="H341" s="6" t="s">
        <v>3653</v>
      </c>
      <c r="I341" s="6" t="s">
        <v>3654</v>
      </c>
      <c r="J341" s="6">
        <v>12</v>
      </c>
      <c r="K341" s="6" t="s">
        <v>19</v>
      </c>
      <c r="L341" s="10">
        <v>7.7658823529411762</v>
      </c>
      <c r="M341" s="6" t="s">
        <v>33</v>
      </c>
      <c r="N341" s="10">
        <f>Tabla11[[#This Row],[Price]]*Tabla11[[#This Row],[QTY Adjusted]]</f>
        <v>93.190588235294115</v>
      </c>
      <c r="O341" s="10">
        <v>93.190588235294115</v>
      </c>
      <c r="P341" s="10" t="s">
        <v>4225</v>
      </c>
      <c r="Q341" s="6">
        <v>0</v>
      </c>
    </row>
    <row r="342" spans="1:17" ht="40.200000000000003" customHeight="1" x14ac:dyDescent="0.3">
      <c r="A342" s="6">
        <v>1448</v>
      </c>
      <c r="B342" s="6" t="s">
        <v>2429</v>
      </c>
      <c r="C342" s="6" t="s">
        <v>723</v>
      </c>
      <c r="D342" s="6" t="s">
        <v>362</v>
      </c>
      <c r="E342" s="6" t="s">
        <v>2515</v>
      </c>
      <c r="F342" s="6" t="s">
        <v>4211</v>
      </c>
      <c r="G342" s="6" t="s">
        <v>2560</v>
      </c>
      <c r="H342" s="6" t="s">
        <v>2561</v>
      </c>
      <c r="I342" s="6" t="s">
        <v>2562</v>
      </c>
      <c r="J342" s="6">
        <v>22</v>
      </c>
      <c r="K342" s="6" t="s">
        <v>19</v>
      </c>
      <c r="L342" s="10">
        <v>4.2024972824999995</v>
      </c>
      <c r="M342" s="6" t="s">
        <v>33</v>
      </c>
      <c r="N342" s="10">
        <f>Tabla11[[#This Row],[Price]]*Tabla11[[#This Row],[QTY Adjusted]]</f>
        <v>92.454940214999993</v>
      </c>
      <c r="O342" s="10">
        <v>92.454940214999993</v>
      </c>
      <c r="P342" s="10" t="s">
        <v>4225</v>
      </c>
      <c r="Q342" s="6">
        <v>0</v>
      </c>
    </row>
    <row r="343" spans="1:17" ht="40.200000000000003" customHeight="1" x14ac:dyDescent="0.3">
      <c r="A343" s="6">
        <v>1839</v>
      </c>
      <c r="B343" s="6" t="s">
        <v>2429</v>
      </c>
      <c r="C343" s="6" t="s">
        <v>2492</v>
      </c>
      <c r="D343" s="6" t="s">
        <v>178</v>
      </c>
      <c r="E343" s="6" t="s">
        <v>3621</v>
      </c>
      <c r="F343" s="6" t="s">
        <v>4211</v>
      </c>
      <c r="G343" s="6" t="s">
        <v>3679</v>
      </c>
      <c r="H343" s="6" t="s">
        <v>3680</v>
      </c>
      <c r="I343" s="6" t="s">
        <v>3681</v>
      </c>
      <c r="J343" s="6">
        <v>48</v>
      </c>
      <c r="K343" s="6" t="s">
        <v>19</v>
      </c>
      <c r="L343" s="10">
        <v>1.86</v>
      </c>
      <c r="M343" s="6" t="s">
        <v>33</v>
      </c>
      <c r="N343" s="10">
        <f>Tabla11[[#This Row],[Price]]*Tabla11[[#This Row],[QTY Adjusted]]</f>
        <v>89.28</v>
      </c>
      <c r="O343" s="10">
        <v>89.28</v>
      </c>
      <c r="P343" s="10" t="s">
        <v>4225</v>
      </c>
      <c r="Q343" s="6">
        <v>0</v>
      </c>
    </row>
    <row r="344" spans="1:17" ht="40.200000000000003" customHeight="1" x14ac:dyDescent="0.3">
      <c r="A344" s="6">
        <v>1430</v>
      </c>
      <c r="B344" s="6" t="s">
        <v>2429</v>
      </c>
      <c r="C344" s="6" t="s">
        <v>723</v>
      </c>
      <c r="D344" s="6" t="s">
        <v>362</v>
      </c>
      <c r="E344" s="6" t="s">
        <v>2430</v>
      </c>
      <c r="F344" s="6" t="s">
        <v>4211</v>
      </c>
      <c r="G344" s="6" t="s">
        <v>2508</v>
      </c>
      <c r="H344" s="6" t="s">
        <v>2509</v>
      </c>
      <c r="I344" s="6" t="s">
        <v>2507</v>
      </c>
      <c r="J344" s="6">
        <v>9</v>
      </c>
      <c r="K344" s="6" t="s">
        <v>19</v>
      </c>
      <c r="L344" s="10">
        <v>9.8795550150000011</v>
      </c>
      <c r="M344" s="6" t="s">
        <v>33</v>
      </c>
      <c r="N344" s="10">
        <f>Tabla11[[#This Row],[Price]]*Tabla11[[#This Row],[QTY Adjusted]]</f>
        <v>88.915995135000003</v>
      </c>
      <c r="O344" s="10">
        <v>88.915995135000003</v>
      </c>
      <c r="P344" s="10" t="s">
        <v>4225</v>
      </c>
      <c r="Q344" s="6">
        <v>0</v>
      </c>
    </row>
    <row r="345" spans="1:17" ht="40.200000000000003" customHeight="1" x14ac:dyDescent="0.3">
      <c r="A345" s="6">
        <v>1434</v>
      </c>
      <c r="B345" s="6" t="s">
        <v>2429</v>
      </c>
      <c r="C345" s="6" t="s">
        <v>723</v>
      </c>
      <c r="D345" s="6" t="s">
        <v>362</v>
      </c>
      <c r="E345" s="6" t="s">
        <v>2515</v>
      </c>
      <c r="F345" s="6" t="s">
        <v>4211</v>
      </c>
      <c r="G345" s="6" t="s">
        <v>2519</v>
      </c>
      <c r="H345" s="6" t="s">
        <v>2520</v>
      </c>
      <c r="I345" s="6" t="s">
        <v>2521</v>
      </c>
      <c r="J345" s="6">
        <v>14</v>
      </c>
      <c r="K345" s="6" t="s">
        <v>19</v>
      </c>
      <c r="L345" s="10">
        <v>6.3406099349999998</v>
      </c>
      <c r="M345" s="6" t="s">
        <v>33</v>
      </c>
      <c r="N345" s="10">
        <f>Tabla11[[#This Row],[Price]]*Tabla11[[#This Row],[QTY Adjusted]]</f>
        <v>88.76853908999999</v>
      </c>
      <c r="O345" s="10">
        <v>88.76853908999999</v>
      </c>
      <c r="P345" s="10" t="s">
        <v>4225</v>
      </c>
      <c r="Q345" s="6">
        <v>0</v>
      </c>
    </row>
    <row r="346" spans="1:17" ht="40.200000000000003" customHeight="1" x14ac:dyDescent="0.3">
      <c r="A346" s="6">
        <v>1423</v>
      </c>
      <c r="B346" s="6" t="s">
        <v>2429</v>
      </c>
      <c r="C346" s="6" t="s">
        <v>723</v>
      </c>
      <c r="D346" s="6" t="s">
        <v>362</v>
      </c>
      <c r="E346" s="6" t="s">
        <v>2430</v>
      </c>
      <c r="F346" s="6" t="s">
        <v>4211</v>
      </c>
      <c r="G346" s="6" t="s">
        <v>2489</v>
      </c>
      <c r="H346" s="6" t="s">
        <v>2490</v>
      </c>
      <c r="I346" s="6" t="s">
        <v>2491</v>
      </c>
      <c r="J346" s="6">
        <v>4</v>
      </c>
      <c r="K346" s="6" t="s">
        <v>19</v>
      </c>
      <c r="L346" s="10">
        <v>22.061062732499998</v>
      </c>
      <c r="M346" s="6" t="s">
        <v>33</v>
      </c>
      <c r="N346" s="10">
        <f>Tabla11[[#This Row],[Price]]*Tabla11[[#This Row],[QTY Adjusted]]</f>
        <v>88.244250929999993</v>
      </c>
      <c r="O346" s="10">
        <v>88.244250929999993</v>
      </c>
      <c r="P346" s="10" t="s">
        <v>4225</v>
      </c>
      <c r="Q346" s="6">
        <v>0</v>
      </c>
    </row>
    <row r="347" spans="1:17" ht="40.200000000000003" customHeight="1" x14ac:dyDescent="0.3">
      <c r="A347" s="6">
        <v>1776</v>
      </c>
      <c r="B347" s="6" t="s">
        <v>2429</v>
      </c>
      <c r="C347" s="6" t="s">
        <v>3503</v>
      </c>
      <c r="D347" s="6" t="s">
        <v>362</v>
      </c>
      <c r="E347" s="6" t="s">
        <v>3478</v>
      </c>
      <c r="F347" s="6" t="s">
        <v>4211</v>
      </c>
      <c r="G347" s="6" t="s">
        <v>3504</v>
      </c>
      <c r="H347" s="6" t="s">
        <v>3505</v>
      </c>
      <c r="I347" s="6" t="s">
        <v>3505</v>
      </c>
      <c r="J347" s="6">
        <v>7</v>
      </c>
      <c r="K347" s="6" t="s">
        <v>19</v>
      </c>
      <c r="L347" s="10">
        <v>12.486970588235293</v>
      </c>
      <c r="M347" s="6" t="s">
        <v>33</v>
      </c>
      <c r="N347" s="10">
        <f>Tabla11[[#This Row],[Price]]*Tabla11[[#This Row],[QTY Adjusted]]</f>
        <v>87.408794117647048</v>
      </c>
      <c r="O347" s="10">
        <v>87.408794117647048</v>
      </c>
      <c r="P347" s="10" t="s">
        <v>4225</v>
      </c>
      <c r="Q347" s="6">
        <v>0</v>
      </c>
    </row>
    <row r="348" spans="1:17" ht="40.200000000000003" customHeight="1" x14ac:dyDescent="0.3">
      <c r="A348" s="6">
        <v>1667</v>
      </c>
      <c r="B348" s="6" t="s">
        <v>2429</v>
      </c>
      <c r="C348" s="6" t="s">
        <v>723</v>
      </c>
      <c r="D348" s="6" t="s">
        <v>362</v>
      </c>
      <c r="E348" s="6" t="s">
        <v>3107</v>
      </c>
      <c r="F348" s="6" t="s">
        <v>4211</v>
      </c>
      <c r="G348" s="6" t="s">
        <v>3202</v>
      </c>
      <c r="H348" s="6" t="s">
        <v>3203</v>
      </c>
      <c r="I348" s="6" t="s">
        <v>3204</v>
      </c>
      <c r="J348" s="6">
        <v>4</v>
      </c>
      <c r="K348" s="6" t="s">
        <v>19</v>
      </c>
      <c r="L348" s="10">
        <v>21.7333826325</v>
      </c>
      <c r="M348" s="6" t="s">
        <v>33</v>
      </c>
      <c r="N348" s="10">
        <f>Tabla11[[#This Row],[Price]]*Tabla11[[#This Row],[QTY Adjusted]]</f>
        <v>86.933530529999999</v>
      </c>
      <c r="O348" s="10">
        <v>86.933530529999999</v>
      </c>
      <c r="P348" s="10" t="s">
        <v>4225</v>
      </c>
      <c r="Q348" s="6">
        <v>0</v>
      </c>
    </row>
    <row r="349" spans="1:17" ht="40.200000000000003" customHeight="1" x14ac:dyDescent="0.3">
      <c r="A349" s="6">
        <v>1728</v>
      </c>
      <c r="B349" s="6" t="s">
        <v>2429</v>
      </c>
      <c r="C349" s="6" t="s">
        <v>723</v>
      </c>
      <c r="D349" s="6" t="s">
        <v>362</v>
      </c>
      <c r="E349" s="6" t="s">
        <v>3325</v>
      </c>
      <c r="F349" s="6" t="s">
        <v>4211</v>
      </c>
      <c r="G349" s="6" t="s">
        <v>3371</v>
      </c>
      <c r="H349" s="6" t="s">
        <v>3372</v>
      </c>
      <c r="I349" s="6" t="s">
        <v>3373</v>
      </c>
      <c r="J349" s="6">
        <v>6</v>
      </c>
      <c r="K349" s="6" t="s">
        <v>19</v>
      </c>
      <c r="L349" s="10">
        <v>14.327812372499999</v>
      </c>
      <c r="M349" s="6" t="s">
        <v>33</v>
      </c>
      <c r="N349" s="10">
        <f>Tabla11[[#This Row],[Price]]*Tabla11[[#This Row],[QTY Adjusted]]</f>
        <v>85.966874234999992</v>
      </c>
      <c r="O349" s="10">
        <v>85.966874234999992</v>
      </c>
      <c r="P349" s="10" t="s">
        <v>4225</v>
      </c>
      <c r="Q349" s="6">
        <v>0</v>
      </c>
    </row>
    <row r="350" spans="1:17" ht="40.200000000000003" customHeight="1" x14ac:dyDescent="0.3">
      <c r="A350" s="6">
        <v>1636</v>
      </c>
      <c r="B350" s="6" t="s">
        <v>2429</v>
      </c>
      <c r="C350" s="6" t="s">
        <v>723</v>
      </c>
      <c r="D350" s="6" t="s">
        <v>362</v>
      </c>
      <c r="E350" s="6" t="s">
        <v>3107</v>
      </c>
      <c r="F350" s="6" t="s">
        <v>4211</v>
      </c>
      <c r="G350" s="6" t="s">
        <v>3119</v>
      </c>
      <c r="H350" s="6" t="s">
        <v>3120</v>
      </c>
      <c r="I350" s="6" t="s">
        <v>3121</v>
      </c>
      <c r="J350" s="6">
        <v>10</v>
      </c>
      <c r="K350" s="6" t="s">
        <v>19</v>
      </c>
      <c r="L350" s="10">
        <v>8.3968025624999996</v>
      </c>
      <c r="M350" s="6" t="s">
        <v>33</v>
      </c>
      <c r="N350" s="10">
        <f>Tabla11[[#This Row],[Price]]*Tabla11[[#This Row],[QTY Adjusted]]</f>
        <v>83.968025624999996</v>
      </c>
      <c r="O350" s="10">
        <v>83.968025624999996</v>
      </c>
      <c r="P350" s="10" t="s">
        <v>4225</v>
      </c>
      <c r="Q350" s="6">
        <v>0</v>
      </c>
    </row>
    <row r="351" spans="1:17" ht="40.200000000000003" customHeight="1" x14ac:dyDescent="0.3">
      <c r="A351" s="6">
        <v>1428</v>
      </c>
      <c r="B351" s="6" t="s">
        <v>2429</v>
      </c>
      <c r="C351" s="6" t="s">
        <v>723</v>
      </c>
      <c r="D351" s="6" t="s">
        <v>362</v>
      </c>
      <c r="E351" s="6" t="s">
        <v>2430</v>
      </c>
      <c r="F351" s="6" t="s">
        <v>4211</v>
      </c>
      <c r="G351" s="6" t="s">
        <v>2503</v>
      </c>
      <c r="H351" s="6" t="s">
        <v>2504</v>
      </c>
      <c r="I351" s="6" t="s">
        <v>2500</v>
      </c>
      <c r="J351" s="6">
        <v>3</v>
      </c>
      <c r="K351" s="6" t="s">
        <v>19</v>
      </c>
      <c r="L351" s="10">
        <v>27.828232492499996</v>
      </c>
      <c r="M351" s="6" t="s">
        <v>33</v>
      </c>
      <c r="N351" s="10">
        <f>Tabla11[[#This Row],[Price]]*Tabla11[[#This Row],[QTY Adjusted]]</f>
        <v>83.484697477499992</v>
      </c>
      <c r="O351" s="10">
        <v>83.484697477499992</v>
      </c>
      <c r="P351" s="10" t="s">
        <v>4225</v>
      </c>
      <c r="Q351" s="6">
        <v>0</v>
      </c>
    </row>
    <row r="352" spans="1:17" ht="40.200000000000003" customHeight="1" x14ac:dyDescent="0.3">
      <c r="A352" s="6">
        <v>1542</v>
      </c>
      <c r="B352" s="6" t="s">
        <v>2429</v>
      </c>
      <c r="C352" s="6" t="s">
        <v>723</v>
      </c>
      <c r="D352" s="6" t="s">
        <v>362</v>
      </c>
      <c r="E352" s="6" t="s">
        <v>2747</v>
      </c>
      <c r="F352" s="6" t="s">
        <v>4211</v>
      </c>
      <c r="G352" s="6" t="s">
        <v>2833</v>
      </c>
      <c r="H352" s="6" t="s">
        <v>2834</v>
      </c>
      <c r="I352" s="6" t="s">
        <v>2835</v>
      </c>
      <c r="J352" s="6">
        <v>12</v>
      </c>
      <c r="K352" s="6" t="s">
        <v>19</v>
      </c>
      <c r="L352" s="10">
        <v>6.8321300849999993</v>
      </c>
      <c r="M352" s="6" t="s">
        <v>33</v>
      </c>
      <c r="N352" s="10">
        <f>Tabla11[[#This Row],[Price]]*Tabla11[[#This Row],[QTY Adjusted]]</f>
        <v>81.985561019999992</v>
      </c>
      <c r="O352" s="10">
        <v>81.985561019999992</v>
      </c>
      <c r="P352" s="10" t="s">
        <v>4225</v>
      </c>
      <c r="Q352" s="6">
        <v>0</v>
      </c>
    </row>
    <row r="353" spans="1:17" ht="40.200000000000003" customHeight="1" x14ac:dyDescent="0.3">
      <c r="A353" s="6">
        <v>1620</v>
      </c>
      <c r="B353" s="6" t="s">
        <v>2429</v>
      </c>
      <c r="C353" s="6" t="s">
        <v>3062</v>
      </c>
      <c r="D353" s="6" t="s">
        <v>362</v>
      </c>
      <c r="E353" s="6" t="s">
        <v>2999</v>
      </c>
      <c r="F353" s="6" t="s">
        <v>4211</v>
      </c>
      <c r="G353" s="6" t="s">
        <v>3069</v>
      </c>
      <c r="H353" s="6" t="s">
        <v>3070</v>
      </c>
      <c r="I353" s="6" t="s">
        <v>3071</v>
      </c>
      <c r="J353" s="6">
        <v>6</v>
      </c>
      <c r="K353" s="6" t="s">
        <v>19</v>
      </c>
      <c r="L353" s="10">
        <v>13.64</v>
      </c>
      <c r="M353" s="6" t="s">
        <v>33</v>
      </c>
      <c r="N353" s="10">
        <f>Tabla11[[#This Row],[Price]]*Tabla11[[#This Row],[QTY Adjusted]]</f>
        <v>81.84</v>
      </c>
      <c r="O353" s="10">
        <v>81.84</v>
      </c>
      <c r="P353" s="10" t="s">
        <v>4225</v>
      </c>
      <c r="Q353" s="6">
        <v>0</v>
      </c>
    </row>
    <row r="354" spans="1:17" ht="40.200000000000003" customHeight="1" x14ac:dyDescent="0.3">
      <c r="A354" s="6">
        <v>1606</v>
      </c>
      <c r="B354" s="6" t="s">
        <v>2429</v>
      </c>
      <c r="C354" s="6" t="s">
        <v>3023</v>
      </c>
      <c r="D354" s="6" t="s">
        <v>362</v>
      </c>
      <c r="E354" s="6" t="s">
        <v>2999</v>
      </c>
      <c r="F354" s="6" t="s">
        <v>4211</v>
      </c>
      <c r="G354" s="6" t="s">
        <v>3027</v>
      </c>
      <c r="H354" s="6" t="s">
        <v>3028</v>
      </c>
      <c r="I354" s="6" t="s">
        <v>3029</v>
      </c>
      <c r="J354" s="6">
        <v>1</v>
      </c>
      <c r="K354" s="6" t="s">
        <v>19</v>
      </c>
      <c r="L354" s="10">
        <v>81.739999999999995</v>
      </c>
      <c r="M354" s="6" t="s">
        <v>33</v>
      </c>
      <c r="N354" s="10">
        <f>Tabla11[[#This Row],[Price]]*Tabla11[[#This Row],[QTY Adjusted]]</f>
        <v>81.739999999999995</v>
      </c>
      <c r="O354" s="10">
        <v>81.739999999999995</v>
      </c>
      <c r="P354" s="10" t="s">
        <v>4225</v>
      </c>
      <c r="Q354" s="6">
        <v>0</v>
      </c>
    </row>
    <row r="355" spans="1:17" ht="40.200000000000003" customHeight="1" x14ac:dyDescent="0.3">
      <c r="A355" s="6">
        <v>1514</v>
      </c>
      <c r="B355" s="6" t="s">
        <v>2429</v>
      </c>
      <c r="C355" s="6" t="s">
        <v>723</v>
      </c>
      <c r="D355" s="6" t="s">
        <v>362</v>
      </c>
      <c r="E355" s="6" t="s">
        <v>2747</v>
      </c>
      <c r="F355" s="6" t="s">
        <v>4211</v>
      </c>
      <c r="G355" s="6" t="s">
        <v>2757</v>
      </c>
      <c r="H355" s="6" t="s">
        <v>2758</v>
      </c>
      <c r="I355" s="6" t="s">
        <v>2756</v>
      </c>
      <c r="J355" s="6">
        <v>20</v>
      </c>
      <c r="K355" s="6" t="s">
        <v>19</v>
      </c>
      <c r="L355" s="10">
        <v>4.0304652300000008</v>
      </c>
      <c r="M355" s="6" t="s">
        <v>33</v>
      </c>
      <c r="N355" s="10">
        <f>Tabla11[[#This Row],[Price]]*Tabla11[[#This Row],[QTY Adjusted]]</f>
        <v>80.609304600000016</v>
      </c>
      <c r="O355" s="10">
        <v>80.609304600000016</v>
      </c>
      <c r="P355" s="10" t="s">
        <v>4225</v>
      </c>
      <c r="Q355" s="6">
        <v>0</v>
      </c>
    </row>
    <row r="356" spans="1:17" ht="40.200000000000003" customHeight="1" x14ac:dyDescent="0.3">
      <c r="A356" s="6">
        <v>1678</v>
      </c>
      <c r="B356" s="6" t="s">
        <v>2429</v>
      </c>
      <c r="C356" s="6" t="s">
        <v>723</v>
      </c>
      <c r="D356" s="6" t="s">
        <v>362</v>
      </c>
      <c r="E356" s="6" t="s">
        <v>3107</v>
      </c>
      <c r="F356" s="6" t="s">
        <v>4211</v>
      </c>
      <c r="G356" s="6" t="s">
        <v>3227</v>
      </c>
      <c r="H356" s="6" t="s">
        <v>3228</v>
      </c>
      <c r="I356" s="6" t="s">
        <v>3229</v>
      </c>
      <c r="J356" s="6">
        <v>12</v>
      </c>
      <c r="K356" s="6" t="s">
        <v>19</v>
      </c>
      <c r="L356" s="10">
        <v>6.6682900349999992</v>
      </c>
      <c r="M356" s="6" t="s">
        <v>33</v>
      </c>
      <c r="N356" s="10">
        <f>Tabla11[[#This Row],[Price]]*Tabla11[[#This Row],[QTY Adjusted]]</f>
        <v>80.019480419999994</v>
      </c>
      <c r="O356" s="10">
        <v>80.019480419999994</v>
      </c>
      <c r="P356" s="10" t="s">
        <v>4225</v>
      </c>
      <c r="Q356" s="6">
        <v>0</v>
      </c>
    </row>
    <row r="357" spans="1:17" ht="40.200000000000003" customHeight="1" x14ac:dyDescent="0.3">
      <c r="A357" s="6">
        <v>1453</v>
      </c>
      <c r="B357" s="6" t="s">
        <v>2429</v>
      </c>
      <c r="C357" s="6" t="s">
        <v>723</v>
      </c>
      <c r="D357" s="6" t="s">
        <v>362</v>
      </c>
      <c r="E357" s="6" t="s">
        <v>2515</v>
      </c>
      <c r="F357" s="6" t="s">
        <v>4211</v>
      </c>
      <c r="G357" s="6" t="s">
        <v>2575</v>
      </c>
      <c r="H357" s="6" t="s">
        <v>2576</v>
      </c>
      <c r="I357" s="6" t="s">
        <v>2577</v>
      </c>
      <c r="J357" s="6">
        <v>24</v>
      </c>
      <c r="K357" s="6" t="s">
        <v>19</v>
      </c>
      <c r="L357" s="10">
        <v>3.2931850049999989</v>
      </c>
      <c r="M357" s="6" t="s">
        <v>33</v>
      </c>
      <c r="N357" s="10">
        <f>Tabla11[[#This Row],[Price]]*Tabla11[[#This Row],[QTY Adjusted]]</f>
        <v>79.03644011999998</v>
      </c>
      <c r="O357" s="10">
        <v>79.03644011999998</v>
      </c>
      <c r="P357" s="10" t="s">
        <v>4225</v>
      </c>
      <c r="Q357" s="6">
        <v>0</v>
      </c>
    </row>
    <row r="358" spans="1:17" ht="40.200000000000003" customHeight="1" x14ac:dyDescent="0.3">
      <c r="A358" s="6">
        <v>1408</v>
      </c>
      <c r="B358" s="6" t="s">
        <v>2429</v>
      </c>
      <c r="C358" s="6" t="s">
        <v>723</v>
      </c>
      <c r="D358" s="6" t="s">
        <v>362</v>
      </c>
      <c r="E358" s="6" t="s">
        <v>2430</v>
      </c>
      <c r="F358" s="6" t="s">
        <v>4211</v>
      </c>
      <c r="G358" s="6" t="s">
        <v>2449</v>
      </c>
      <c r="H358" s="6" t="s">
        <v>2450</v>
      </c>
      <c r="I358" s="6" t="s">
        <v>2451</v>
      </c>
      <c r="J358" s="6">
        <v>10</v>
      </c>
      <c r="K358" s="6" t="s">
        <v>19</v>
      </c>
      <c r="L358" s="10">
        <v>7.8233623875000013</v>
      </c>
      <c r="M358" s="6" t="s">
        <v>33</v>
      </c>
      <c r="N358" s="10">
        <f>Tabla11[[#This Row],[Price]]*Tabla11[[#This Row],[QTY Adjusted]]</f>
        <v>78.233623875000006</v>
      </c>
      <c r="O358" s="10">
        <v>78.233623875000006</v>
      </c>
      <c r="P358" s="10" t="s">
        <v>4225</v>
      </c>
      <c r="Q358" s="6">
        <v>0</v>
      </c>
    </row>
    <row r="359" spans="1:17" ht="40.200000000000003" customHeight="1" x14ac:dyDescent="0.3">
      <c r="A359" s="6">
        <v>1438</v>
      </c>
      <c r="B359" s="6" t="s">
        <v>2429</v>
      </c>
      <c r="C359" s="6" t="s">
        <v>723</v>
      </c>
      <c r="D359" s="6" t="s">
        <v>362</v>
      </c>
      <c r="E359" s="6" t="s">
        <v>2515</v>
      </c>
      <c r="F359" s="6" t="s">
        <v>4211</v>
      </c>
      <c r="G359" s="6" t="s">
        <v>2531</v>
      </c>
      <c r="H359" s="6" t="s">
        <v>2532</v>
      </c>
      <c r="I359" s="6" t="s">
        <v>2533</v>
      </c>
      <c r="J359" s="6">
        <v>12</v>
      </c>
      <c r="K359" s="6" t="s">
        <v>19</v>
      </c>
      <c r="L359" s="10">
        <v>6.5044499849999999</v>
      </c>
      <c r="M359" s="6" t="s">
        <v>33</v>
      </c>
      <c r="N359" s="10">
        <f>Tabla11[[#This Row],[Price]]*Tabla11[[#This Row],[QTY Adjusted]]</f>
        <v>78.053399819999996</v>
      </c>
      <c r="O359" s="10">
        <v>78.053399819999996</v>
      </c>
      <c r="P359" s="10" t="s">
        <v>4225</v>
      </c>
      <c r="Q359" s="6">
        <v>0</v>
      </c>
    </row>
    <row r="360" spans="1:17" ht="40.200000000000003" customHeight="1" x14ac:dyDescent="0.3">
      <c r="A360" s="6">
        <v>1539</v>
      </c>
      <c r="B360" s="6" t="s">
        <v>2429</v>
      </c>
      <c r="C360" s="6" t="s">
        <v>723</v>
      </c>
      <c r="D360" s="6" t="s">
        <v>362</v>
      </c>
      <c r="E360" s="6" t="s">
        <v>2747</v>
      </c>
      <c r="F360" s="6" t="s">
        <v>4211</v>
      </c>
      <c r="G360" s="6" t="s">
        <v>2824</v>
      </c>
      <c r="H360" s="6" t="s">
        <v>2825</v>
      </c>
      <c r="I360" s="6" t="s">
        <v>2826</v>
      </c>
      <c r="J360" s="6">
        <v>24</v>
      </c>
      <c r="K360" s="6" t="s">
        <v>19</v>
      </c>
      <c r="L360" s="10">
        <v>3.2112649799999997</v>
      </c>
      <c r="M360" s="6" t="s">
        <v>33</v>
      </c>
      <c r="N360" s="10">
        <f>Tabla11[[#This Row],[Price]]*Tabla11[[#This Row],[QTY Adjusted]]</f>
        <v>77.070359519999997</v>
      </c>
      <c r="O360" s="10">
        <v>77.070359519999997</v>
      </c>
      <c r="P360" s="10" t="s">
        <v>4225</v>
      </c>
      <c r="Q360" s="6">
        <v>0</v>
      </c>
    </row>
    <row r="361" spans="1:17" ht="40.200000000000003" customHeight="1" x14ac:dyDescent="0.3">
      <c r="A361" s="6">
        <v>1481</v>
      </c>
      <c r="B361" s="6" t="s">
        <v>2429</v>
      </c>
      <c r="C361" s="6" t="s">
        <v>723</v>
      </c>
      <c r="D361" s="6" t="s">
        <v>362</v>
      </c>
      <c r="E361" s="6" t="s">
        <v>2584</v>
      </c>
      <c r="F361" s="6" t="s">
        <v>4211</v>
      </c>
      <c r="G361" s="6" t="s">
        <v>2659</v>
      </c>
      <c r="H361" s="6" t="s">
        <v>2660</v>
      </c>
      <c r="I361" s="6" t="s">
        <v>2661</v>
      </c>
      <c r="J361" s="6">
        <v>8</v>
      </c>
      <c r="K361" s="6" t="s">
        <v>19</v>
      </c>
      <c r="L361" s="10">
        <v>7.6595223374999994</v>
      </c>
      <c r="M361" s="6" t="s">
        <v>33</v>
      </c>
      <c r="N361" s="10">
        <f>Tabla11[[#This Row],[Price]]*Tabla11[[#This Row],[QTY Adjusted]]</f>
        <v>61.276178699999996</v>
      </c>
      <c r="O361" s="10">
        <v>61.276178699999996</v>
      </c>
      <c r="P361" s="10" t="s">
        <v>4225</v>
      </c>
      <c r="Q361" s="6">
        <v>0</v>
      </c>
    </row>
    <row r="362" spans="1:17" ht="40.200000000000003" customHeight="1" x14ac:dyDescent="0.3">
      <c r="A362" s="6">
        <v>1413</v>
      </c>
      <c r="B362" s="6" t="s">
        <v>2429</v>
      </c>
      <c r="C362" s="6" t="s">
        <v>723</v>
      </c>
      <c r="D362" s="6" t="s">
        <v>362</v>
      </c>
      <c r="E362" s="6" t="s">
        <v>2430</v>
      </c>
      <c r="F362" s="6" t="s">
        <v>4211</v>
      </c>
      <c r="G362" s="6" t="s">
        <v>2461</v>
      </c>
      <c r="H362" s="6" t="s">
        <v>2462</v>
      </c>
      <c r="I362" s="6" t="s">
        <v>2463</v>
      </c>
      <c r="J362" s="6">
        <v>4</v>
      </c>
      <c r="K362" s="6" t="s">
        <v>19</v>
      </c>
      <c r="L362" s="10">
        <v>15.310852672500003</v>
      </c>
      <c r="M362" s="6" t="s">
        <v>33</v>
      </c>
      <c r="N362" s="10">
        <f>Tabla11[[#This Row],[Price]]*Tabla11[[#This Row],[QTY Adjusted]]</f>
        <v>61.243410690000012</v>
      </c>
      <c r="O362" s="10">
        <v>61.243410690000012</v>
      </c>
      <c r="P362" s="10" t="s">
        <v>4225</v>
      </c>
      <c r="Q362" s="6">
        <v>0</v>
      </c>
    </row>
    <row r="363" spans="1:17" ht="40.200000000000003" customHeight="1" x14ac:dyDescent="0.3">
      <c r="A363" s="6">
        <v>1548</v>
      </c>
      <c r="B363" s="6" t="s">
        <v>2429</v>
      </c>
      <c r="C363" s="6" t="s">
        <v>723</v>
      </c>
      <c r="D363" s="6" t="s">
        <v>362</v>
      </c>
      <c r="E363" s="6" t="s">
        <v>2747</v>
      </c>
      <c r="F363" s="6" t="s">
        <v>4211</v>
      </c>
      <c r="G363" s="6" t="s">
        <v>2851</v>
      </c>
      <c r="H363" s="6" t="s">
        <v>2852</v>
      </c>
      <c r="I363" s="6" t="s">
        <v>2853</v>
      </c>
      <c r="J363" s="6">
        <v>12</v>
      </c>
      <c r="K363" s="6" t="s">
        <v>19</v>
      </c>
      <c r="L363" s="10">
        <v>6.2586899099999993</v>
      </c>
      <c r="M363" s="6" t="s">
        <v>33</v>
      </c>
      <c r="N363" s="10">
        <f>Tabla11[[#This Row],[Price]]*Tabla11[[#This Row],[QTY Adjusted]]</f>
        <v>75.104278919999985</v>
      </c>
      <c r="O363" s="10">
        <v>75.104278919999985</v>
      </c>
      <c r="P363" s="10" t="s">
        <v>4225</v>
      </c>
      <c r="Q363" s="6">
        <v>0</v>
      </c>
    </row>
    <row r="364" spans="1:17" ht="40.200000000000003" customHeight="1" x14ac:dyDescent="0.3">
      <c r="A364" s="6">
        <v>1490</v>
      </c>
      <c r="B364" s="6" t="s">
        <v>2429</v>
      </c>
      <c r="C364" s="6" t="s">
        <v>723</v>
      </c>
      <c r="D364" s="6" t="s">
        <v>362</v>
      </c>
      <c r="E364" s="6" t="s">
        <v>2584</v>
      </c>
      <c r="F364" s="6" t="s">
        <v>4211</v>
      </c>
      <c r="G364" s="6" t="s">
        <v>2686</v>
      </c>
      <c r="H364" s="6" t="s">
        <v>2687</v>
      </c>
      <c r="I364" s="6" t="s">
        <v>2688</v>
      </c>
      <c r="J364" s="6">
        <v>1</v>
      </c>
      <c r="K364" s="6" t="s">
        <v>19</v>
      </c>
      <c r="L364" s="10">
        <v>73.768982512499989</v>
      </c>
      <c r="M364" s="6" t="s">
        <v>33</v>
      </c>
      <c r="N364" s="10">
        <f>Tabla11[[#This Row],[Price]]*Tabla11[[#This Row],[QTY Adjusted]]</f>
        <v>73.768982512499989</v>
      </c>
      <c r="O364" s="10">
        <v>73.768982512499989</v>
      </c>
      <c r="P364" s="10" t="s">
        <v>4225</v>
      </c>
      <c r="Q364" s="6">
        <v>0</v>
      </c>
    </row>
    <row r="365" spans="1:17" ht="40.200000000000003" customHeight="1" x14ac:dyDescent="0.3">
      <c r="A365" s="6">
        <v>1503</v>
      </c>
      <c r="B365" s="6" t="s">
        <v>2429</v>
      </c>
      <c r="C365" s="6" t="s">
        <v>723</v>
      </c>
      <c r="D365" s="6" t="s">
        <v>362</v>
      </c>
      <c r="E365" s="6" t="s">
        <v>2584</v>
      </c>
      <c r="F365" s="6" t="s">
        <v>4211</v>
      </c>
      <c r="G365" s="6" t="s">
        <v>2724</v>
      </c>
      <c r="H365" s="6" t="s">
        <v>2725</v>
      </c>
      <c r="I365" s="6" t="s">
        <v>2721</v>
      </c>
      <c r="J365" s="6">
        <v>5</v>
      </c>
      <c r="K365" s="6" t="s">
        <v>19</v>
      </c>
      <c r="L365" s="10">
        <v>10.452995189999999</v>
      </c>
      <c r="M365" s="6" t="s">
        <v>33</v>
      </c>
      <c r="N365" s="10">
        <f>Tabla11[[#This Row],[Price]]*Tabla11[[#This Row],[QTY Adjusted]]</f>
        <v>52.264975949999993</v>
      </c>
      <c r="O365" s="10">
        <v>52.264975949999993</v>
      </c>
      <c r="P365" s="10" t="s">
        <v>4225</v>
      </c>
      <c r="Q365" s="6">
        <v>0</v>
      </c>
    </row>
    <row r="366" spans="1:17" ht="40.200000000000003" customHeight="1" x14ac:dyDescent="0.3">
      <c r="A366" s="6">
        <v>1595</v>
      </c>
      <c r="B366" s="6" t="s">
        <v>2429</v>
      </c>
      <c r="C366" s="6" t="s">
        <v>723</v>
      </c>
      <c r="D366" s="6" t="s">
        <v>362</v>
      </c>
      <c r="E366" s="6" t="s">
        <v>2747</v>
      </c>
      <c r="F366" s="6" t="s">
        <v>4211</v>
      </c>
      <c r="G366" s="6" t="s">
        <v>2989</v>
      </c>
      <c r="H366" s="6" t="s">
        <v>2990</v>
      </c>
      <c r="I366" s="6" t="s">
        <v>2991</v>
      </c>
      <c r="J366" s="6">
        <v>2</v>
      </c>
      <c r="K366" s="6" t="s">
        <v>19</v>
      </c>
      <c r="L366" s="10">
        <v>35.48775483</v>
      </c>
      <c r="M366" s="6" t="s">
        <v>33</v>
      </c>
      <c r="N366" s="10">
        <f>Tabla11[[#This Row],[Price]]*Tabla11[[#This Row],[QTY Adjusted]]</f>
        <v>70.97550966</v>
      </c>
      <c r="O366" s="10">
        <v>70.97550966</v>
      </c>
      <c r="P366" s="10" t="s">
        <v>4225</v>
      </c>
      <c r="Q366" s="6">
        <v>0</v>
      </c>
    </row>
    <row r="367" spans="1:17" ht="40.200000000000003" customHeight="1" x14ac:dyDescent="0.3">
      <c r="A367" s="6">
        <v>1451</v>
      </c>
      <c r="B367" s="6" t="s">
        <v>2429</v>
      </c>
      <c r="C367" s="6" t="s">
        <v>723</v>
      </c>
      <c r="D367" s="6" t="s">
        <v>362</v>
      </c>
      <c r="E367" s="6" t="s">
        <v>2515</v>
      </c>
      <c r="F367" s="6" t="s">
        <v>4211</v>
      </c>
      <c r="G367" s="6" t="s">
        <v>2569</v>
      </c>
      <c r="H367" s="6" t="s">
        <v>2570</v>
      </c>
      <c r="I367" s="6" t="s">
        <v>2571</v>
      </c>
      <c r="J367" s="6">
        <v>22</v>
      </c>
      <c r="K367" s="6" t="s">
        <v>19</v>
      </c>
      <c r="L367" s="10">
        <v>3.1293449549999997</v>
      </c>
      <c r="M367" s="6" t="s">
        <v>33</v>
      </c>
      <c r="N367" s="10">
        <f>Tabla11[[#This Row],[Price]]*Tabla11[[#This Row],[QTY Adjusted]]</f>
        <v>68.845589009999998</v>
      </c>
      <c r="O367" s="10">
        <v>68.845589009999998</v>
      </c>
      <c r="P367" s="10" t="s">
        <v>4225</v>
      </c>
      <c r="Q367" s="6">
        <v>0</v>
      </c>
    </row>
    <row r="368" spans="1:17" ht="40.200000000000003" customHeight="1" x14ac:dyDescent="0.3">
      <c r="A368" s="6">
        <v>1435</v>
      </c>
      <c r="B368" s="6" t="s">
        <v>2429</v>
      </c>
      <c r="C368" s="6" t="s">
        <v>723</v>
      </c>
      <c r="D368" s="6" t="s">
        <v>362</v>
      </c>
      <c r="E368" s="6" t="s">
        <v>2515</v>
      </c>
      <c r="F368" s="6" t="s">
        <v>4211</v>
      </c>
      <c r="G368" s="6" t="s">
        <v>2522</v>
      </c>
      <c r="H368" s="6" t="s">
        <v>2523</v>
      </c>
      <c r="I368" s="6" t="s">
        <v>2524</v>
      </c>
      <c r="J368" s="6">
        <v>10</v>
      </c>
      <c r="K368" s="6" t="s">
        <v>19</v>
      </c>
      <c r="L368" s="10">
        <v>4.7759374574999995</v>
      </c>
      <c r="M368" s="6" t="s">
        <v>33</v>
      </c>
      <c r="N368" s="10">
        <f>Tabla11[[#This Row],[Price]]*Tabla11[[#This Row],[QTY Adjusted]]</f>
        <v>47.759374574999995</v>
      </c>
      <c r="O368" s="10">
        <v>47.759374574999995</v>
      </c>
      <c r="P368" s="10" t="s">
        <v>4225</v>
      </c>
      <c r="Q368" s="6">
        <v>0</v>
      </c>
    </row>
    <row r="369" spans="1:17" ht="40.200000000000003" customHeight="1" x14ac:dyDescent="0.3">
      <c r="A369" s="6">
        <v>1727</v>
      </c>
      <c r="B369" s="6" t="s">
        <v>2429</v>
      </c>
      <c r="C369" s="6" t="s">
        <v>723</v>
      </c>
      <c r="D369" s="6" t="s">
        <v>362</v>
      </c>
      <c r="E369" s="6" t="s">
        <v>3325</v>
      </c>
      <c r="F369" s="6" t="s">
        <v>4211</v>
      </c>
      <c r="G369" s="6" t="s">
        <v>3368</v>
      </c>
      <c r="H369" s="6" t="s">
        <v>3369</v>
      </c>
      <c r="I369" s="6" t="s">
        <v>3370</v>
      </c>
      <c r="J369" s="6">
        <v>6</v>
      </c>
      <c r="K369" s="6" t="s">
        <v>19</v>
      </c>
      <c r="L369" s="10">
        <v>11.116547392499999</v>
      </c>
      <c r="M369" s="6" t="s">
        <v>33</v>
      </c>
      <c r="N369" s="10">
        <f>Tabla11[[#This Row],[Price]]*Tabla11[[#This Row],[QTY Adjusted]]</f>
        <v>66.699284355000003</v>
      </c>
      <c r="O369" s="10">
        <v>66.699284355000003</v>
      </c>
      <c r="P369" s="10" t="s">
        <v>4225</v>
      </c>
      <c r="Q369" s="6">
        <v>0</v>
      </c>
    </row>
    <row r="370" spans="1:17" ht="40.200000000000003" customHeight="1" x14ac:dyDescent="0.3">
      <c r="A370" s="6">
        <v>1680</v>
      </c>
      <c r="B370" s="6" t="s">
        <v>2429</v>
      </c>
      <c r="C370" s="6" t="s">
        <v>723</v>
      </c>
      <c r="D370" s="6" t="s">
        <v>362</v>
      </c>
      <c r="E370" s="6" t="s">
        <v>3107</v>
      </c>
      <c r="F370" s="6" t="s">
        <v>4211</v>
      </c>
      <c r="G370" s="6" t="s">
        <v>3233</v>
      </c>
      <c r="H370" s="6" t="s">
        <v>3234</v>
      </c>
      <c r="I370" s="6" t="s">
        <v>3235</v>
      </c>
      <c r="J370" s="6">
        <v>2</v>
      </c>
      <c r="K370" s="6" t="s">
        <v>19</v>
      </c>
      <c r="L370" s="10">
        <v>33.341450175000006</v>
      </c>
      <c r="M370" s="6" t="s">
        <v>33</v>
      </c>
      <c r="N370" s="10">
        <f>Tabla11[[#This Row],[Price]]*Tabla11[[#This Row],[QTY Adjusted]]</f>
        <v>66.682900350000011</v>
      </c>
      <c r="O370" s="10">
        <v>66.682900350000011</v>
      </c>
      <c r="P370" s="10" t="s">
        <v>4225</v>
      </c>
      <c r="Q370" s="6">
        <v>0</v>
      </c>
    </row>
    <row r="371" spans="1:17" ht="40.200000000000003" customHeight="1" x14ac:dyDescent="0.3">
      <c r="A371" s="6">
        <v>1464</v>
      </c>
      <c r="B371" s="6" t="s">
        <v>2429</v>
      </c>
      <c r="C371" s="6" t="s">
        <v>723</v>
      </c>
      <c r="D371" s="6" t="s">
        <v>362</v>
      </c>
      <c r="E371" s="6" t="s">
        <v>2584</v>
      </c>
      <c r="F371" s="6" t="s">
        <v>4211</v>
      </c>
      <c r="G371" s="6" t="s">
        <v>2608</v>
      </c>
      <c r="H371" s="6" t="s">
        <v>2609</v>
      </c>
      <c r="I371" s="6" t="s">
        <v>2610</v>
      </c>
      <c r="J371" s="6">
        <v>3</v>
      </c>
      <c r="K371" s="6" t="s">
        <v>19</v>
      </c>
      <c r="L371" s="10">
        <v>21.7333826325</v>
      </c>
      <c r="M371" s="6" t="s">
        <v>33</v>
      </c>
      <c r="N371" s="10">
        <f>Tabla11[[#This Row],[Price]]*Tabla11[[#This Row],[QTY Adjusted]]</f>
        <v>65.200147897500003</v>
      </c>
      <c r="O371" s="10">
        <v>65.200147897500003</v>
      </c>
      <c r="P371" s="10" t="s">
        <v>4225</v>
      </c>
      <c r="Q371" s="6">
        <v>0</v>
      </c>
    </row>
    <row r="372" spans="1:17" ht="40.200000000000003" customHeight="1" x14ac:dyDescent="0.3">
      <c r="A372" s="6">
        <v>1465</v>
      </c>
      <c r="B372" s="6" t="s">
        <v>2429</v>
      </c>
      <c r="C372" s="6" t="s">
        <v>723</v>
      </c>
      <c r="D372" s="6" t="s">
        <v>362</v>
      </c>
      <c r="E372" s="6" t="s">
        <v>2584</v>
      </c>
      <c r="F372" s="6" t="s">
        <v>4211</v>
      </c>
      <c r="G372" s="6" t="s">
        <v>2611</v>
      </c>
      <c r="H372" s="6" t="s">
        <v>2612</v>
      </c>
      <c r="I372" s="6" t="s">
        <v>2613</v>
      </c>
      <c r="J372" s="6">
        <v>3</v>
      </c>
      <c r="K372" s="6" t="s">
        <v>19</v>
      </c>
      <c r="L372" s="10">
        <v>21.7333826325</v>
      </c>
      <c r="M372" s="6" t="s">
        <v>33</v>
      </c>
      <c r="N372" s="10">
        <f>Tabla11[[#This Row],[Price]]*Tabla11[[#This Row],[QTY Adjusted]]</f>
        <v>65.200147897500003</v>
      </c>
      <c r="O372" s="10">
        <v>65.200147897500003</v>
      </c>
      <c r="P372" s="10" t="s">
        <v>4225</v>
      </c>
      <c r="Q372" s="6">
        <v>0</v>
      </c>
    </row>
    <row r="373" spans="1:17" ht="40.200000000000003" customHeight="1" x14ac:dyDescent="0.3">
      <c r="A373" s="6">
        <v>1466</v>
      </c>
      <c r="B373" s="6" t="s">
        <v>2429</v>
      </c>
      <c r="C373" s="6" t="s">
        <v>723</v>
      </c>
      <c r="D373" s="6" t="s">
        <v>362</v>
      </c>
      <c r="E373" s="6" t="s">
        <v>2584</v>
      </c>
      <c r="F373" s="6" t="s">
        <v>4211</v>
      </c>
      <c r="G373" s="6" t="s">
        <v>2614</v>
      </c>
      <c r="H373" s="6" t="s">
        <v>2615</v>
      </c>
      <c r="I373" s="6" t="s">
        <v>2616</v>
      </c>
      <c r="J373" s="6">
        <v>3</v>
      </c>
      <c r="K373" s="6" t="s">
        <v>19</v>
      </c>
      <c r="L373" s="10">
        <v>21.7333826325</v>
      </c>
      <c r="M373" s="6" t="s">
        <v>33</v>
      </c>
      <c r="N373" s="10">
        <f>Tabla11[[#This Row],[Price]]*Tabla11[[#This Row],[QTY Adjusted]]</f>
        <v>65.200147897500003</v>
      </c>
      <c r="O373" s="10">
        <v>65.200147897500003</v>
      </c>
      <c r="P373" s="10" t="s">
        <v>4225</v>
      </c>
      <c r="Q373" s="6">
        <v>0</v>
      </c>
    </row>
    <row r="374" spans="1:17" ht="40.200000000000003" customHeight="1" x14ac:dyDescent="0.3">
      <c r="A374" s="6">
        <v>1414</v>
      </c>
      <c r="B374" s="6" t="s">
        <v>2429</v>
      </c>
      <c r="C374" s="6" t="s">
        <v>723</v>
      </c>
      <c r="D374" s="6" t="s">
        <v>362</v>
      </c>
      <c r="E374" s="6" t="s">
        <v>2430</v>
      </c>
      <c r="F374" s="6" t="s">
        <v>4211</v>
      </c>
      <c r="G374" s="6" t="s">
        <v>2464</v>
      </c>
      <c r="H374" s="6" t="s">
        <v>2465</v>
      </c>
      <c r="I374" s="6" t="s">
        <v>2466</v>
      </c>
      <c r="J374" s="6">
        <v>3</v>
      </c>
      <c r="K374" s="6" t="s">
        <v>19</v>
      </c>
      <c r="L374" s="10">
        <v>21.323782507499999</v>
      </c>
      <c r="M374" s="6" t="s">
        <v>33</v>
      </c>
      <c r="N374" s="10">
        <f>Tabla11[[#This Row],[Price]]*Tabla11[[#This Row],[QTY Adjusted]]</f>
        <v>63.971347522499997</v>
      </c>
      <c r="O374" s="10">
        <v>63.971347522499997</v>
      </c>
      <c r="P374" s="10" t="s">
        <v>4225</v>
      </c>
      <c r="Q374" s="6">
        <v>0</v>
      </c>
    </row>
    <row r="375" spans="1:17" ht="40.200000000000003" customHeight="1" x14ac:dyDescent="0.3">
      <c r="A375" s="6">
        <v>1633</v>
      </c>
      <c r="B375" s="6" t="s">
        <v>2429</v>
      </c>
      <c r="C375" s="6" t="s">
        <v>723</v>
      </c>
      <c r="D375" s="6" t="s">
        <v>362</v>
      </c>
      <c r="E375" s="6" t="s">
        <v>3107</v>
      </c>
      <c r="F375" s="6" t="s">
        <v>4211</v>
      </c>
      <c r="G375" s="6" t="s">
        <v>3111</v>
      </c>
      <c r="H375" s="6" t="s">
        <v>3112</v>
      </c>
      <c r="I375" s="6" t="s">
        <v>3113</v>
      </c>
      <c r="J375" s="6">
        <v>4</v>
      </c>
      <c r="K375" s="6" t="s">
        <v>19</v>
      </c>
      <c r="L375" s="10">
        <v>15.892484849999997</v>
      </c>
      <c r="M375" s="6" t="s">
        <v>33</v>
      </c>
      <c r="N375" s="10">
        <f>Tabla11[[#This Row],[Price]]*Tabla11[[#This Row],[QTY Adjusted]]</f>
        <v>63.569939399999988</v>
      </c>
      <c r="O375" s="10">
        <v>63.569939399999988</v>
      </c>
      <c r="P375" s="10" t="s">
        <v>4225</v>
      </c>
      <c r="Q375" s="6">
        <v>0</v>
      </c>
    </row>
    <row r="376" spans="1:17" ht="40.200000000000003" customHeight="1" x14ac:dyDescent="0.3">
      <c r="A376" s="6">
        <v>1426</v>
      </c>
      <c r="B376" s="6" t="s">
        <v>2429</v>
      </c>
      <c r="C376" s="6" t="s">
        <v>723</v>
      </c>
      <c r="D376" s="6" t="s">
        <v>362</v>
      </c>
      <c r="E376" s="6" t="s">
        <v>2430</v>
      </c>
      <c r="F376" s="6" t="s">
        <v>4211</v>
      </c>
      <c r="G376" s="6" t="s">
        <v>2498</v>
      </c>
      <c r="H376" s="6" t="s">
        <v>2499</v>
      </c>
      <c r="I376" s="6" t="s">
        <v>2500</v>
      </c>
      <c r="J376" s="6">
        <v>6</v>
      </c>
      <c r="K376" s="6" t="s">
        <v>19</v>
      </c>
      <c r="L376" s="10">
        <v>10.452995189999999</v>
      </c>
      <c r="M376" s="6" t="s">
        <v>33</v>
      </c>
      <c r="N376" s="10">
        <f>Tabla11[[#This Row],[Price]]*Tabla11[[#This Row],[QTY Adjusted]]</f>
        <v>62.717971139999996</v>
      </c>
      <c r="O376" s="10">
        <v>62.717971139999996</v>
      </c>
      <c r="P376" s="10" t="s">
        <v>4225</v>
      </c>
      <c r="Q376" s="6">
        <v>0</v>
      </c>
    </row>
    <row r="377" spans="1:17" ht="40.200000000000003" customHeight="1" x14ac:dyDescent="0.3">
      <c r="A377" s="6">
        <v>1447</v>
      </c>
      <c r="B377" s="6" t="s">
        <v>2429</v>
      </c>
      <c r="C377" s="6" t="s">
        <v>723</v>
      </c>
      <c r="D377" s="6" t="s">
        <v>362</v>
      </c>
      <c r="E377" s="6" t="s">
        <v>2515</v>
      </c>
      <c r="F377" s="6" t="s">
        <v>4211</v>
      </c>
      <c r="G377" s="6" t="s">
        <v>2558</v>
      </c>
      <c r="H377" s="6" t="s">
        <v>2559</v>
      </c>
      <c r="I377" s="6" t="s">
        <v>2557</v>
      </c>
      <c r="J377" s="6">
        <v>22</v>
      </c>
      <c r="K377" s="6" t="s">
        <v>19</v>
      </c>
      <c r="L377" s="10">
        <v>2.8016648550000003</v>
      </c>
      <c r="M377" s="6" t="s">
        <v>33</v>
      </c>
      <c r="N377" s="10">
        <f>Tabla11[[#This Row],[Price]]*Tabla11[[#This Row],[QTY Adjusted]]</f>
        <v>61.63662681000001</v>
      </c>
      <c r="O377" s="10">
        <v>61.63662681000001</v>
      </c>
      <c r="P377" s="10" t="s">
        <v>4225</v>
      </c>
      <c r="Q377" s="6">
        <v>0</v>
      </c>
    </row>
    <row r="378" spans="1:17" ht="40.200000000000003" customHeight="1" x14ac:dyDescent="0.3">
      <c r="A378" s="6">
        <v>1576</v>
      </c>
      <c r="B378" s="6" t="s">
        <v>2429</v>
      </c>
      <c r="C378" s="6" t="s">
        <v>723</v>
      </c>
      <c r="D378" s="6" t="s">
        <v>362</v>
      </c>
      <c r="E378" s="6" t="s">
        <v>2747</v>
      </c>
      <c r="F378" s="6" t="s">
        <v>4211</v>
      </c>
      <c r="G378" s="6" t="s">
        <v>2935</v>
      </c>
      <c r="H378" s="6" t="s">
        <v>2936</v>
      </c>
      <c r="I378" s="6" t="s">
        <v>2937</v>
      </c>
      <c r="J378" s="6">
        <v>1</v>
      </c>
      <c r="K378" s="6" t="s">
        <v>19</v>
      </c>
      <c r="L378" s="10">
        <v>59.932690290000004</v>
      </c>
      <c r="M378" s="6" t="s">
        <v>33</v>
      </c>
      <c r="N378" s="10">
        <f>Tabla11[[#This Row],[Price]]*Tabla11[[#This Row],[QTY Adjusted]]</f>
        <v>59.932690290000004</v>
      </c>
      <c r="O378" s="10">
        <v>59.932690290000004</v>
      </c>
      <c r="P378" s="10" t="s">
        <v>4225</v>
      </c>
      <c r="Q378" s="6">
        <v>0</v>
      </c>
    </row>
    <row r="379" spans="1:17" ht="40.200000000000003" customHeight="1" x14ac:dyDescent="0.3">
      <c r="A379" s="6">
        <v>1573</v>
      </c>
      <c r="B379" s="6" t="s">
        <v>2429</v>
      </c>
      <c r="C379" s="6" t="s">
        <v>723</v>
      </c>
      <c r="D379" s="6" t="s">
        <v>362</v>
      </c>
      <c r="E379" s="6" t="s">
        <v>2747</v>
      </c>
      <c r="F379" s="6" t="s">
        <v>4211</v>
      </c>
      <c r="G379" s="6" t="s">
        <v>2926</v>
      </c>
      <c r="H379" s="6" t="s">
        <v>2927</v>
      </c>
      <c r="I379" s="6" t="s">
        <v>2928</v>
      </c>
      <c r="J379" s="6">
        <v>1</v>
      </c>
      <c r="K379" s="6" t="s">
        <v>19</v>
      </c>
      <c r="L379" s="10">
        <v>59.277330090000007</v>
      </c>
      <c r="M379" s="6" t="s">
        <v>33</v>
      </c>
      <c r="N379" s="10">
        <f>Tabla11[[#This Row],[Price]]*Tabla11[[#This Row],[QTY Adjusted]]</f>
        <v>59.277330090000007</v>
      </c>
      <c r="O379" s="10">
        <v>59.277330090000007</v>
      </c>
      <c r="P379" s="10" t="s">
        <v>4225</v>
      </c>
      <c r="Q379" s="6">
        <v>0</v>
      </c>
    </row>
    <row r="380" spans="1:17" ht="40.200000000000003" customHeight="1" x14ac:dyDescent="0.3">
      <c r="A380" s="6">
        <v>1587</v>
      </c>
      <c r="B380" s="6" t="s">
        <v>2429</v>
      </c>
      <c r="C380" s="6" t="s">
        <v>723</v>
      </c>
      <c r="D380" s="6" t="s">
        <v>362</v>
      </c>
      <c r="E380" s="6" t="s">
        <v>2747</v>
      </c>
      <c r="F380" s="6" t="s">
        <v>4211</v>
      </c>
      <c r="G380" s="6" t="s">
        <v>2967</v>
      </c>
      <c r="H380" s="6" t="s">
        <v>2968</v>
      </c>
      <c r="I380" s="6" t="s">
        <v>2969</v>
      </c>
      <c r="J380" s="6">
        <v>2</v>
      </c>
      <c r="K380" s="6" t="s">
        <v>19</v>
      </c>
      <c r="L380" s="10">
        <v>29.474824994999999</v>
      </c>
      <c r="M380" s="6" t="s">
        <v>33</v>
      </c>
      <c r="N380" s="10">
        <f>Tabla11[[#This Row],[Price]]*Tabla11[[#This Row],[QTY Adjusted]]</f>
        <v>58.949649989999998</v>
      </c>
      <c r="O380" s="10">
        <v>58.949649989999998</v>
      </c>
      <c r="P380" s="10" t="s">
        <v>4225</v>
      </c>
      <c r="Q380" s="6">
        <v>0</v>
      </c>
    </row>
    <row r="381" spans="1:17" ht="40.200000000000003" customHeight="1" x14ac:dyDescent="0.3">
      <c r="A381" s="6">
        <v>1588</v>
      </c>
      <c r="B381" s="6" t="s">
        <v>2429</v>
      </c>
      <c r="C381" s="6" t="s">
        <v>723</v>
      </c>
      <c r="D381" s="6" t="s">
        <v>362</v>
      </c>
      <c r="E381" s="6" t="s">
        <v>2747</v>
      </c>
      <c r="F381" s="6" t="s">
        <v>4211</v>
      </c>
      <c r="G381" s="6" t="s">
        <v>2970</v>
      </c>
      <c r="H381" s="6" t="s">
        <v>2971</v>
      </c>
      <c r="I381" s="6" t="s">
        <v>2969</v>
      </c>
      <c r="J381" s="6">
        <v>2</v>
      </c>
      <c r="K381" s="6" t="s">
        <v>19</v>
      </c>
      <c r="L381" s="10">
        <v>29.474824994999999</v>
      </c>
      <c r="M381" s="6" t="s">
        <v>33</v>
      </c>
      <c r="N381" s="10">
        <f>Tabla11[[#This Row],[Price]]*Tabla11[[#This Row],[QTY Adjusted]]</f>
        <v>58.949649989999998</v>
      </c>
      <c r="O381" s="10">
        <v>58.949649989999998</v>
      </c>
      <c r="P381" s="10" t="s">
        <v>4225</v>
      </c>
      <c r="Q381" s="6">
        <v>0</v>
      </c>
    </row>
    <row r="382" spans="1:17" ht="40.200000000000003" customHeight="1" x14ac:dyDescent="0.3">
      <c r="A382" s="6">
        <v>1427</v>
      </c>
      <c r="B382" s="6" t="s">
        <v>2429</v>
      </c>
      <c r="C382" s="6" t="s">
        <v>723</v>
      </c>
      <c r="D382" s="6" t="s">
        <v>362</v>
      </c>
      <c r="E382" s="6" t="s">
        <v>2430</v>
      </c>
      <c r="F382" s="6" t="s">
        <v>4211</v>
      </c>
      <c r="G382" s="6" t="s">
        <v>2501</v>
      </c>
      <c r="H382" s="6" t="s">
        <v>2502</v>
      </c>
      <c r="I382" s="6" t="s">
        <v>2500</v>
      </c>
      <c r="J382" s="6">
        <v>4</v>
      </c>
      <c r="K382" s="6" t="s">
        <v>19</v>
      </c>
      <c r="L382" s="10">
        <v>14.491652422500005</v>
      </c>
      <c r="M382" s="6" t="s">
        <v>33</v>
      </c>
      <c r="N382" s="10">
        <f>Tabla11[[#This Row],[Price]]*Tabla11[[#This Row],[QTY Adjusted]]</f>
        <v>57.96660969000002</v>
      </c>
      <c r="O382" s="10">
        <v>57.96660969000002</v>
      </c>
      <c r="P382" s="10" t="s">
        <v>4225</v>
      </c>
      <c r="Q382" s="6">
        <v>0</v>
      </c>
    </row>
    <row r="383" spans="1:17" ht="40.200000000000003" customHeight="1" x14ac:dyDescent="0.3">
      <c r="A383" s="6">
        <v>1535</v>
      </c>
      <c r="B383" s="6" t="s">
        <v>2429</v>
      </c>
      <c r="C383" s="6" t="s">
        <v>723</v>
      </c>
      <c r="D383" s="6" t="s">
        <v>362</v>
      </c>
      <c r="E383" s="6" t="s">
        <v>2747</v>
      </c>
      <c r="F383" s="6" t="s">
        <v>4211</v>
      </c>
      <c r="G383" s="6" t="s">
        <v>2813</v>
      </c>
      <c r="H383" s="6" t="s">
        <v>2814</v>
      </c>
      <c r="I383" s="6" t="s">
        <v>2815</v>
      </c>
      <c r="J383" s="6">
        <v>6</v>
      </c>
      <c r="K383" s="6" t="s">
        <v>19</v>
      </c>
      <c r="L383" s="10">
        <v>8.9702427374999996</v>
      </c>
      <c r="M383" s="6" t="s">
        <v>33</v>
      </c>
      <c r="N383" s="10">
        <f>Tabla11[[#This Row],[Price]]*Tabla11[[#This Row],[QTY Adjusted]]</f>
        <v>53.821456424999994</v>
      </c>
      <c r="O383" s="10">
        <v>53.821456424999994</v>
      </c>
      <c r="P383" s="10" t="s">
        <v>4225</v>
      </c>
      <c r="Q383" s="6">
        <v>0</v>
      </c>
    </row>
    <row r="384" spans="1:17" ht="40.200000000000003" customHeight="1" x14ac:dyDescent="0.3">
      <c r="A384" s="6">
        <v>1509</v>
      </c>
      <c r="B384" s="6" t="s">
        <v>2429</v>
      </c>
      <c r="C384" s="6" t="s">
        <v>723</v>
      </c>
      <c r="D384" s="6" t="s">
        <v>362</v>
      </c>
      <c r="E384" s="6" t="s">
        <v>2584</v>
      </c>
      <c r="F384" s="6" t="s">
        <v>4211</v>
      </c>
      <c r="G384" s="6" t="s">
        <v>2741</v>
      </c>
      <c r="H384" s="6" t="s">
        <v>2742</v>
      </c>
      <c r="I384" s="6" t="s">
        <v>2743</v>
      </c>
      <c r="J384" s="6">
        <v>5</v>
      </c>
      <c r="K384" s="6" t="s">
        <v>19</v>
      </c>
      <c r="L384" s="10">
        <v>10.706947267499999</v>
      </c>
      <c r="M384" s="6" t="s">
        <v>33</v>
      </c>
      <c r="N384" s="10">
        <f>Tabla11[[#This Row],[Price]]*Tabla11[[#This Row],[QTY Adjusted]]</f>
        <v>53.534736337499993</v>
      </c>
      <c r="O384" s="10">
        <v>53.534736337499993</v>
      </c>
      <c r="P384" s="10" t="s">
        <v>4225</v>
      </c>
      <c r="Q384" s="6">
        <v>0</v>
      </c>
    </row>
    <row r="385" spans="1:17" ht="40.200000000000003" customHeight="1" x14ac:dyDescent="0.3">
      <c r="A385" s="6">
        <v>1541</v>
      </c>
      <c r="B385" s="6" t="s">
        <v>2429</v>
      </c>
      <c r="C385" s="6" t="s">
        <v>723</v>
      </c>
      <c r="D385" s="6" t="s">
        <v>362</v>
      </c>
      <c r="E385" s="6" t="s">
        <v>2747</v>
      </c>
      <c r="F385" s="6" t="s">
        <v>4211</v>
      </c>
      <c r="G385" s="6" t="s">
        <v>2830</v>
      </c>
      <c r="H385" s="6" t="s">
        <v>2831</v>
      </c>
      <c r="I385" s="6" t="s">
        <v>2832</v>
      </c>
      <c r="J385" s="6">
        <v>12</v>
      </c>
      <c r="K385" s="6" t="s">
        <v>19</v>
      </c>
      <c r="L385" s="10">
        <v>4.4482573575000002</v>
      </c>
      <c r="M385" s="6" t="s">
        <v>33</v>
      </c>
      <c r="N385" s="10">
        <f>Tabla11[[#This Row],[Price]]*Tabla11[[#This Row],[QTY Adjusted]]</f>
        <v>53.379088289999999</v>
      </c>
      <c r="O385" s="10">
        <v>53.379088289999999</v>
      </c>
      <c r="P385" s="10" t="s">
        <v>4225</v>
      </c>
      <c r="Q385" s="6">
        <v>0</v>
      </c>
    </row>
    <row r="386" spans="1:17" ht="40.200000000000003" customHeight="1" x14ac:dyDescent="0.3">
      <c r="A386" s="6">
        <v>1579</v>
      </c>
      <c r="B386" s="6" t="s">
        <v>2429</v>
      </c>
      <c r="C386" s="6" t="s">
        <v>723</v>
      </c>
      <c r="D386" s="6" t="s">
        <v>362</v>
      </c>
      <c r="E386" s="6" t="s">
        <v>2747</v>
      </c>
      <c r="F386" s="6" t="s">
        <v>4211</v>
      </c>
      <c r="G386" s="6" t="s">
        <v>2944</v>
      </c>
      <c r="H386" s="6" t="s">
        <v>2945</v>
      </c>
      <c r="I386" s="6" t="s">
        <v>2946</v>
      </c>
      <c r="J386" s="6">
        <v>4</v>
      </c>
      <c r="K386" s="6" t="s">
        <v>19</v>
      </c>
      <c r="L386" s="10">
        <v>12.926979945000003</v>
      </c>
      <c r="M386" s="6" t="s">
        <v>33</v>
      </c>
      <c r="N386" s="10">
        <f>Tabla11[[#This Row],[Price]]*Tabla11[[#This Row],[QTY Adjusted]]</f>
        <v>51.707919780000012</v>
      </c>
      <c r="O386" s="10">
        <v>51.707919780000012</v>
      </c>
      <c r="P386" s="10" t="s">
        <v>4225</v>
      </c>
      <c r="Q386" s="6">
        <v>0</v>
      </c>
    </row>
    <row r="387" spans="1:17" ht="40.200000000000003" customHeight="1" x14ac:dyDescent="0.3">
      <c r="A387" s="6">
        <v>1520</v>
      </c>
      <c r="B387" s="6" t="s">
        <v>2429</v>
      </c>
      <c r="C387" s="6" t="s">
        <v>723</v>
      </c>
      <c r="D387" s="6" t="s">
        <v>362</v>
      </c>
      <c r="E387" s="6" t="s">
        <v>2747</v>
      </c>
      <c r="F387" s="6" t="s">
        <v>4211</v>
      </c>
      <c r="G387" s="6" t="s">
        <v>2771</v>
      </c>
      <c r="H387" s="6" t="s">
        <v>2772</v>
      </c>
      <c r="I387" s="6" t="s">
        <v>2773</v>
      </c>
      <c r="J387" s="6">
        <v>12</v>
      </c>
      <c r="K387" s="6" t="s">
        <v>19</v>
      </c>
      <c r="L387" s="10">
        <v>4.2844173075</v>
      </c>
      <c r="M387" s="6" t="s">
        <v>33</v>
      </c>
      <c r="N387" s="10">
        <f>Tabla11[[#This Row],[Price]]*Tabla11[[#This Row],[QTY Adjusted]]</f>
        <v>51.413007690000001</v>
      </c>
      <c r="O387" s="10">
        <v>51.413007690000001</v>
      </c>
      <c r="P387" s="10" t="s">
        <v>4225</v>
      </c>
      <c r="Q387" s="6">
        <v>0</v>
      </c>
    </row>
    <row r="388" spans="1:17" ht="40.200000000000003" customHeight="1" x14ac:dyDescent="0.3">
      <c r="A388" s="6">
        <v>1540</v>
      </c>
      <c r="B388" s="6" t="s">
        <v>2429</v>
      </c>
      <c r="C388" s="6" t="s">
        <v>723</v>
      </c>
      <c r="D388" s="6" t="s">
        <v>362</v>
      </c>
      <c r="E388" s="6" t="s">
        <v>2747</v>
      </c>
      <c r="F388" s="6" t="s">
        <v>4211</v>
      </c>
      <c r="G388" s="6" t="s">
        <v>2827</v>
      </c>
      <c r="H388" s="6" t="s">
        <v>2828</v>
      </c>
      <c r="I388" s="6" t="s">
        <v>2829</v>
      </c>
      <c r="J388" s="6">
        <v>12</v>
      </c>
      <c r="K388" s="6" t="s">
        <v>19</v>
      </c>
      <c r="L388" s="10">
        <v>4.2844173075</v>
      </c>
      <c r="M388" s="6" t="s">
        <v>33</v>
      </c>
      <c r="N388" s="10">
        <f>Tabla11[[#This Row],[Price]]*Tabla11[[#This Row],[QTY Adjusted]]</f>
        <v>51.413007690000001</v>
      </c>
      <c r="O388" s="10">
        <v>51.413007690000001</v>
      </c>
      <c r="P388" s="10" t="s">
        <v>4225</v>
      </c>
      <c r="Q388" s="6">
        <v>0</v>
      </c>
    </row>
    <row r="389" spans="1:17" ht="40.200000000000003" customHeight="1" x14ac:dyDescent="0.3">
      <c r="A389" s="6">
        <v>1513</v>
      </c>
      <c r="B389" s="6" t="s">
        <v>2429</v>
      </c>
      <c r="C389" s="6" t="s">
        <v>723</v>
      </c>
      <c r="D389" s="6" t="s">
        <v>362</v>
      </c>
      <c r="E389" s="6" t="s">
        <v>2747</v>
      </c>
      <c r="F389" s="6" t="s">
        <v>4211</v>
      </c>
      <c r="G389" s="6" t="s">
        <v>2754</v>
      </c>
      <c r="H389" s="6" t="s">
        <v>2755</v>
      </c>
      <c r="I389" s="6" t="s">
        <v>2756</v>
      </c>
      <c r="J389" s="6">
        <v>16</v>
      </c>
      <c r="K389" s="6" t="s">
        <v>19</v>
      </c>
      <c r="L389" s="10">
        <v>3.2112649799999997</v>
      </c>
      <c r="M389" s="6" t="s">
        <v>33</v>
      </c>
      <c r="N389" s="10">
        <f>Tabla11[[#This Row],[Price]]*Tabla11[[#This Row],[QTY Adjusted]]</f>
        <v>51.380239679999995</v>
      </c>
      <c r="O389" s="10">
        <v>51.380239679999995</v>
      </c>
      <c r="P389" s="10" t="s">
        <v>4225</v>
      </c>
      <c r="Q389" s="6">
        <v>0</v>
      </c>
    </row>
    <row r="390" spans="1:17" ht="40.200000000000003" customHeight="1" x14ac:dyDescent="0.3">
      <c r="A390" s="6">
        <v>1500</v>
      </c>
      <c r="B390" s="6" t="s">
        <v>2429</v>
      </c>
      <c r="C390" s="6" t="s">
        <v>723</v>
      </c>
      <c r="D390" s="6" t="s">
        <v>362</v>
      </c>
      <c r="E390" s="6" t="s">
        <v>2584</v>
      </c>
      <c r="F390" s="6" t="s">
        <v>4211</v>
      </c>
      <c r="G390" s="6" t="s">
        <v>2716</v>
      </c>
      <c r="H390" s="6" t="s">
        <v>2717</v>
      </c>
      <c r="I390" s="6" t="s">
        <v>2718</v>
      </c>
      <c r="J390" s="6">
        <v>4</v>
      </c>
      <c r="K390" s="6" t="s">
        <v>19</v>
      </c>
      <c r="L390" s="10">
        <v>8.5606426125000006</v>
      </c>
      <c r="M390" s="6" t="s">
        <v>33</v>
      </c>
      <c r="N390" s="10">
        <f>Tabla11[[#This Row],[Price]]*Tabla11[[#This Row],[QTY Adjusted]]</f>
        <v>34.242570450000002</v>
      </c>
      <c r="O390" s="10">
        <v>34.242570450000002</v>
      </c>
      <c r="P390" s="10" t="s">
        <v>4225</v>
      </c>
      <c r="Q390" s="6">
        <v>0</v>
      </c>
    </row>
    <row r="391" spans="1:17" ht="40.200000000000003" customHeight="1" x14ac:dyDescent="0.3">
      <c r="A391" s="6">
        <v>1567</v>
      </c>
      <c r="B391" s="6" t="s">
        <v>2429</v>
      </c>
      <c r="C391" s="6" t="s">
        <v>723</v>
      </c>
      <c r="D391" s="6" t="s">
        <v>362</v>
      </c>
      <c r="E391" s="6" t="s">
        <v>2747</v>
      </c>
      <c r="F391" s="6" t="s">
        <v>4211</v>
      </c>
      <c r="G391" s="6" t="s">
        <v>2908</v>
      </c>
      <c r="H391" s="6" t="s">
        <v>2909</v>
      </c>
      <c r="I391" s="6" t="s">
        <v>2910</v>
      </c>
      <c r="J391" s="6">
        <v>1</v>
      </c>
      <c r="K391" s="6" t="s">
        <v>19</v>
      </c>
      <c r="L391" s="10">
        <v>51.208207627500002</v>
      </c>
      <c r="M391" s="6" t="s">
        <v>33</v>
      </c>
      <c r="N391" s="10">
        <f>Tabla11[[#This Row],[Price]]*Tabla11[[#This Row],[QTY Adjusted]]</f>
        <v>51.208207627500002</v>
      </c>
      <c r="O391" s="10">
        <v>51.208207627500002</v>
      </c>
      <c r="P391" s="10" t="s">
        <v>4225</v>
      </c>
      <c r="Q391" s="6">
        <v>0</v>
      </c>
    </row>
    <row r="392" spans="1:17" ht="40.200000000000003" customHeight="1" x14ac:dyDescent="0.3">
      <c r="A392" s="6">
        <v>1524</v>
      </c>
      <c r="B392" s="6" t="s">
        <v>2429</v>
      </c>
      <c r="C392" s="6" t="s">
        <v>723</v>
      </c>
      <c r="D392" s="6" t="s">
        <v>362</v>
      </c>
      <c r="E392" s="6" t="s">
        <v>2747</v>
      </c>
      <c r="F392" s="6" t="s">
        <v>4211</v>
      </c>
      <c r="G392" s="6" t="s">
        <v>2783</v>
      </c>
      <c r="H392" s="6" t="s">
        <v>2784</v>
      </c>
      <c r="I392" s="6" t="s">
        <v>2785</v>
      </c>
      <c r="J392" s="6">
        <v>8</v>
      </c>
      <c r="K392" s="6" t="s">
        <v>19</v>
      </c>
      <c r="L392" s="10">
        <v>6.3406099349999998</v>
      </c>
      <c r="M392" s="6" t="s">
        <v>33</v>
      </c>
      <c r="N392" s="10">
        <f>Tabla11[[#This Row],[Price]]*Tabla11[[#This Row],[QTY Adjusted]]</f>
        <v>50.724879479999998</v>
      </c>
      <c r="O392" s="10">
        <v>50.724879479999998</v>
      </c>
      <c r="P392" s="10" t="s">
        <v>4225</v>
      </c>
      <c r="Q392" s="6">
        <v>0</v>
      </c>
    </row>
    <row r="393" spans="1:17" ht="40.200000000000003" customHeight="1" x14ac:dyDescent="0.3">
      <c r="A393" s="6">
        <v>1510</v>
      </c>
      <c r="B393" s="6" t="s">
        <v>2429</v>
      </c>
      <c r="C393" s="6" t="s">
        <v>723</v>
      </c>
      <c r="D393" s="6" t="s">
        <v>362</v>
      </c>
      <c r="E393" s="6" t="s">
        <v>2584</v>
      </c>
      <c r="F393" s="6" t="s">
        <v>4211</v>
      </c>
      <c r="G393" s="6" t="s">
        <v>2744</v>
      </c>
      <c r="H393" s="6" t="s">
        <v>2745</v>
      </c>
      <c r="I393" s="6" t="s">
        <v>2746</v>
      </c>
      <c r="J393" s="6">
        <v>28</v>
      </c>
      <c r="K393" s="6" t="s">
        <v>19</v>
      </c>
      <c r="L393" s="10">
        <v>1.8104325525</v>
      </c>
      <c r="M393" s="6" t="s">
        <v>33</v>
      </c>
      <c r="N393" s="10">
        <f>Tabla11[[#This Row],[Price]]*Tabla11[[#This Row],[QTY Adjusted]]</f>
        <v>50.69211147</v>
      </c>
      <c r="O393" s="10">
        <v>50.69211147</v>
      </c>
      <c r="P393" s="10" t="s">
        <v>4225</v>
      </c>
      <c r="Q393" s="6">
        <v>0</v>
      </c>
    </row>
    <row r="394" spans="1:17" ht="40.200000000000003" customHeight="1" x14ac:dyDescent="0.3">
      <c r="A394" s="6">
        <v>1665</v>
      </c>
      <c r="B394" s="6" t="s">
        <v>2429</v>
      </c>
      <c r="C394" s="6" t="s">
        <v>723</v>
      </c>
      <c r="D394" s="6" t="s">
        <v>362</v>
      </c>
      <c r="E394" s="6" t="s">
        <v>3107</v>
      </c>
      <c r="F394" s="6" t="s">
        <v>4211</v>
      </c>
      <c r="G394" s="6" t="s">
        <v>3200</v>
      </c>
      <c r="H394" s="6" t="s">
        <v>3201</v>
      </c>
      <c r="I394" s="6" t="s">
        <v>3196</v>
      </c>
      <c r="J394" s="6">
        <v>36</v>
      </c>
      <c r="K394" s="6" t="s">
        <v>19</v>
      </c>
      <c r="L394" s="10">
        <v>1.4008324275000001</v>
      </c>
      <c r="M394" s="6" t="s">
        <v>33</v>
      </c>
      <c r="N394" s="10">
        <f>Tabla11[[#This Row],[Price]]*Tabla11[[#This Row],[QTY Adjusted]]</f>
        <v>50.429967390000002</v>
      </c>
      <c r="O394" s="10">
        <v>50.429967390000002</v>
      </c>
      <c r="P394" s="10" t="s">
        <v>4225</v>
      </c>
      <c r="Q394" s="6">
        <v>0</v>
      </c>
    </row>
    <row r="395" spans="1:17" ht="40.200000000000003" customHeight="1" x14ac:dyDescent="0.3">
      <c r="A395" s="6">
        <v>1837</v>
      </c>
      <c r="B395" s="6" t="s">
        <v>2429</v>
      </c>
      <c r="C395" s="6" t="s">
        <v>723</v>
      </c>
      <c r="D395" s="6" t="s">
        <v>362</v>
      </c>
      <c r="E395" s="6" t="s">
        <v>3621</v>
      </c>
      <c r="F395" s="6" t="s">
        <v>4211</v>
      </c>
      <c r="G395" s="6" t="s">
        <v>3673</v>
      </c>
      <c r="H395" s="6" t="s">
        <v>3674</v>
      </c>
      <c r="I395" s="6" t="s">
        <v>3675</v>
      </c>
      <c r="J395" s="6">
        <v>12</v>
      </c>
      <c r="K395" s="6" t="s">
        <v>19</v>
      </c>
      <c r="L395" s="10">
        <v>4.2024972824999995</v>
      </c>
      <c r="M395" s="6" t="s">
        <v>33</v>
      </c>
      <c r="N395" s="10">
        <f>Tabla11[[#This Row],[Price]]*Tabla11[[#This Row],[QTY Adjusted]]</f>
        <v>50.429967389999995</v>
      </c>
      <c r="O395" s="10">
        <v>50.429967389999995</v>
      </c>
      <c r="P395" s="10" t="s">
        <v>4225</v>
      </c>
      <c r="Q395" s="6">
        <v>0</v>
      </c>
    </row>
    <row r="396" spans="1:17" ht="40.200000000000003" customHeight="1" x14ac:dyDescent="0.3">
      <c r="A396" s="6">
        <v>1803</v>
      </c>
      <c r="B396" s="6" t="s">
        <v>2429</v>
      </c>
      <c r="C396" s="6" t="s">
        <v>723</v>
      </c>
      <c r="D396" s="6" t="s">
        <v>362</v>
      </c>
      <c r="E396" s="6" t="s">
        <v>3520</v>
      </c>
      <c r="F396" s="6" t="s">
        <v>4211</v>
      </c>
      <c r="G396" s="6" t="s">
        <v>3572</v>
      </c>
      <c r="H396" s="6" t="s">
        <v>3573</v>
      </c>
      <c r="I396" s="6" t="s">
        <v>3574</v>
      </c>
      <c r="J396" s="6">
        <v>24</v>
      </c>
      <c r="K396" s="6" t="s">
        <v>19</v>
      </c>
      <c r="L396" s="10">
        <v>2.0561926274999998</v>
      </c>
      <c r="M396" s="6" t="s">
        <v>33</v>
      </c>
      <c r="N396" s="10">
        <f>Tabla11[[#This Row],[Price]]*Tabla11[[#This Row],[QTY Adjusted]]</f>
        <v>49.348623059999994</v>
      </c>
      <c r="O396" s="10">
        <v>49.348623059999994</v>
      </c>
      <c r="P396" s="10" t="s">
        <v>4225</v>
      </c>
      <c r="Q396" s="6">
        <v>0</v>
      </c>
    </row>
    <row r="397" spans="1:17" ht="40.200000000000003" customHeight="1" x14ac:dyDescent="0.3">
      <c r="A397" s="6">
        <v>1443</v>
      </c>
      <c r="B397" s="6" t="s">
        <v>2429</v>
      </c>
      <c r="C397" s="6" t="s">
        <v>723</v>
      </c>
      <c r="D397" s="6" t="s">
        <v>362</v>
      </c>
      <c r="E397" s="6" t="s">
        <v>2515</v>
      </c>
      <c r="F397" s="6" t="s">
        <v>4211</v>
      </c>
      <c r="G397" s="6" t="s">
        <v>2546</v>
      </c>
      <c r="H397" s="6" t="s">
        <v>2547</v>
      </c>
      <c r="I397" s="6" t="s">
        <v>2548</v>
      </c>
      <c r="J397" s="6">
        <v>11</v>
      </c>
      <c r="K397" s="6" t="s">
        <v>19</v>
      </c>
      <c r="L397" s="10">
        <v>4.3663373324999997</v>
      </c>
      <c r="M397" s="6" t="s">
        <v>33</v>
      </c>
      <c r="N397" s="10">
        <f>Tabla11[[#This Row],[Price]]*Tabla11[[#This Row],[QTY Adjusted]]</f>
        <v>48.029710657499997</v>
      </c>
      <c r="O397" s="10">
        <v>48.029710657499997</v>
      </c>
      <c r="P397" s="10" t="s">
        <v>4225</v>
      </c>
      <c r="Q397" s="6">
        <v>0</v>
      </c>
    </row>
    <row r="398" spans="1:17" ht="40.200000000000003" customHeight="1" x14ac:dyDescent="0.3">
      <c r="A398" s="6">
        <v>1411</v>
      </c>
      <c r="B398" s="6" t="s">
        <v>2429</v>
      </c>
      <c r="C398" s="6" t="s">
        <v>723</v>
      </c>
      <c r="D398" s="6" t="s">
        <v>362</v>
      </c>
      <c r="E398" s="6" t="s">
        <v>2430</v>
      </c>
      <c r="F398" s="6" t="s">
        <v>4211</v>
      </c>
      <c r="G398" s="6" t="s">
        <v>2456</v>
      </c>
      <c r="H398" s="6" t="s">
        <v>2457</v>
      </c>
      <c r="I398" s="6" t="s">
        <v>2451</v>
      </c>
      <c r="J398" s="6">
        <v>2</v>
      </c>
      <c r="K398" s="6" t="s">
        <v>19</v>
      </c>
      <c r="L398" s="10">
        <v>23.707655235000001</v>
      </c>
      <c r="M398" s="6" t="s">
        <v>33</v>
      </c>
      <c r="N398" s="10">
        <f>Tabla11[[#This Row],[Price]]*Tabla11[[#This Row],[QTY Adjusted]]</f>
        <v>47.415310470000001</v>
      </c>
      <c r="O398" s="10">
        <v>47.415310470000001</v>
      </c>
      <c r="P398" s="10" t="s">
        <v>4225</v>
      </c>
      <c r="Q398" s="6">
        <v>0</v>
      </c>
    </row>
    <row r="399" spans="1:17" ht="40.200000000000003" customHeight="1" x14ac:dyDescent="0.3">
      <c r="A399" s="6">
        <v>1801</v>
      </c>
      <c r="B399" s="6" t="s">
        <v>2429</v>
      </c>
      <c r="C399" s="6" t="s">
        <v>723</v>
      </c>
      <c r="D399" s="6" t="s">
        <v>362</v>
      </c>
      <c r="E399" s="6" t="s">
        <v>3520</v>
      </c>
      <c r="F399" s="6" t="s">
        <v>4211</v>
      </c>
      <c r="G399" s="6" t="s">
        <v>3566</v>
      </c>
      <c r="H399" s="6" t="s">
        <v>3567</v>
      </c>
      <c r="I399" s="6" t="s">
        <v>3568</v>
      </c>
      <c r="J399" s="6">
        <v>12</v>
      </c>
      <c r="K399" s="6" t="s">
        <v>19</v>
      </c>
      <c r="L399" s="10">
        <v>3.9485452050000003</v>
      </c>
      <c r="M399" s="6" t="s">
        <v>33</v>
      </c>
      <c r="N399" s="10">
        <f>Tabla11[[#This Row],[Price]]*Tabla11[[#This Row],[QTY Adjusted]]</f>
        <v>47.382542460000003</v>
      </c>
      <c r="O399" s="10">
        <v>47.382542460000003</v>
      </c>
      <c r="P399" s="10" t="s">
        <v>4225</v>
      </c>
      <c r="Q399" s="6">
        <v>0</v>
      </c>
    </row>
    <row r="400" spans="1:17" ht="40.200000000000003" customHeight="1" x14ac:dyDescent="0.3">
      <c r="A400" s="6">
        <v>1838</v>
      </c>
      <c r="B400" s="6" t="s">
        <v>2429</v>
      </c>
      <c r="C400" s="6" t="s">
        <v>723</v>
      </c>
      <c r="D400" s="6" t="s">
        <v>362</v>
      </c>
      <c r="E400" s="6" t="s">
        <v>3621</v>
      </c>
      <c r="F400" s="6" t="s">
        <v>4211</v>
      </c>
      <c r="G400" s="6" t="s">
        <v>3676</v>
      </c>
      <c r="H400" s="6" t="s">
        <v>3677</v>
      </c>
      <c r="I400" s="6" t="s">
        <v>3678</v>
      </c>
      <c r="J400" s="6">
        <v>12</v>
      </c>
      <c r="K400" s="6" t="s">
        <v>19</v>
      </c>
      <c r="L400" s="10">
        <v>3.7847051550000002</v>
      </c>
      <c r="M400" s="6" t="s">
        <v>33</v>
      </c>
      <c r="N400" s="10">
        <f>Tabla11[[#This Row],[Price]]*Tabla11[[#This Row],[QTY Adjusted]]</f>
        <v>45.416461859999998</v>
      </c>
      <c r="O400" s="10">
        <v>45.416461859999998</v>
      </c>
      <c r="P400" s="10" t="s">
        <v>4225</v>
      </c>
      <c r="Q400" s="6">
        <v>0</v>
      </c>
    </row>
    <row r="401" spans="1:17" ht="40.200000000000003" customHeight="1" x14ac:dyDescent="0.3">
      <c r="A401" s="6">
        <v>1637</v>
      </c>
      <c r="B401" s="6" t="s">
        <v>2429</v>
      </c>
      <c r="C401" s="6" t="s">
        <v>723</v>
      </c>
      <c r="D401" s="6" t="s">
        <v>362</v>
      </c>
      <c r="E401" s="6" t="s">
        <v>3107</v>
      </c>
      <c r="F401" s="6" t="s">
        <v>4211</v>
      </c>
      <c r="G401" s="6" t="s">
        <v>3122</v>
      </c>
      <c r="H401" s="6" t="s">
        <v>3123</v>
      </c>
      <c r="I401" s="6" t="s">
        <v>3124</v>
      </c>
      <c r="J401" s="6">
        <v>2</v>
      </c>
      <c r="K401" s="6" t="s">
        <v>19</v>
      </c>
      <c r="L401" s="10">
        <v>22.642694909999996</v>
      </c>
      <c r="M401" s="6" t="s">
        <v>33</v>
      </c>
      <c r="N401" s="10">
        <f>Tabla11[[#This Row],[Price]]*Tabla11[[#This Row],[QTY Adjusted]]</f>
        <v>45.285389819999992</v>
      </c>
      <c r="O401" s="10">
        <v>45.285389819999992</v>
      </c>
      <c r="P401" s="10" t="s">
        <v>4225</v>
      </c>
      <c r="Q401" s="6">
        <v>0</v>
      </c>
    </row>
    <row r="402" spans="1:17" ht="40.200000000000003" customHeight="1" x14ac:dyDescent="0.3">
      <c r="A402" s="6">
        <v>1738</v>
      </c>
      <c r="B402" s="6" t="s">
        <v>2429</v>
      </c>
      <c r="C402" s="6" t="s">
        <v>723</v>
      </c>
      <c r="D402" s="6" t="s">
        <v>362</v>
      </c>
      <c r="E402" s="6" t="s">
        <v>3325</v>
      </c>
      <c r="F402" s="6" t="s">
        <v>4211</v>
      </c>
      <c r="G402" s="6" t="s">
        <v>3399</v>
      </c>
      <c r="H402" s="6" t="s">
        <v>3400</v>
      </c>
      <c r="I402" s="6" t="s">
        <v>3401</v>
      </c>
      <c r="J402" s="6">
        <v>1</v>
      </c>
      <c r="K402" s="6" t="s">
        <v>19</v>
      </c>
      <c r="L402" s="10">
        <v>45.031437742499996</v>
      </c>
      <c r="M402" s="6" t="s">
        <v>33</v>
      </c>
      <c r="N402" s="10">
        <f>Tabla11[[#This Row],[Price]]*Tabla11[[#This Row],[QTY Adjusted]]</f>
        <v>45.031437742499996</v>
      </c>
      <c r="O402" s="10">
        <v>45.031437742499996</v>
      </c>
      <c r="P402" s="10" t="s">
        <v>4225</v>
      </c>
      <c r="Q402" s="6">
        <v>0</v>
      </c>
    </row>
    <row r="403" spans="1:17" ht="40.200000000000003" customHeight="1" x14ac:dyDescent="0.3">
      <c r="A403" s="6">
        <v>1429</v>
      </c>
      <c r="B403" s="6" t="s">
        <v>2429</v>
      </c>
      <c r="C403" s="6" t="s">
        <v>723</v>
      </c>
      <c r="D403" s="6" t="s">
        <v>362</v>
      </c>
      <c r="E403" s="6" t="s">
        <v>2430</v>
      </c>
      <c r="F403" s="6" t="s">
        <v>4211</v>
      </c>
      <c r="G403" s="6" t="s">
        <v>2505</v>
      </c>
      <c r="H403" s="6" t="s">
        <v>2506</v>
      </c>
      <c r="I403" s="6" t="s">
        <v>2507</v>
      </c>
      <c r="J403" s="6">
        <v>9</v>
      </c>
      <c r="K403" s="6" t="s">
        <v>19</v>
      </c>
      <c r="L403" s="10">
        <v>4.9397775075000006</v>
      </c>
      <c r="M403" s="6" t="s">
        <v>33</v>
      </c>
      <c r="N403" s="10">
        <f>Tabla11[[#This Row],[Price]]*Tabla11[[#This Row],[QTY Adjusted]]</f>
        <v>44.457997567500001</v>
      </c>
      <c r="O403" s="10">
        <v>44.457997567500001</v>
      </c>
      <c r="P403" s="10" t="s">
        <v>4225</v>
      </c>
      <c r="Q403" s="6">
        <v>0</v>
      </c>
    </row>
    <row r="404" spans="1:17" ht="40.200000000000003" customHeight="1" x14ac:dyDescent="0.3">
      <c r="A404" s="6">
        <v>1508</v>
      </c>
      <c r="B404" s="6" t="s">
        <v>2429</v>
      </c>
      <c r="C404" s="6" t="s">
        <v>723</v>
      </c>
      <c r="D404" s="6" t="s">
        <v>362</v>
      </c>
      <c r="E404" s="6" t="s">
        <v>2584</v>
      </c>
      <c r="F404" s="6" t="s">
        <v>4211</v>
      </c>
      <c r="G404" s="6" t="s">
        <v>2738</v>
      </c>
      <c r="H404" s="6" t="s">
        <v>2739</v>
      </c>
      <c r="I404" s="6" t="s">
        <v>2740</v>
      </c>
      <c r="J404" s="6">
        <v>5</v>
      </c>
      <c r="K404" s="6" t="s">
        <v>19</v>
      </c>
      <c r="L404" s="10">
        <v>8.6425626374999993</v>
      </c>
      <c r="M404" s="6" t="s">
        <v>33</v>
      </c>
      <c r="N404" s="10">
        <f>Tabla11[[#This Row],[Price]]*Tabla11[[#This Row],[QTY Adjusted]]</f>
        <v>43.212813187499997</v>
      </c>
      <c r="O404" s="10">
        <v>43.212813187499997</v>
      </c>
      <c r="P404" s="10" t="s">
        <v>4225</v>
      </c>
      <c r="Q404" s="6">
        <v>0</v>
      </c>
    </row>
    <row r="405" spans="1:17" ht="40.200000000000003" customHeight="1" x14ac:dyDescent="0.3">
      <c r="A405" s="6">
        <v>1431</v>
      </c>
      <c r="B405" s="6" t="s">
        <v>2429</v>
      </c>
      <c r="C405" s="6" t="s">
        <v>723</v>
      </c>
      <c r="D405" s="6" t="s">
        <v>362</v>
      </c>
      <c r="E405" s="6" t="s">
        <v>2430</v>
      </c>
      <c r="F405" s="6" t="s">
        <v>4211</v>
      </c>
      <c r="G405" s="6" t="s">
        <v>2510</v>
      </c>
      <c r="H405" s="6" t="s">
        <v>2511</v>
      </c>
      <c r="I405" s="6" t="s">
        <v>2507</v>
      </c>
      <c r="J405" s="6">
        <v>4</v>
      </c>
      <c r="K405" s="6" t="s">
        <v>19</v>
      </c>
      <c r="L405" s="10">
        <v>10.452995189999999</v>
      </c>
      <c r="M405" s="6" t="s">
        <v>33</v>
      </c>
      <c r="N405" s="10">
        <f>Tabla11[[#This Row],[Price]]*Tabla11[[#This Row],[QTY Adjusted]]</f>
        <v>41.811980759999997</v>
      </c>
      <c r="O405" s="10">
        <v>41.811980759999997</v>
      </c>
      <c r="P405" s="10" t="s">
        <v>4225</v>
      </c>
      <c r="Q405" s="6">
        <v>0</v>
      </c>
    </row>
    <row r="406" spans="1:17" ht="40.200000000000003" customHeight="1" x14ac:dyDescent="0.3">
      <c r="A406" s="6">
        <v>1444</v>
      </c>
      <c r="B406" s="6" t="s">
        <v>2429</v>
      </c>
      <c r="C406" s="6" t="s">
        <v>723</v>
      </c>
      <c r="D406" s="6" t="s">
        <v>362</v>
      </c>
      <c r="E406" s="6" t="s">
        <v>2515</v>
      </c>
      <c r="F406" s="6" t="s">
        <v>4211</v>
      </c>
      <c r="G406" s="6" t="s">
        <v>2549</v>
      </c>
      <c r="H406" s="6" t="s">
        <v>2550</v>
      </c>
      <c r="I406" s="6" t="s">
        <v>2551</v>
      </c>
      <c r="J406" s="6">
        <v>8</v>
      </c>
      <c r="K406" s="6" t="s">
        <v>19</v>
      </c>
      <c r="L406" s="10">
        <v>5.1855375825000012</v>
      </c>
      <c r="M406" s="6" t="s">
        <v>33</v>
      </c>
      <c r="N406" s="10">
        <f>Tabla11[[#This Row],[Price]]*Tabla11[[#This Row],[QTY Adjusted]]</f>
        <v>41.484300660000009</v>
      </c>
      <c r="O406" s="10">
        <v>41.484300660000009</v>
      </c>
      <c r="P406" s="10" t="s">
        <v>4225</v>
      </c>
      <c r="Q406" s="6">
        <v>0</v>
      </c>
    </row>
    <row r="407" spans="1:17" ht="40.200000000000003" customHeight="1" x14ac:dyDescent="0.3">
      <c r="A407" s="6">
        <v>1563</v>
      </c>
      <c r="B407" s="6" t="s">
        <v>2429</v>
      </c>
      <c r="C407" s="6" t="s">
        <v>723</v>
      </c>
      <c r="D407" s="6" t="s">
        <v>362</v>
      </c>
      <c r="E407" s="6" t="s">
        <v>2747</v>
      </c>
      <c r="F407" s="6" t="s">
        <v>4211</v>
      </c>
      <c r="G407" s="6" t="s">
        <v>2896</v>
      </c>
      <c r="H407" s="6" t="s">
        <v>2897</v>
      </c>
      <c r="I407" s="6" t="s">
        <v>2898</v>
      </c>
      <c r="J407" s="6">
        <v>1</v>
      </c>
      <c r="K407" s="6" t="s">
        <v>19</v>
      </c>
      <c r="L407" s="10">
        <v>41.164812562499996</v>
      </c>
      <c r="M407" s="6" t="s">
        <v>33</v>
      </c>
      <c r="N407" s="10">
        <f>Tabla11[[#This Row],[Price]]*Tabla11[[#This Row],[QTY Adjusted]]</f>
        <v>41.164812562499996</v>
      </c>
      <c r="O407" s="10">
        <v>41.164812562499996</v>
      </c>
      <c r="P407" s="10" t="s">
        <v>4225</v>
      </c>
      <c r="Q407" s="6">
        <v>0</v>
      </c>
    </row>
    <row r="408" spans="1:17" ht="40.200000000000003" customHeight="1" x14ac:dyDescent="0.3">
      <c r="A408" s="6">
        <v>1654</v>
      </c>
      <c r="B408" s="6" t="s">
        <v>2429</v>
      </c>
      <c r="C408" s="6" t="s">
        <v>723</v>
      </c>
      <c r="D408" s="6" t="s">
        <v>362</v>
      </c>
      <c r="E408" s="6" t="s">
        <v>3107</v>
      </c>
      <c r="F408" s="6" t="s">
        <v>4211</v>
      </c>
      <c r="G408" s="6" t="s">
        <v>3172</v>
      </c>
      <c r="H408" s="6" t="s">
        <v>3173</v>
      </c>
      <c r="I408" s="6" t="s">
        <v>3174</v>
      </c>
      <c r="J408" s="6">
        <v>4</v>
      </c>
      <c r="K408" s="6" t="s">
        <v>19</v>
      </c>
      <c r="L408" s="10">
        <v>10.28915514</v>
      </c>
      <c r="M408" s="6" t="s">
        <v>33</v>
      </c>
      <c r="N408" s="10">
        <f>Tabla11[[#This Row],[Price]]*Tabla11[[#This Row],[QTY Adjusted]]</f>
        <v>41.15662056</v>
      </c>
      <c r="O408" s="10">
        <v>41.15662056</v>
      </c>
      <c r="P408" s="10" t="s">
        <v>4225</v>
      </c>
      <c r="Q408" s="6">
        <v>0</v>
      </c>
    </row>
    <row r="409" spans="1:17" ht="40.200000000000003" customHeight="1" x14ac:dyDescent="0.3">
      <c r="A409" s="6">
        <v>1476</v>
      </c>
      <c r="B409" s="6" t="s">
        <v>2429</v>
      </c>
      <c r="C409" s="6" t="s">
        <v>723</v>
      </c>
      <c r="D409" s="6" t="s">
        <v>362</v>
      </c>
      <c r="E409" s="6" t="s">
        <v>2584</v>
      </c>
      <c r="F409" s="6" t="s">
        <v>4211</v>
      </c>
      <c r="G409" s="6" t="s">
        <v>2644</v>
      </c>
      <c r="H409" s="6" t="s">
        <v>2645</v>
      </c>
      <c r="I409" s="6" t="s">
        <v>2646</v>
      </c>
      <c r="J409" s="6">
        <v>1</v>
      </c>
      <c r="K409" s="6" t="s">
        <v>19</v>
      </c>
      <c r="L409" s="10">
        <v>40.591372387499995</v>
      </c>
      <c r="M409" s="6" t="s">
        <v>33</v>
      </c>
      <c r="N409" s="10">
        <f>Tabla11[[#This Row],[Price]]*Tabla11[[#This Row],[QTY Adjusted]]</f>
        <v>40.591372387499995</v>
      </c>
      <c r="O409" s="10">
        <v>40.591372387499995</v>
      </c>
      <c r="P409" s="10" t="s">
        <v>4225</v>
      </c>
      <c r="Q409" s="6">
        <v>0</v>
      </c>
    </row>
    <row r="410" spans="1:17" ht="40.200000000000003" customHeight="1" x14ac:dyDescent="0.3">
      <c r="A410" s="6">
        <v>1480</v>
      </c>
      <c r="B410" s="6" t="s">
        <v>2429</v>
      </c>
      <c r="C410" s="6" t="s">
        <v>723</v>
      </c>
      <c r="D410" s="6" t="s">
        <v>362</v>
      </c>
      <c r="E410" s="6" t="s">
        <v>2584</v>
      </c>
      <c r="F410" s="6" t="s">
        <v>4211</v>
      </c>
      <c r="G410" s="6" t="s">
        <v>2656</v>
      </c>
      <c r="H410" s="6" t="s">
        <v>2657</v>
      </c>
      <c r="I410" s="6" t="s">
        <v>2658</v>
      </c>
      <c r="J410" s="6">
        <v>8</v>
      </c>
      <c r="K410" s="6" t="s">
        <v>19</v>
      </c>
      <c r="L410" s="10">
        <v>4.0304652300000008</v>
      </c>
      <c r="M410" s="6" t="s">
        <v>33</v>
      </c>
      <c r="N410" s="10">
        <f>Tabla11[[#This Row],[Price]]*Tabla11[[#This Row],[QTY Adjusted]]</f>
        <v>32.243721840000006</v>
      </c>
      <c r="O410" s="10">
        <v>32.243721840000006</v>
      </c>
      <c r="P410" s="10" t="s">
        <v>4225</v>
      </c>
      <c r="Q410" s="6">
        <v>0</v>
      </c>
    </row>
    <row r="411" spans="1:17" ht="40.200000000000003" customHeight="1" x14ac:dyDescent="0.3">
      <c r="A411" s="6">
        <v>1597</v>
      </c>
      <c r="B411" s="6" t="s">
        <v>2429</v>
      </c>
      <c r="C411" s="6" t="s">
        <v>723</v>
      </c>
      <c r="D411" s="6" t="s">
        <v>362</v>
      </c>
      <c r="E411" s="6" t="s">
        <v>2747</v>
      </c>
      <c r="F411" s="6" t="s">
        <v>4211</v>
      </c>
      <c r="G411" s="6" t="s">
        <v>2995</v>
      </c>
      <c r="H411" s="6" t="s">
        <v>2996</v>
      </c>
      <c r="I411" s="6" t="s">
        <v>2997</v>
      </c>
      <c r="J411" s="6">
        <v>1</v>
      </c>
      <c r="K411" s="6" t="s">
        <v>19</v>
      </c>
      <c r="L411" s="10">
        <v>39.35438001</v>
      </c>
      <c r="M411" s="6" t="s">
        <v>33</v>
      </c>
      <c r="N411" s="10">
        <f>Tabla11[[#This Row],[Price]]*Tabla11[[#This Row],[QTY Adjusted]]</f>
        <v>39.35438001</v>
      </c>
      <c r="O411" s="10">
        <v>39.35438001</v>
      </c>
      <c r="P411" s="10" t="s">
        <v>4225</v>
      </c>
      <c r="Q411" s="6">
        <v>0</v>
      </c>
    </row>
    <row r="412" spans="1:17" ht="40.200000000000003" customHeight="1" x14ac:dyDescent="0.3">
      <c r="A412" s="6">
        <v>1664</v>
      </c>
      <c r="B412" s="6" t="s">
        <v>2429</v>
      </c>
      <c r="C412" s="6" t="s">
        <v>723</v>
      </c>
      <c r="D412" s="6" t="s">
        <v>362</v>
      </c>
      <c r="E412" s="6" t="s">
        <v>3107</v>
      </c>
      <c r="F412" s="6" t="s">
        <v>4211</v>
      </c>
      <c r="G412" s="6" t="s">
        <v>3197</v>
      </c>
      <c r="H412" s="6" t="s">
        <v>3198</v>
      </c>
      <c r="I412" s="6" t="s">
        <v>3199</v>
      </c>
      <c r="J412" s="6">
        <v>36</v>
      </c>
      <c r="K412" s="6" t="s">
        <v>19</v>
      </c>
      <c r="L412" s="10">
        <v>1.0731523274999999</v>
      </c>
      <c r="M412" s="6" t="s">
        <v>33</v>
      </c>
      <c r="N412" s="10">
        <f>Tabla11[[#This Row],[Price]]*Tabla11[[#This Row],[QTY Adjusted]]</f>
        <v>38.63348379</v>
      </c>
      <c r="O412" s="10">
        <v>38.63348379</v>
      </c>
      <c r="P412" s="10" t="s">
        <v>4225</v>
      </c>
      <c r="Q412" s="6">
        <v>0</v>
      </c>
    </row>
    <row r="413" spans="1:17" ht="40.200000000000003" customHeight="1" x14ac:dyDescent="0.3">
      <c r="A413" s="6">
        <v>1850</v>
      </c>
      <c r="B413" s="6" t="s">
        <v>2429</v>
      </c>
      <c r="C413" s="6" t="s">
        <v>3707</v>
      </c>
      <c r="D413" s="6" t="s">
        <v>178</v>
      </c>
      <c r="E413" s="6" t="s">
        <v>3621</v>
      </c>
      <c r="F413" s="6" t="s">
        <v>4211</v>
      </c>
      <c r="G413" s="6">
        <v>157017</v>
      </c>
      <c r="H413" s="6" t="s">
        <v>3710</v>
      </c>
      <c r="I413" s="6" t="s">
        <v>3711</v>
      </c>
      <c r="J413" s="6">
        <v>6</v>
      </c>
      <c r="K413" s="6" t="s">
        <v>19</v>
      </c>
      <c r="L413" s="10">
        <v>6.4081600000000014</v>
      </c>
      <c r="M413" s="6" t="s">
        <v>33</v>
      </c>
      <c r="N413" s="10">
        <f>Tabla11[[#This Row],[Price]]*Tabla11[[#This Row],[QTY Adjusted]]</f>
        <v>38.448960000000007</v>
      </c>
      <c r="O413" s="10">
        <v>38.448960000000007</v>
      </c>
      <c r="P413" s="10" t="s">
        <v>4225</v>
      </c>
      <c r="Q413" s="6">
        <v>0</v>
      </c>
    </row>
    <row r="414" spans="1:17" ht="40.200000000000003" customHeight="1" x14ac:dyDescent="0.3">
      <c r="A414" s="6">
        <v>1668</v>
      </c>
      <c r="B414" s="6" t="s">
        <v>2429</v>
      </c>
      <c r="C414" s="6" t="s">
        <v>723</v>
      </c>
      <c r="D414" s="6" t="s">
        <v>362</v>
      </c>
      <c r="E414" s="6" t="s">
        <v>3107</v>
      </c>
      <c r="F414" s="6" t="s">
        <v>4211</v>
      </c>
      <c r="G414" s="6" t="s">
        <v>3205</v>
      </c>
      <c r="H414" s="6" t="s">
        <v>3206</v>
      </c>
      <c r="I414" s="6" t="s">
        <v>3207</v>
      </c>
      <c r="J414" s="6">
        <v>4</v>
      </c>
      <c r="K414" s="6" t="s">
        <v>19</v>
      </c>
      <c r="L414" s="10">
        <v>9.1422747899999983</v>
      </c>
      <c r="M414" s="6" t="s">
        <v>33</v>
      </c>
      <c r="N414" s="10">
        <f>Tabla11[[#This Row],[Price]]*Tabla11[[#This Row],[QTY Adjusted]]</f>
        <v>36.569099159999993</v>
      </c>
      <c r="O414" s="10">
        <v>36.569099159999993</v>
      </c>
      <c r="P414" s="10" t="s">
        <v>4225</v>
      </c>
      <c r="Q414" s="6">
        <v>0</v>
      </c>
    </row>
    <row r="415" spans="1:17" ht="40.200000000000003" customHeight="1" x14ac:dyDescent="0.3">
      <c r="A415" s="6">
        <v>1574</v>
      </c>
      <c r="B415" s="6" t="s">
        <v>2429</v>
      </c>
      <c r="C415" s="6" t="s">
        <v>723</v>
      </c>
      <c r="D415" s="6" t="s">
        <v>362</v>
      </c>
      <c r="E415" s="6" t="s">
        <v>2747</v>
      </c>
      <c r="F415" s="6" t="s">
        <v>4211</v>
      </c>
      <c r="G415" s="6" t="s">
        <v>2929</v>
      </c>
      <c r="H415" s="6" t="s">
        <v>2930</v>
      </c>
      <c r="I415" s="6" t="s">
        <v>2931</v>
      </c>
      <c r="J415" s="6">
        <v>4</v>
      </c>
      <c r="K415" s="6" t="s">
        <v>19</v>
      </c>
      <c r="L415" s="10">
        <v>8.8883227125000008</v>
      </c>
      <c r="M415" s="6" t="s">
        <v>33</v>
      </c>
      <c r="N415" s="10">
        <f>Tabla11[[#This Row],[Price]]*Tabla11[[#This Row],[QTY Adjusted]]</f>
        <v>35.553290850000003</v>
      </c>
      <c r="O415" s="10">
        <v>35.553290850000003</v>
      </c>
      <c r="P415" s="10" t="s">
        <v>4225</v>
      </c>
      <c r="Q415" s="6">
        <v>0</v>
      </c>
    </row>
    <row r="416" spans="1:17" ht="40.200000000000003" customHeight="1" x14ac:dyDescent="0.3">
      <c r="A416" s="6">
        <v>1564</v>
      </c>
      <c r="B416" s="6" t="s">
        <v>2429</v>
      </c>
      <c r="C416" s="6" t="s">
        <v>723</v>
      </c>
      <c r="D416" s="6" t="s">
        <v>362</v>
      </c>
      <c r="E416" s="6" t="s">
        <v>2747</v>
      </c>
      <c r="F416" s="6" t="s">
        <v>4211</v>
      </c>
      <c r="G416" s="6" t="s">
        <v>2899</v>
      </c>
      <c r="H416" s="6" t="s">
        <v>2900</v>
      </c>
      <c r="I416" s="6" t="s">
        <v>2901</v>
      </c>
      <c r="J416" s="6">
        <v>1</v>
      </c>
      <c r="K416" s="6" t="s">
        <v>19</v>
      </c>
      <c r="L416" s="10">
        <v>35.48775483</v>
      </c>
      <c r="M416" s="6" t="s">
        <v>33</v>
      </c>
      <c r="N416" s="10">
        <f>Tabla11[[#This Row],[Price]]*Tabla11[[#This Row],[QTY Adjusted]]</f>
        <v>35.48775483</v>
      </c>
      <c r="O416" s="10">
        <v>35.48775483</v>
      </c>
      <c r="P416" s="10" t="s">
        <v>4225</v>
      </c>
      <c r="Q416" s="6">
        <v>0</v>
      </c>
    </row>
    <row r="417" spans="1:17" ht="40.200000000000003" customHeight="1" x14ac:dyDescent="0.3">
      <c r="A417" s="6">
        <v>1424</v>
      </c>
      <c r="B417" s="6" t="s">
        <v>2429</v>
      </c>
      <c r="C417" s="6" t="s">
        <v>2492</v>
      </c>
      <c r="D417" s="6" t="s">
        <v>178</v>
      </c>
      <c r="E417" s="20" t="s">
        <v>2430</v>
      </c>
      <c r="F417" s="6" t="s">
        <v>4211</v>
      </c>
      <c r="G417" s="6" t="s">
        <v>2493</v>
      </c>
      <c r="H417" s="6" t="s">
        <v>2494</v>
      </c>
      <c r="I417" s="6" t="s">
        <v>2494</v>
      </c>
      <c r="J417" s="6">
        <v>2</v>
      </c>
      <c r="K417" s="6" t="s">
        <v>19</v>
      </c>
      <c r="L417" s="10">
        <v>17.63</v>
      </c>
      <c r="M417" s="6" t="s">
        <v>33</v>
      </c>
      <c r="N417" s="10">
        <f>Tabla11[[#This Row],[Price]]*Tabla11[[#This Row],[QTY Adjusted]]</f>
        <v>35.26</v>
      </c>
      <c r="O417" s="10">
        <v>35.26</v>
      </c>
      <c r="P417" s="10" t="s">
        <v>4234</v>
      </c>
      <c r="Q417" s="6" t="s">
        <v>4246</v>
      </c>
    </row>
    <row r="418" spans="1:17" ht="40.200000000000003" customHeight="1" x14ac:dyDescent="0.3">
      <c r="A418" s="6">
        <v>1467</v>
      </c>
      <c r="B418" s="6" t="s">
        <v>2429</v>
      </c>
      <c r="C418" s="6" t="s">
        <v>723</v>
      </c>
      <c r="D418" s="6" t="s">
        <v>362</v>
      </c>
      <c r="E418" s="6" t="s">
        <v>2584</v>
      </c>
      <c r="F418" s="6" t="s">
        <v>4211</v>
      </c>
      <c r="G418" s="6" t="s">
        <v>2617</v>
      </c>
      <c r="H418" s="6" t="s">
        <v>2618</v>
      </c>
      <c r="I418" s="6" t="s">
        <v>2619</v>
      </c>
      <c r="J418" s="6">
        <v>3</v>
      </c>
      <c r="K418" s="6" t="s">
        <v>19</v>
      </c>
      <c r="L418" s="10">
        <v>11.608067542499999</v>
      </c>
      <c r="M418" s="6" t="s">
        <v>33</v>
      </c>
      <c r="N418" s="10">
        <f>Tabla11[[#This Row],[Price]]*Tabla11[[#This Row],[QTY Adjusted]]</f>
        <v>34.8242026275</v>
      </c>
      <c r="O418" s="10">
        <v>34.8242026275</v>
      </c>
      <c r="P418" s="10" t="s">
        <v>4225</v>
      </c>
      <c r="Q418" s="6">
        <v>0</v>
      </c>
    </row>
    <row r="419" spans="1:17" ht="40.200000000000003" customHeight="1" x14ac:dyDescent="0.3">
      <c r="A419" s="6">
        <v>1468</v>
      </c>
      <c r="B419" s="6" t="s">
        <v>2429</v>
      </c>
      <c r="C419" s="6" t="s">
        <v>723</v>
      </c>
      <c r="D419" s="6" t="s">
        <v>362</v>
      </c>
      <c r="E419" s="6" t="s">
        <v>2584</v>
      </c>
      <c r="F419" s="6" t="s">
        <v>4211</v>
      </c>
      <c r="G419" s="6" t="s">
        <v>2620</v>
      </c>
      <c r="H419" s="6" t="s">
        <v>2621</v>
      </c>
      <c r="I419" s="6" t="s">
        <v>2622</v>
      </c>
      <c r="J419" s="6">
        <v>3</v>
      </c>
      <c r="K419" s="6" t="s">
        <v>19</v>
      </c>
      <c r="L419" s="10">
        <v>11.608067542499999</v>
      </c>
      <c r="M419" s="6" t="s">
        <v>33</v>
      </c>
      <c r="N419" s="10">
        <f>Tabla11[[#This Row],[Price]]*Tabla11[[#This Row],[QTY Adjusted]]</f>
        <v>34.8242026275</v>
      </c>
      <c r="O419" s="10">
        <v>34.8242026275</v>
      </c>
      <c r="P419" s="10" t="s">
        <v>4225</v>
      </c>
      <c r="Q419" s="6">
        <v>0</v>
      </c>
    </row>
    <row r="420" spans="1:17" ht="40.200000000000003" customHeight="1" x14ac:dyDescent="0.3">
      <c r="A420" s="6">
        <v>1469</v>
      </c>
      <c r="B420" s="6" t="s">
        <v>2429</v>
      </c>
      <c r="C420" s="6" t="s">
        <v>723</v>
      </c>
      <c r="D420" s="6" t="s">
        <v>362</v>
      </c>
      <c r="E420" s="6" t="s">
        <v>2584</v>
      </c>
      <c r="F420" s="6" t="s">
        <v>4211</v>
      </c>
      <c r="G420" s="6" t="s">
        <v>2623</v>
      </c>
      <c r="H420" s="6" t="s">
        <v>2624</v>
      </c>
      <c r="I420" s="6" t="s">
        <v>2625</v>
      </c>
      <c r="J420" s="6">
        <v>3</v>
      </c>
      <c r="K420" s="6" t="s">
        <v>19</v>
      </c>
      <c r="L420" s="10">
        <v>11.608067542499999</v>
      </c>
      <c r="M420" s="6" t="s">
        <v>33</v>
      </c>
      <c r="N420" s="10">
        <f>Tabla11[[#This Row],[Price]]*Tabla11[[#This Row],[QTY Adjusted]]</f>
        <v>34.8242026275</v>
      </c>
      <c r="O420" s="10">
        <v>34.8242026275</v>
      </c>
      <c r="P420" s="10" t="s">
        <v>4225</v>
      </c>
      <c r="Q420" s="6">
        <v>0</v>
      </c>
    </row>
    <row r="421" spans="1:17" ht="40.200000000000003" customHeight="1" x14ac:dyDescent="0.3">
      <c r="A421" s="6">
        <v>1592</v>
      </c>
      <c r="B421" s="6" t="s">
        <v>2429</v>
      </c>
      <c r="C421" s="6" t="s">
        <v>723</v>
      </c>
      <c r="D421" s="6" t="s">
        <v>362</v>
      </c>
      <c r="E421" s="6" t="s">
        <v>2747</v>
      </c>
      <c r="F421" s="6" t="s">
        <v>4211</v>
      </c>
      <c r="G421" s="6" t="s">
        <v>2981</v>
      </c>
      <c r="H421" s="6" t="s">
        <v>2982</v>
      </c>
      <c r="I421" s="6" t="s">
        <v>2983</v>
      </c>
      <c r="J421" s="6">
        <v>1</v>
      </c>
      <c r="K421" s="6" t="s">
        <v>19</v>
      </c>
      <c r="L421" s="10">
        <v>33.341450175000006</v>
      </c>
      <c r="M421" s="6" t="s">
        <v>33</v>
      </c>
      <c r="N421" s="10">
        <f>Tabla11[[#This Row],[Price]]*Tabla11[[#This Row],[QTY Adjusted]]</f>
        <v>33.341450175000006</v>
      </c>
      <c r="O421" s="10">
        <v>33.341450175000006</v>
      </c>
      <c r="P421" s="10" t="s">
        <v>4225</v>
      </c>
      <c r="Q421" s="6">
        <v>0</v>
      </c>
    </row>
    <row r="422" spans="1:17" ht="40.200000000000003" customHeight="1" x14ac:dyDescent="0.3">
      <c r="A422" s="6">
        <v>1696</v>
      </c>
      <c r="B422" s="6" t="s">
        <v>2429</v>
      </c>
      <c r="C422" s="6" t="s">
        <v>723</v>
      </c>
      <c r="D422" s="6" t="s">
        <v>362</v>
      </c>
      <c r="E422" s="6" t="s">
        <v>3245</v>
      </c>
      <c r="F422" s="6" t="s">
        <v>4211</v>
      </c>
      <c r="G422" s="6" t="s">
        <v>3276</v>
      </c>
      <c r="H422" s="6" t="s">
        <v>3277</v>
      </c>
      <c r="I422" s="6" t="s">
        <v>3278</v>
      </c>
      <c r="J422" s="6">
        <v>2</v>
      </c>
      <c r="K422" s="6" t="s">
        <v>19</v>
      </c>
      <c r="L422" s="10">
        <v>16.629765075000002</v>
      </c>
      <c r="M422" s="6" t="s">
        <v>33</v>
      </c>
      <c r="N422" s="10">
        <f>Tabla11[[#This Row],[Price]]*Tabla11[[#This Row],[QTY Adjusted]]</f>
        <v>33.259530150000003</v>
      </c>
      <c r="O422" s="10">
        <v>33.259530150000003</v>
      </c>
      <c r="P422" s="10" t="s">
        <v>4225</v>
      </c>
      <c r="Q422" s="6">
        <v>0</v>
      </c>
    </row>
    <row r="423" spans="1:17" ht="40.200000000000003" customHeight="1" x14ac:dyDescent="0.3">
      <c r="A423" s="6">
        <v>1681</v>
      </c>
      <c r="B423" s="6" t="s">
        <v>2429</v>
      </c>
      <c r="C423" s="6" t="s">
        <v>723</v>
      </c>
      <c r="D423" s="6" t="s">
        <v>362</v>
      </c>
      <c r="E423" s="6" t="s">
        <v>3107</v>
      </c>
      <c r="F423" s="6" t="s">
        <v>4211</v>
      </c>
      <c r="G423" s="6" t="s">
        <v>3236</v>
      </c>
      <c r="H423" s="6" t="s">
        <v>3237</v>
      </c>
      <c r="I423" s="6" t="s">
        <v>3238</v>
      </c>
      <c r="J423" s="6">
        <v>1</v>
      </c>
      <c r="K423" s="6" t="s">
        <v>19</v>
      </c>
      <c r="L423" s="10">
        <v>33.095690100000006</v>
      </c>
      <c r="M423" s="6" t="s">
        <v>33</v>
      </c>
      <c r="N423" s="10">
        <f>Tabla11[[#This Row],[Price]]*Tabla11[[#This Row],[QTY Adjusted]]</f>
        <v>33.095690100000006</v>
      </c>
      <c r="O423" s="10">
        <v>33.095690100000006</v>
      </c>
      <c r="P423" s="10" t="s">
        <v>4225</v>
      </c>
      <c r="Q423" s="6">
        <v>0</v>
      </c>
    </row>
    <row r="424" spans="1:17" ht="40.200000000000003" customHeight="1" x14ac:dyDescent="0.3">
      <c r="A424" s="6">
        <v>1497</v>
      </c>
      <c r="B424" s="6" t="s">
        <v>2429</v>
      </c>
      <c r="C424" s="6" t="s">
        <v>723</v>
      </c>
      <c r="D424" s="6" t="s">
        <v>362</v>
      </c>
      <c r="E424" s="6" t="s">
        <v>2584</v>
      </c>
      <c r="F424" s="6" t="s">
        <v>4211</v>
      </c>
      <c r="G424" s="6" t="s">
        <v>2707</v>
      </c>
      <c r="H424" s="6" t="s">
        <v>2708</v>
      </c>
      <c r="I424" s="6" t="s">
        <v>2709</v>
      </c>
      <c r="J424" s="6">
        <v>5</v>
      </c>
      <c r="K424" s="6" t="s">
        <v>19</v>
      </c>
      <c r="L424" s="10">
        <v>6.5863700099999978</v>
      </c>
      <c r="M424" s="6" t="s">
        <v>33</v>
      </c>
      <c r="N424" s="10">
        <f>Tabla11[[#This Row],[Price]]*Tabla11[[#This Row],[QTY Adjusted]]</f>
        <v>32.931850049999987</v>
      </c>
      <c r="O424" s="10">
        <v>32.931850049999987</v>
      </c>
      <c r="P424" s="10" t="s">
        <v>4225</v>
      </c>
      <c r="Q424" s="6">
        <v>0</v>
      </c>
    </row>
    <row r="425" spans="1:17" ht="40.200000000000003" customHeight="1" x14ac:dyDescent="0.3">
      <c r="A425" s="6">
        <v>1663</v>
      </c>
      <c r="B425" s="6" t="s">
        <v>2429</v>
      </c>
      <c r="C425" s="6" t="s">
        <v>723</v>
      </c>
      <c r="D425" s="6" t="s">
        <v>362</v>
      </c>
      <c r="E425" s="6" t="s">
        <v>3107</v>
      </c>
      <c r="F425" s="6" t="s">
        <v>4211</v>
      </c>
      <c r="G425" s="6" t="s">
        <v>3194</v>
      </c>
      <c r="H425" s="6" t="s">
        <v>3195</v>
      </c>
      <c r="I425" s="6" t="s">
        <v>3196</v>
      </c>
      <c r="J425" s="6">
        <v>36</v>
      </c>
      <c r="K425" s="6" t="s">
        <v>19</v>
      </c>
      <c r="L425" s="10">
        <v>0.90931227750000032</v>
      </c>
      <c r="M425" s="6" t="s">
        <v>33</v>
      </c>
      <c r="N425" s="10">
        <f>Tabla11[[#This Row],[Price]]*Tabla11[[#This Row],[QTY Adjusted]]</f>
        <v>32.735241990000013</v>
      </c>
      <c r="O425" s="10">
        <v>32.735241990000013</v>
      </c>
      <c r="P425" s="10" t="s">
        <v>4225</v>
      </c>
      <c r="Q425" s="6">
        <v>0</v>
      </c>
    </row>
    <row r="426" spans="1:17" ht="40.200000000000003" customHeight="1" x14ac:dyDescent="0.3">
      <c r="A426" s="6">
        <v>1498</v>
      </c>
      <c r="B426" s="6" t="s">
        <v>2429</v>
      </c>
      <c r="C426" s="6" t="s">
        <v>723</v>
      </c>
      <c r="D426" s="6" t="s">
        <v>362</v>
      </c>
      <c r="E426" s="6" t="s">
        <v>2584</v>
      </c>
      <c r="F426" s="6" t="s">
        <v>4211</v>
      </c>
      <c r="G426" s="6" t="s">
        <v>2710</v>
      </c>
      <c r="H426" s="6" t="s">
        <v>2711</v>
      </c>
      <c r="I426" s="6" t="s">
        <v>2712</v>
      </c>
      <c r="J426" s="6">
        <v>5</v>
      </c>
      <c r="K426" s="6" t="s">
        <v>19</v>
      </c>
      <c r="L426" s="10">
        <v>6.0948498600000018</v>
      </c>
      <c r="M426" s="6" t="s">
        <v>33</v>
      </c>
      <c r="N426" s="10">
        <f>Tabla11[[#This Row],[Price]]*Tabla11[[#This Row],[QTY Adjusted]]</f>
        <v>30.474249300000011</v>
      </c>
      <c r="O426" s="10">
        <v>30.474249300000011</v>
      </c>
      <c r="P426" s="10" t="s">
        <v>4225</v>
      </c>
      <c r="Q426" s="6">
        <v>0</v>
      </c>
    </row>
    <row r="427" spans="1:17" ht="40.200000000000003" customHeight="1" x14ac:dyDescent="0.3">
      <c r="A427" s="6">
        <v>1534</v>
      </c>
      <c r="B427" s="6" t="s">
        <v>2429</v>
      </c>
      <c r="C427" s="6" t="s">
        <v>723</v>
      </c>
      <c r="D427" s="6" t="s">
        <v>362</v>
      </c>
      <c r="E427" s="6" t="s">
        <v>2747</v>
      </c>
      <c r="F427" s="6" t="s">
        <v>4211</v>
      </c>
      <c r="G427" s="6" t="s">
        <v>2810</v>
      </c>
      <c r="H427" s="6" t="s">
        <v>2811</v>
      </c>
      <c r="I427" s="6" t="s">
        <v>2812</v>
      </c>
      <c r="J427" s="6">
        <v>4</v>
      </c>
      <c r="K427" s="6" t="s">
        <v>19</v>
      </c>
      <c r="L427" s="10">
        <v>7.4956822875000011</v>
      </c>
      <c r="M427" s="6" t="s">
        <v>33</v>
      </c>
      <c r="N427" s="10">
        <f>Tabla11[[#This Row],[Price]]*Tabla11[[#This Row],[QTY Adjusted]]</f>
        <v>29.982729150000004</v>
      </c>
      <c r="O427" s="10">
        <v>29.982729150000004</v>
      </c>
      <c r="P427" s="10" t="s">
        <v>4225</v>
      </c>
      <c r="Q427" s="6">
        <v>0</v>
      </c>
    </row>
    <row r="428" spans="1:17" ht="40.200000000000003" customHeight="1" x14ac:dyDescent="0.3">
      <c r="A428" s="6">
        <v>1570</v>
      </c>
      <c r="B428" s="6" t="s">
        <v>2429</v>
      </c>
      <c r="C428" s="6" t="s">
        <v>723</v>
      </c>
      <c r="D428" s="6" t="s">
        <v>362</v>
      </c>
      <c r="E428" s="6" t="s">
        <v>2747</v>
      </c>
      <c r="F428" s="6" t="s">
        <v>4211</v>
      </c>
      <c r="G428" s="6" t="s">
        <v>2917</v>
      </c>
      <c r="H428" s="6" t="s">
        <v>2918</v>
      </c>
      <c r="I428" s="6" t="s">
        <v>2919</v>
      </c>
      <c r="J428" s="6">
        <v>2</v>
      </c>
      <c r="K428" s="6" t="s">
        <v>19</v>
      </c>
      <c r="L428" s="10">
        <v>14.456475000000001</v>
      </c>
      <c r="M428" s="6" t="s">
        <v>33</v>
      </c>
      <c r="N428" s="10">
        <f>Tabla11[[#This Row],[Price]]*Tabla11[[#This Row],[QTY Adjusted]]</f>
        <v>28.912950000000002</v>
      </c>
      <c r="O428" s="10">
        <v>28.912950000000002</v>
      </c>
      <c r="P428" s="10" t="s">
        <v>4225</v>
      </c>
      <c r="Q428" s="6">
        <v>0</v>
      </c>
    </row>
    <row r="429" spans="1:17" ht="40.200000000000003" customHeight="1" x14ac:dyDescent="0.3">
      <c r="A429" s="6">
        <v>1441</v>
      </c>
      <c r="B429" s="6" t="s">
        <v>2429</v>
      </c>
      <c r="C429" s="6" t="s">
        <v>723</v>
      </c>
      <c r="D429" s="6" t="s">
        <v>362</v>
      </c>
      <c r="E429" s="6" t="s">
        <v>2515</v>
      </c>
      <c r="F429" s="6" t="s">
        <v>4211</v>
      </c>
      <c r="G429" s="6" t="s">
        <v>2540</v>
      </c>
      <c r="H429" s="6" t="s">
        <v>2541</v>
      </c>
      <c r="I429" s="6" t="s">
        <v>2542</v>
      </c>
      <c r="J429" s="6">
        <v>8</v>
      </c>
      <c r="K429" s="6" t="s">
        <v>19</v>
      </c>
      <c r="L429" s="10">
        <v>3.5389450800000004</v>
      </c>
      <c r="M429" s="6" t="s">
        <v>33</v>
      </c>
      <c r="N429" s="10">
        <f>Tabla11[[#This Row],[Price]]*Tabla11[[#This Row],[QTY Adjusted]]</f>
        <v>28.311560640000003</v>
      </c>
      <c r="O429" s="10">
        <v>28.311560640000003</v>
      </c>
      <c r="P429" s="10" t="s">
        <v>4225</v>
      </c>
      <c r="Q429" s="6">
        <v>0</v>
      </c>
    </row>
    <row r="430" spans="1:17" ht="40.200000000000003" customHeight="1" x14ac:dyDescent="0.3">
      <c r="A430" s="6">
        <v>1482</v>
      </c>
      <c r="B430" s="6" t="s">
        <v>2429</v>
      </c>
      <c r="C430" s="6" t="s">
        <v>723</v>
      </c>
      <c r="D430" s="6" t="s">
        <v>362</v>
      </c>
      <c r="E430" s="6" t="s">
        <v>2584</v>
      </c>
      <c r="F430" s="6" t="s">
        <v>4211</v>
      </c>
      <c r="G430" s="6" t="s">
        <v>2662</v>
      </c>
      <c r="H430" s="6" t="s">
        <v>2663</v>
      </c>
      <c r="I430" s="6" t="s">
        <v>2664</v>
      </c>
      <c r="J430" s="6">
        <v>8</v>
      </c>
      <c r="K430" s="6" t="s">
        <v>19</v>
      </c>
      <c r="L430" s="10">
        <v>2.5559047800000005</v>
      </c>
      <c r="M430" s="6" t="s">
        <v>33</v>
      </c>
      <c r="N430" s="10">
        <f>Tabla11[[#This Row],[Price]]*Tabla11[[#This Row],[QTY Adjusted]]</f>
        <v>20.447238240000004</v>
      </c>
      <c r="O430" s="10">
        <v>20.447238240000004</v>
      </c>
      <c r="P430" s="10" t="s">
        <v>4225</v>
      </c>
      <c r="Q430" s="6">
        <v>0</v>
      </c>
    </row>
    <row r="431" spans="1:17" ht="40.200000000000003" customHeight="1" x14ac:dyDescent="0.3">
      <c r="A431" s="6">
        <v>1440</v>
      </c>
      <c r="B431" s="6" t="s">
        <v>2429</v>
      </c>
      <c r="C431" s="6" t="s">
        <v>723</v>
      </c>
      <c r="D431" s="6" t="s">
        <v>362</v>
      </c>
      <c r="E431" s="6" t="s">
        <v>2515</v>
      </c>
      <c r="F431" s="6" t="s">
        <v>4211</v>
      </c>
      <c r="G431" s="6" t="s">
        <v>2537</v>
      </c>
      <c r="H431" s="6" t="s">
        <v>2538</v>
      </c>
      <c r="I431" s="6" t="s">
        <v>2539</v>
      </c>
      <c r="J431" s="6">
        <v>4</v>
      </c>
      <c r="K431" s="6" t="s">
        <v>19</v>
      </c>
      <c r="L431" s="10">
        <v>6.9959701349999985</v>
      </c>
      <c r="M431" s="6" t="s">
        <v>33</v>
      </c>
      <c r="N431" s="10">
        <f>Tabla11[[#This Row],[Price]]*Tabla11[[#This Row],[QTY Adjusted]]</f>
        <v>27.983880539999994</v>
      </c>
      <c r="O431" s="10">
        <v>27.983880539999994</v>
      </c>
      <c r="P431" s="10" t="s">
        <v>4225</v>
      </c>
      <c r="Q431" s="6">
        <v>0</v>
      </c>
    </row>
    <row r="432" spans="1:17" ht="40.200000000000003" customHeight="1" x14ac:dyDescent="0.3">
      <c r="A432" s="6">
        <v>1496</v>
      </c>
      <c r="B432" s="6" t="s">
        <v>2429</v>
      </c>
      <c r="C432" s="6" t="s">
        <v>723</v>
      </c>
      <c r="D432" s="6" t="s">
        <v>362</v>
      </c>
      <c r="E432" s="6" t="s">
        <v>2584</v>
      </c>
      <c r="F432" s="6" t="s">
        <v>4211</v>
      </c>
      <c r="G432" s="6" t="s">
        <v>2704</v>
      </c>
      <c r="H432" s="6" t="s">
        <v>2705</v>
      </c>
      <c r="I432" s="6" t="s">
        <v>2706</v>
      </c>
      <c r="J432" s="6">
        <v>4</v>
      </c>
      <c r="K432" s="6" t="s">
        <v>19</v>
      </c>
      <c r="L432" s="10">
        <v>5.5132176825000005</v>
      </c>
      <c r="M432" s="6" t="s">
        <v>33</v>
      </c>
      <c r="N432" s="10">
        <f>Tabla11[[#This Row],[Price]]*Tabla11[[#This Row],[QTY Adjusted]]</f>
        <v>22.052870730000002</v>
      </c>
      <c r="O432" s="10">
        <v>22.052870730000002</v>
      </c>
      <c r="P432" s="10" t="s">
        <v>4225</v>
      </c>
      <c r="Q432" s="6">
        <v>0</v>
      </c>
    </row>
    <row r="433" spans="1:17" ht="40.200000000000003" customHeight="1" x14ac:dyDescent="0.3">
      <c r="A433" s="6">
        <v>1499</v>
      </c>
      <c r="B433" s="6" t="s">
        <v>2429</v>
      </c>
      <c r="C433" s="6" t="s">
        <v>723</v>
      </c>
      <c r="D433" s="6" t="s">
        <v>362</v>
      </c>
      <c r="E433" s="6" t="s">
        <v>2584</v>
      </c>
      <c r="F433" s="6" t="s">
        <v>4211</v>
      </c>
      <c r="G433" s="6" t="s">
        <v>2713</v>
      </c>
      <c r="H433" s="6" t="s">
        <v>2714</v>
      </c>
      <c r="I433" s="6" t="s">
        <v>2715</v>
      </c>
      <c r="J433" s="6">
        <v>4</v>
      </c>
      <c r="K433" s="6" t="s">
        <v>19</v>
      </c>
      <c r="L433" s="10">
        <v>5.3493776325000004</v>
      </c>
      <c r="M433" s="6" t="s">
        <v>33</v>
      </c>
      <c r="N433" s="10">
        <f>Tabla11[[#This Row],[Price]]*Tabla11[[#This Row],[QTY Adjusted]]</f>
        <v>21.397510530000002</v>
      </c>
      <c r="O433" s="10">
        <v>21.397510530000002</v>
      </c>
      <c r="P433" s="10" t="s">
        <v>4225</v>
      </c>
      <c r="Q433" s="6">
        <v>0</v>
      </c>
    </row>
    <row r="434" spans="1:17" ht="40.200000000000003" customHeight="1" x14ac:dyDescent="0.3">
      <c r="A434" s="6">
        <v>1802</v>
      </c>
      <c r="B434" s="6" t="s">
        <v>2429</v>
      </c>
      <c r="C434" s="6" t="s">
        <v>723</v>
      </c>
      <c r="D434" s="6" t="s">
        <v>362</v>
      </c>
      <c r="E434" s="6" t="s">
        <v>3520</v>
      </c>
      <c r="F434" s="6" t="s">
        <v>4211</v>
      </c>
      <c r="G434" s="6" t="s">
        <v>3569</v>
      </c>
      <c r="H434" s="6" t="s">
        <v>3570</v>
      </c>
      <c r="I434" s="6" t="s">
        <v>3571</v>
      </c>
      <c r="J434" s="6">
        <v>12</v>
      </c>
      <c r="K434" s="6" t="s">
        <v>19</v>
      </c>
      <c r="L434" s="10">
        <v>2.2200326774999999</v>
      </c>
      <c r="M434" s="6" t="s">
        <v>33</v>
      </c>
      <c r="N434" s="10">
        <f>Tabla11[[#This Row],[Price]]*Tabla11[[#This Row],[QTY Adjusted]]</f>
        <v>26.640392129999999</v>
      </c>
      <c r="O434" s="10">
        <v>26.640392129999999</v>
      </c>
      <c r="P434" s="10" t="s">
        <v>4225</v>
      </c>
      <c r="Q434" s="6">
        <v>0</v>
      </c>
    </row>
    <row r="435" spans="1:17" ht="40.200000000000003" customHeight="1" x14ac:dyDescent="0.3">
      <c r="A435" s="6">
        <v>1495</v>
      </c>
      <c r="B435" s="6" t="s">
        <v>2429</v>
      </c>
      <c r="C435" s="6" t="s">
        <v>723</v>
      </c>
      <c r="D435" s="6" t="s">
        <v>362</v>
      </c>
      <c r="E435" s="6" t="s">
        <v>2584</v>
      </c>
      <c r="F435" s="6" t="s">
        <v>4211</v>
      </c>
      <c r="G435" s="6" t="s">
        <v>2701</v>
      </c>
      <c r="H435" s="6" t="s">
        <v>2702</v>
      </c>
      <c r="I435" s="6" t="s">
        <v>2703</v>
      </c>
      <c r="J435" s="6">
        <v>5</v>
      </c>
      <c r="K435" s="6" t="s">
        <v>19</v>
      </c>
      <c r="L435" s="10">
        <v>5.1855375825000012</v>
      </c>
      <c r="M435" s="6" t="s">
        <v>33</v>
      </c>
      <c r="N435" s="10">
        <f>Tabla11[[#This Row],[Price]]*Tabla11[[#This Row],[QTY Adjusted]]</f>
        <v>25.927687912500005</v>
      </c>
      <c r="O435" s="10">
        <v>25.927687912500005</v>
      </c>
      <c r="P435" s="10" t="s">
        <v>4225</v>
      </c>
      <c r="Q435" s="6">
        <v>0</v>
      </c>
    </row>
    <row r="436" spans="1:17" ht="40.200000000000003" customHeight="1" x14ac:dyDescent="0.3">
      <c r="A436" s="6">
        <v>1455</v>
      </c>
      <c r="B436" s="6" t="s">
        <v>2429</v>
      </c>
      <c r="C436" s="6" t="s">
        <v>723</v>
      </c>
      <c r="D436" s="6" t="s">
        <v>362</v>
      </c>
      <c r="E436" s="6" t="s">
        <v>2515</v>
      </c>
      <c r="F436" s="6" t="s">
        <v>4211</v>
      </c>
      <c r="G436" s="6" t="s">
        <v>2581</v>
      </c>
      <c r="H436" s="6" t="s">
        <v>2582</v>
      </c>
      <c r="I436" s="6" t="s">
        <v>2583</v>
      </c>
      <c r="J436" s="6">
        <v>2</v>
      </c>
      <c r="K436" s="6" t="s">
        <v>19</v>
      </c>
      <c r="L436" s="10">
        <v>12.181507717499999</v>
      </c>
      <c r="M436" s="6" t="s">
        <v>33</v>
      </c>
      <c r="N436" s="10">
        <f>Tabla11[[#This Row],[Price]]*Tabla11[[#This Row],[QTY Adjusted]]</f>
        <v>24.363015434999998</v>
      </c>
      <c r="O436" s="10">
        <v>24.363015434999998</v>
      </c>
      <c r="P436" s="10" t="s">
        <v>4225</v>
      </c>
      <c r="Q436" s="6">
        <v>0</v>
      </c>
    </row>
    <row r="437" spans="1:17" ht="40.200000000000003" customHeight="1" x14ac:dyDescent="0.3">
      <c r="A437" s="6">
        <v>1565</v>
      </c>
      <c r="B437" s="6" t="s">
        <v>2429</v>
      </c>
      <c r="C437" s="6" t="s">
        <v>723</v>
      </c>
      <c r="D437" s="6" t="s">
        <v>362</v>
      </c>
      <c r="E437" s="6" t="s">
        <v>2747</v>
      </c>
      <c r="F437" s="6" t="s">
        <v>4211</v>
      </c>
      <c r="G437" s="6" t="s">
        <v>2902</v>
      </c>
      <c r="H437" s="6" t="s">
        <v>2903</v>
      </c>
      <c r="I437" s="6" t="s">
        <v>2904</v>
      </c>
      <c r="J437" s="6">
        <v>1</v>
      </c>
      <c r="K437" s="6" t="s">
        <v>19</v>
      </c>
      <c r="L437" s="10">
        <v>24.125447362499994</v>
      </c>
      <c r="M437" s="6" t="s">
        <v>33</v>
      </c>
      <c r="N437" s="10">
        <f>Tabla11[[#This Row],[Price]]*Tabla11[[#This Row],[QTY Adjusted]]</f>
        <v>24.125447362499994</v>
      </c>
      <c r="O437" s="10">
        <v>24.125447362499994</v>
      </c>
      <c r="P437" s="10" t="s">
        <v>4225</v>
      </c>
      <c r="Q437" s="6">
        <v>0</v>
      </c>
    </row>
    <row r="438" spans="1:17" ht="40.200000000000003" customHeight="1" x14ac:dyDescent="0.3">
      <c r="A438" s="6">
        <v>1439</v>
      </c>
      <c r="B438" s="6" t="s">
        <v>2429</v>
      </c>
      <c r="C438" s="6" t="s">
        <v>723</v>
      </c>
      <c r="D438" s="6" t="s">
        <v>362</v>
      </c>
      <c r="E438" s="6" t="s">
        <v>2515</v>
      </c>
      <c r="F438" s="6" t="s">
        <v>4211</v>
      </c>
      <c r="G438" s="6" t="s">
        <v>2534</v>
      </c>
      <c r="H438" s="6" t="s">
        <v>2535</v>
      </c>
      <c r="I438" s="6" t="s">
        <v>2536</v>
      </c>
      <c r="J438" s="6">
        <v>4</v>
      </c>
      <c r="K438" s="6" t="s">
        <v>19</v>
      </c>
      <c r="L438" s="10">
        <v>5.7671697600000016</v>
      </c>
      <c r="M438" s="6" t="s">
        <v>33</v>
      </c>
      <c r="N438" s="10">
        <f>Tabla11[[#This Row],[Price]]*Tabla11[[#This Row],[QTY Adjusted]]</f>
        <v>23.068679040000006</v>
      </c>
      <c r="O438" s="10">
        <v>23.068679040000006</v>
      </c>
      <c r="P438" s="10" t="s">
        <v>4225</v>
      </c>
      <c r="Q438" s="6">
        <v>0</v>
      </c>
    </row>
    <row r="439" spans="1:17" ht="40.200000000000003" customHeight="1" x14ac:dyDescent="0.3">
      <c r="A439" s="6">
        <v>1568</v>
      </c>
      <c r="B439" s="6" t="s">
        <v>2429</v>
      </c>
      <c r="C439" s="6" t="s">
        <v>723</v>
      </c>
      <c r="D439" s="6" t="s">
        <v>362</v>
      </c>
      <c r="E439" s="6" t="s">
        <v>2747</v>
      </c>
      <c r="F439" s="6" t="s">
        <v>4211</v>
      </c>
      <c r="G439" s="6" t="s">
        <v>2911</v>
      </c>
      <c r="H439" s="6" t="s">
        <v>2912</v>
      </c>
      <c r="I439" s="6" t="s">
        <v>2913</v>
      </c>
      <c r="J439" s="6">
        <v>1</v>
      </c>
      <c r="K439" s="6" t="s">
        <v>19</v>
      </c>
      <c r="L439" s="10">
        <v>22.970375009999994</v>
      </c>
      <c r="M439" s="6" t="s">
        <v>33</v>
      </c>
      <c r="N439" s="10">
        <f>Tabla11[[#This Row],[Price]]*Tabla11[[#This Row],[QTY Adjusted]]</f>
        <v>22.970375009999994</v>
      </c>
      <c r="O439" s="10">
        <v>22.970375009999994</v>
      </c>
      <c r="P439" s="10" t="s">
        <v>4225</v>
      </c>
      <c r="Q439" s="6">
        <v>0</v>
      </c>
    </row>
    <row r="440" spans="1:17" ht="40.200000000000003" customHeight="1" x14ac:dyDescent="0.3">
      <c r="A440" s="6">
        <v>1694</v>
      </c>
      <c r="B440" s="6" t="s">
        <v>2429</v>
      </c>
      <c r="C440" s="6" t="s">
        <v>723</v>
      </c>
      <c r="D440" s="6" t="s">
        <v>362</v>
      </c>
      <c r="E440" s="6" t="s">
        <v>3245</v>
      </c>
      <c r="F440" s="6" t="s">
        <v>4211</v>
      </c>
      <c r="G440" s="6" t="s">
        <v>3270</v>
      </c>
      <c r="H440" s="6" t="s">
        <v>3271</v>
      </c>
      <c r="I440" s="6" t="s">
        <v>3272</v>
      </c>
      <c r="J440" s="6">
        <v>2</v>
      </c>
      <c r="K440" s="6" t="s">
        <v>19</v>
      </c>
      <c r="L440" s="10">
        <v>10.534915215</v>
      </c>
      <c r="M440" s="6" t="s">
        <v>33</v>
      </c>
      <c r="N440" s="10">
        <f>Tabla11[[#This Row],[Price]]*Tabla11[[#This Row],[QTY Adjusted]]</f>
        <v>21.06983043</v>
      </c>
      <c r="O440" s="10">
        <v>21.06983043</v>
      </c>
      <c r="P440" s="10" t="s">
        <v>4225</v>
      </c>
      <c r="Q440" s="6">
        <v>0</v>
      </c>
    </row>
    <row r="441" spans="1:17" ht="40.200000000000003" customHeight="1" x14ac:dyDescent="0.3">
      <c r="A441" s="6">
        <v>1831</v>
      </c>
      <c r="B441" s="6" t="s">
        <v>2429</v>
      </c>
      <c r="C441" s="6" t="s">
        <v>723</v>
      </c>
      <c r="D441" s="6" t="s">
        <v>362</v>
      </c>
      <c r="E441" s="6" t="s">
        <v>3621</v>
      </c>
      <c r="F441" s="6" t="s">
        <v>4211</v>
      </c>
      <c r="G441" s="6" t="s">
        <v>3658</v>
      </c>
      <c r="H441" s="6" t="s">
        <v>3659</v>
      </c>
      <c r="I441" s="6" t="s">
        <v>3660</v>
      </c>
      <c r="J441" s="6">
        <v>4</v>
      </c>
      <c r="K441" s="6" t="s">
        <v>19</v>
      </c>
      <c r="L441" s="10">
        <v>5.2674576074999999</v>
      </c>
      <c r="M441" s="6" t="s">
        <v>33</v>
      </c>
      <c r="N441" s="10">
        <f>Tabla11[[#This Row],[Price]]*Tabla11[[#This Row],[QTY Adjusted]]</f>
        <v>21.06983043</v>
      </c>
      <c r="O441" s="10">
        <v>21.06983043</v>
      </c>
      <c r="P441" s="10" t="s">
        <v>4225</v>
      </c>
      <c r="Q441" s="6">
        <v>0</v>
      </c>
    </row>
    <row r="442" spans="1:17" ht="40.200000000000003" customHeight="1" x14ac:dyDescent="0.3">
      <c r="A442" s="6">
        <v>1695</v>
      </c>
      <c r="B442" s="6" t="s">
        <v>2429</v>
      </c>
      <c r="C442" s="6" t="s">
        <v>723</v>
      </c>
      <c r="D442" s="6" t="s">
        <v>362</v>
      </c>
      <c r="E442" s="6" t="s">
        <v>3245</v>
      </c>
      <c r="F442" s="6" t="s">
        <v>4211</v>
      </c>
      <c r="G442" s="6" t="s">
        <v>3273</v>
      </c>
      <c r="H442" s="6" t="s">
        <v>3274</v>
      </c>
      <c r="I442" s="6" t="s">
        <v>3275</v>
      </c>
      <c r="J442" s="6">
        <v>2</v>
      </c>
      <c r="K442" s="6" t="s">
        <v>19</v>
      </c>
      <c r="L442" s="10">
        <v>10.125315089999999</v>
      </c>
      <c r="M442" s="6" t="s">
        <v>33</v>
      </c>
      <c r="N442" s="10">
        <f>Tabla11[[#This Row],[Price]]*Tabla11[[#This Row],[QTY Adjusted]]</f>
        <v>20.250630179999998</v>
      </c>
      <c r="O442" s="10">
        <v>20.250630179999998</v>
      </c>
      <c r="P442" s="10" t="s">
        <v>4225</v>
      </c>
      <c r="Q442" s="6">
        <v>0</v>
      </c>
    </row>
    <row r="443" spans="1:17" ht="40.200000000000003" customHeight="1" x14ac:dyDescent="0.3">
      <c r="A443" s="6">
        <v>1569</v>
      </c>
      <c r="B443" s="6" t="s">
        <v>2429</v>
      </c>
      <c r="C443" s="6" t="s">
        <v>723</v>
      </c>
      <c r="D443" s="6" t="s">
        <v>362</v>
      </c>
      <c r="E443" s="6" t="s">
        <v>2747</v>
      </c>
      <c r="F443" s="6" t="s">
        <v>4211</v>
      </c>
      <c r="G443" s="6" t="s">
        <v>2914</v>
      </c>
      <c r="H443" s="6" t="s">
        <v>2915</v>
      </c>
      <c r="I443" s="6" t="s">
        <v>2916</v>
      </c>
      <c r="J443" s="6">
        <v>2</v>
      </c>
      <c r="K443" s="6" t="s">
        <v>19</v>
      </c>
      <c r="L443" s="10">
        <v>9.7976349900000006</v>
      </c>
      <c r="M443" s="6" t="s">
        <v>33</v>
      </c>
      <c r="N443" s="10">
        <f>Tabla11[[#This Row],[Price]]*Tabla11[[#This Row],[QTY Adjusted]]</f>
        <v>19.595269980000001</v>
      </c>
      <c r="O443" s="10">
        <v>19.595269980000001</v>
      </c>
      <c r="P443" s="10" t="s">
        <v>4225</v>
      </c>
      <c r="Q443" s="6">
        <v>0</v>
      </c>
    </row>
    <row r="444" spans="1:17" ht="40.200000000000003" customHeight="1" x14ac:dyDescent="0.3">
      <c r="A444" s="6">
        <v>1422</v>
      </c>
      <c r="B444" s="6" t="s">
        <v>2429</v>
      </c>
      <c r="C444" s="6" t="s">
        <v>723</v>
      </c>
      <c r="D444" s="6" t="s">
        <v>362</v>
      </c>
      <c r="E444" s="6" t="s">
        <v>2430</v>
      </c>
      <c r="F444" s="6" t="s">
        <v>4211</v>
      </c>
      <c r="G444" s="6" t="s">
        <v>2486</v>
      </c>
      <c r="H444" s="6" t="s">
        <v>2487</v>
      </c>
      <c r="I444" s="6" t="s">
        <v>2488</v>
      </c>
      <c r="J444" s="6">
        <v>4</v>
      </c>
      <c r="K444" s="6" t="s">
        <v>19</v>
      </c>
      <c r="L444" s="10">
        <v>4.5301773825000007</v>
      </c>
      <c r="M444" s="6" t="s">
        <v>33</v>
      </c>
      <c r="N444" s="10">
        <f>Tabla11[[#This Row],[Price]]*Tabla11[[#This Row],[QTY Adjusted]]</f>
        <v>18.120709530000003</v>
      </c>
      <c r="O444" s="10">
        <v>18.120709530000003</v>
      </c>
      <c r="P444" s="10" t="s">
        <v>4225</v>
      </c>
      <c r="Q444" s="6">
        <v>0</v>
      </c>
    </row>
    <row r="445" spans="1:17" ht="40.200000000000003" customHeight="1" x14ac:dyDescent="0.3">
      <c r="A445" s="6">
        <v>1479</v>
      </c>
      <c r="B445" s="6" t="s">
        <v>2429</v>
      </c>
      <c r="C445" s="6" t="s">
        <v>723</v>
      </c>
      <c r="D445" s="6" t="s">
        <v>362</v>
      </c>
      <c r="E445" s="6" t="s">
        <v>2584</v>
      </c>
      <c r="F445" s="6" t="s">
        <v>4211</v>
      </c>
      <c r="G445" s="6" t="s">
        <v>2653</v>
      </c>
      <c r="H445" s="6" t="s">
        <v>2654</v>
      </c>
      <c r="I445" s="6" t="s">
        <v>2655</v>
      </c>
      <c r="J445" s="6">
        <v>2</v>
      </c>
      <c r="K445" s="6" t="s">
        <v>19</v>
      </c>
      <c r="L445" s="10">
        <v>8.9702427374999996</v>
      </c>
      <c r="M445" s="6" t="s">
        <v>33</v>
      </c>
      <c r="N445" s="10">
        <f>Tabla11[[#This Row],[Price]]*Tabla11[[#This Row],[QTY Adjusted]]</f>
        <v>17.940485474999999</v>
      </c>
      <c r="O445" s="10">
        <v>17.940485474999999</v>
      </c>
      <c r="P445" s="10" t="s">
        <v>4225</v>
      </c>
      <c r="Q445" s="6">
        <v>0</v>
      </c>
    </row>
    <row r="446" spans="1:17" ht="40.200000000000003" customHeight="1" x14ac:dyDescent="0.3">
      <c r="A446" s="6">
        <v>1507</v>
      </c>
      <c r="B446" s="6" t="s">
        <v>2429</v>
      </c>
      <c r="C446" s="6" t="s">
        <v>723</v>
      </c>
      <c r="D446" s="6" t="s">
        <v>362</v>
      </c>
      <c r="E446" s="6" t="s">
        <v>2584</v>
      </c>
      <c r="F446" s="6" t="s">
        <v>4211</v>
      </c>
      <c r="G446" s="6" t="s">
        <v>2735</v>
      </c>
      <c r="H446" s="6" t="s">
        <v>2736</v>
      </c>
      <c r="I446" s="6" t="s">
        <v>2737</v>
      </c>
      <c r="J446" s="6">
        <v>2</v>
      </c>
      <c r="K446" s="6" t="s">
        <v>19</v>
      </c>
      <c r="L446" s="10">
        <v>8.0691224624999993</v>
      </c>
      <c r="M446" s="6" t="s">
        <v>33</v>
      </c>
      <c r="N446" s="10">
        <f>Tabla11[[#This Row],[Price]]*Tabla11[[#This Row],[QTY Adjusted]]</f>
        <v>16.138244924999999</v>
      </c>
      <c r="O446" s="10">
        <v>16.138244924999999</v>
      </c>
      <c r="P446" s="10" t="s">
        <v>4225</v>
      </c>
      <c r="Q446" s="6">
        <v>0</v>
      </c>
    </row>
    <row r="447" spans="1:17" ht="40.200000000000003" customHeight="1" x14ac:dyDescent="0.3">
      <c r="A447" s="6">
        <v>1530</v>
      </c>
      <c r="B447" s="6" t="s">
        <v>2429</v>
      </c>
      <c r="C447" s="6" t="s">
        <v>723</v>
      </c>
      <c r="D447" s="6" t="s">
        <v>362</v>
      </c>
      <c r="E447" s="6" t="s">
        <v>2747</v>
      </c>
      <c r="F447" s="6" t="s">
        <v>4211</v>
      </c>
      <c r="G447" s="6" t="s">
        <v>2799</v>
      </c>
      <c r="H447" s="6" t="s">
        <v>2800</v>
      </c>
      <c r="I447" s="6" t="s">
        <v>2801</v>
      </c>
      <c r="J447" s="6">
        <v>1</v>
      </c>
      <c r="K447" s="6" t="s">
        <v>19</v>
      </c>
      <c r="L447" s="10">
        <v>16.056324900000003</v>
      </c>
      <c r="M447" s="6" t="s">
        <v>33</v>
      </c>
      <c r="N447" s="10">
        <f>Tabla11[[#This Row],[Price]]*Tabla11[[#This Row],[QTY Adjusted]]</f>
        <v>16.056324900000003</v>
      </c>
      <c r="O447" s="10">
        <v>16.056324900000003</v>
      </c>
      <c r="P447" s="10" t="s">
        <v>4225</v>
      </c>
      <c r="Q447" s="6">
        <v>0</v>
      </c>
    </row>
    <row r="448" spans="1:17" ht="40.200000000000003" customHeight="1" x14ac:dyDescent="0.3">
      <c r="A448" s="6">
        <v>1442</v>
      </c>
      <c r="B448" s="6" t="s">
        <v>2429</v>
      </c>
      <c r="C448" s="6" t="s">
        <v>723</v>
      </c>
      <c r="D448" s="6" t="s">
        <v>362</v>
      </c>
      <c r="E448" s="6" t="s">
        <v>2515</v>
      </c>
      <c r="F448" s="6" t="s">
        <v>4211</v>
      </c>
      <c r="G448" s="6" t="s">
        <v>2543</v>
      </c>
      <c r="H448" s="6" t="s">
        <v>2544</v>
      </c>
      <c r="I448" s="6" t="s">
        <v>2545</v>
      </c>
      <c r="J448" s="6">
        <v>4</v>
      </c>
      <c r="K448" s="6" t="s">
        <v>19</v>
      </c>
      <c r="L448" s="10">
        <v>3.9485452050000003</v>
      </c>
      <c r="M448" s="6" t="s">
        <v>33</v>
      </c>
      <c r="N448" s="10">
        <f>Tabla11[[#This Row],[Price]]*Tabla11[[#This Row],[QTY Adjusted]]</f>
        <v>15.794180820000001</v>
      </c>
      <c r="O448" s="10">
        <v>15.794180820000001</v>
      </c>
      <c r="P448" s="10" t="s">
        <v>4225</v>
      </c>
      <c r="Q448" s="6">
        <v>0</v>
      </c>
    </row>
    <row r="449" spans="1:17" ht="40.200000000000003" customHeight="1" x14ac:dyDescent="0.3">
      <c r="A449" s="6">
        <v>1506</v>
      </c>
      <c r="B449" s="6" t="s">
        <v>2429</v>
      </c>
      <c r="C449" s="6" t="s">
        <v>723</v>
      </c>
      <c r="D449" s="6" t="s">
        <v>362</v>
      </c>
      <c r="E449" s="6" t="s">
        <v>2584</v>
      </c>
      <c r="F449" s="6" t="s">
        <v>4211</v>
      </c>
      <c r="G449" s="6" t="s">
        <v>2732</v>
      </c>
      <c r="H449" s="6" t="s">
        <v>2733</v>
      </c>
      <c r="I449" s="6" t="s">
        <v>2734</v>
      </c>
      <c r="J449" s="6">
        <v>2</v>
      </c>
      <c r="K449" s="6" t="s">
        <v>19</v>
      </c>
      <c r="L449" s="10">
        <v>7.1598101850000004</v>
      </c>
      <c r="M449" s="6" t="s">
        <v>33</v>
      </c>
      <c r="N449" s="10">
        <f>Tabla11[[#This Row],[Price]]*Tabla11[[#This Row],[QTY Adjusted]]</f>
        <v>14.319620370000001</v>
      </c>
      <c r="O449" s="10">
        <v>14.319620370000001</v>
      </c>
      <c r="P449" s="10" t="s">
        <v>4225</v>
      </c>
      <c r="Q449" s="6">
        <v>0</v>
      </c>
    </row>
    <row r="450" spans="1:17" ht="40.200000000000003" customHeight="1" x14ac:dyDescent="0.3">
      <c r="A450" s="6">
        <v>1784</v>
      </c>
      <c r="B450" s="6" t="s">
        <v>2429</v>
      </c>
      <c r="C450" s="6" t="s">
        <v>723</v>
      </c>
      <c r="D450" s="6" t="s">
        <v>362</v>
      </c>
      <c r="E450" s="6" t="s">
        <v>3478</v>
      </c>
      <c r="F450" s="6" t="s">
        <v>4211</v>
      </c>
      <c r="G450" s="6" t="s">
        <v>3518</v>
      </c>
      <c r="H450" s="6" t="s">
        <v>3519</v>
      </c>
      <c r="I450" s="6" t="s">
        <v>3519</v>
      </c>
      <c r="J450" s="6">
        <v>2</v>
      </c>
      <c r="K450" s="6" t="s">
        <v>19</v>
      </c>
      <c r="L450" s="10">
        <v>6.7502100600000023</v>
      </c>
      <c r="M450" s="6" t="s">
        <v>33</v>
      </c>
      <c r="N450" s="10">
        <f>Tabla11[[#This Row],[Price]]*Tabla11[[#This Row],[QTY Adjusted]]</f>
        <v>13.500420120000005</v>
      </c>
      <c r="O450" s="10">
        <v>13.500420120000005</v>
      </c>
      <c r="P450" s="10" t="s">
        <v>4225</v>
      </c>
      <c r="Q450" s="6">
        <v>0</v>
      </c>
    </row>
    <row r="451" spans="1:17" ht="40.200000000000003" customHeight="1" x14ac:dyDescent="0.3">
      <c r="A451" s="6">
        <v>1437</v>
      </c>
      <c r="B451" s="6" t="s">
        <v>2429</v>
      </c>
      <c r="C451" s="6" t="s">
        <v>723</v>
      </c>
      <c r="D451" s="6" t="s">
        <v>362</v>
      </c>
      <c r="E451" s="6" t="s">
        <v>2515</v>
      </c>
      <c r="F451" s="6" t="s">
        <v>4211</v>
      </c>
      <c r="G451" s="6" t="s">
        <v>2528</v>
      </c>
      <c r="H451" s="6" t="s">
        <v>2529</v>
      </c>
      <c r="I451" s="6" t="s">
        <v>2530</v>
      </c>
      <c r="J451" s="6">
        <v>2</v>
      </c>
      <c r="K451" s="6" t="s">
        <v>19</v>
      </c>
      <c r="L451" s="10">
        <v>6.6682900349999992</v>
      </c>
      <c r="M451" s="6" t="s">
        <v>33</v>
      </c>
      <c r="N451" s="10">
        <f>Tabla11[[#This Row],[Price]]*Tabla11[[#This Row],[QTY Adjusted]]</f>
        <v>13.336580069999998</v>
      </c>
      <c r="O451" s="10">
        <v>13.336580069999998</v>
      </c>
      <c r="P451" s="10" t="s">
        <v>4225</v>
      </c>
      <c r="Q451" s="6">
        <v>0</v>
      </c>
    </row>
    <row r="452" spans="1:17" ht="40.200000000000003" customHeight="1" x14ac:dyDescent="0.3">
      <c r="A452" s="6">
        <v>1421</v>
      </c>
      <c r="B452" s="6" t="s">
        <v>2429</v>
      </c>
      <c r="C452" s="6" t="s">
        <v>723</v>
      </c>
      <c r="D452" s="6" t="s">
        <v>362</v>
      </c>
      <c r="E452" s="6" t="s">
        <v>2430</v>
      </c>
      <c r="F452" s="6" t="s">
        <v>4211</v>
      </c>
      <c r="G452" s="6" t="s">
        <v>2483</v>
      </c>
      <c r="H452" s="6" t="s">
        <v>2484</v>
      </c>
      <c r="I452" s="6" t="s">
        <v>2485</v>
      </c>
      <c r="J452" s="6">
        <v>4</v>
      </c>
      <c r="K452" s="6" t="s">
        <v>19</v>
      </c>
      <c r="L452" s="10">
        <v>3.1293449549999997</v>
      </c>
      <c r="M452" s="6" t="s">
        <v>33</v>
      </c>
      <c r="N452" s="10">
        <f>Tabla11[[#This Row],[Price]]*Tabla11[[#This Row],[QTY Adjusted]]</f>
        <v>12.517379819999999</v>
      </c>
      <c r="O452" s="10">
        <v>12.517379819999999</v>
      </c>
      <c r="P452" s="10" t="s">
        <v>4225</v>
      </c>
      <c r="Q452" s="6">
        <v>0</v>
      </c>
    </row>
    <row r="453" spans="1:17" ht="40.200000000000003" customHeight="1" x14ac:dyDescent="0.3">
      <c r="A453" s="6">
        <v>1536</v>
      </c>
      <c r="B453" s="6" t="s">
        <v>2429</v>
      </c>
      <c r="C453" s="6" t="s">
        <v>723</v>
      </c>
      <c r="D453" s="6" t="s">
        <v>362</v>
      </c>
      <c r="E453" s="6" t="s">
        <v>2747</v>
      </c>
      <c r="F453" s="6" t="s">
        <v>4211</v>
      </c>
      <c r="G453" s="6" t="s">
        <v>2816</v>
      </c>
      <c r="H453" s="6" t="s">
        <v>2817</v>
      </c>
      <c r="I453" s="6" t="s">
        <v>2818</v>
      </c>
      <c r="J453" s="6">
        <v>2</v>
      </c>
      <c r="K453" s="6" t="s">
        <v>19</v>
      </c>
      <c r="L453" s="10">
        <v>5.8490897849999994</v>
      </c>
      <c r="M453" s="6" t="s">
        <v>33</v>
      </c>
      <c r="N453" s="10">
        <f>Tabla11[[#This Row],[Price]]*Tabla11[[#This Row],[QTY Adjusted]]</f>
        <v>11.698179569999999</v>
      </c>
      <c r="O453" s="10">
        <v>11.698179569999999</v>
      </c>
      <c r="P453" s="10" t="s">
        <v>4225</v>
      </c>
      <c r="Q453" s="6">
        <v>0</v>
      </c>
    </row>
    <row r="454" spans="1:17" ht="40.200000000000003" customHeight="1" x14ac:dyDescent="0.3">
      <c r="A454" s="6">
        <v>1537</v>
      </c>
      <c r="B454" s="6" t="s">
        <v>2429</v>
      </c>
      <c r="C454" s="6" t="s">
        <v>723</v>
      </c>
      <c r="D454" s="6" t="s">
        <v>362</v>
      </c>
      <c r="E454" s="6" t="s">
        <v>2747</v>
      </c>
      <c r="F454" s="6" t="s">
        <v>4211</v>
      </c>
      <c r="G454" s="6" t="s">
        <v>2819</v>
      </c>
      <c r="H454" s="6" t="s">
        <v>2820</v>
      </c>
      <c r="I454" s="6" t="s">
        <v>2821</v>
      </c>
      <c r="J454" s="6">
        <v>2</v>
      </c>
      <c r="K454" s="6" t="s">
        <v>19</v>
      </c>
      <c r="L454" s="10">
        <v>5.8490897849999994</v>
      </c>
      <c r="M454" s="6" t="s">
        <v>33</v>
      </c>
      <c r="N454" s="10">
        <f>Tabla11[[#This Row],[Price]]*Tabla11[[#This Row],[QTY Adjusted]]</f>
        <v>11.698179569999999</v>
      </c>
      <c r="O454" s="10">
        <v>11.698179569999999</v>
      </c>
      <c r="P454" s="10" t="s">
        <v>4225</v>
      </c>
      <c r="Q454" s="6">
        <v>0</v>
      </c>
    </row>
    <row r="455" spans="1:17" ht="40.200000000000003" customHeight="1" x14ac:dyDescent="0.3">
      <c r="A455" s="6">
        <v>1538</v>
      </c>
      <c r="B455" s="6" t="s">
        <v>2429</v>
      </c>
      <c r="C455" s="6" t="s">
        <v>723</v>
      </c>
      <c r="D455" s="6" t="s">
        <v>362</v>
      </c>
      <c r="E455" s="6" t="s">
        <v>2747</v>
      </c>
      <c r="F455" s="6" t="s">
        <v>4211</v>
      </c>
      <c r="G455" s="6" t="s">
        <v>2822</v>
      </c>
      <c r="H455" s="6" t="s">
        <v>2823</v>
      </c>
      <c r="I455" s="6" t="s">
        <v>2821</v>
      </c>
      <c r="J455" s="6">
        <v>2</v>
      </c>
      <c r="K455" s="6" t="s">
        <v>19</v>
      </c>
      <c r="L455" s="10">
        <v>5.8490897849999994</v>
      </c>
      <c r="M455" s="6" t="s">
        <v>33</v>
      </c>
      <c r="N455" s="10">
        <f>Tabla11[[#This Row],[Price]]*Tabla11[[#This Row],[QTY Adjusted]]</f>
        <v>11.698179569999999</v>
      </c>
      <c r="O455" s="10">
        <v>11.698179569999999</v>
      </c>
      <c r="P455" s="10" t="s">
        <v>4225</v>
      </c>
      <c r="Q455" s="6">
        <v>0</v>
      </c>
    </row>
    <row r="456" spans="1:17" ht="40.200000000000003" customHeight="1" x14ac:dyDescent="0.3">
      <c r="A456" s="6">
        <v>1494</v>
      </c>
      <c r="B456" s="6" t="s">
        <v>2429</v>
      </c>
      <c r="C456" s="6" t="s">
        <v>723</v>
      </c>
      <c r="D456" s="6" t="s">
        <v>362</v>
      </c>
      <c r="E456" s="6" t="s">
        <v>2584</v>
      </c>
      <c r="F456" s="6" t="s">
        <v>4211</v>
      </c>
      <c r="G456" s="6" t="s">
        <v>2698</v>
      </c>
      <c r="H456" s="6" t="s">
        <v>2699</v>
      </c>
      <c r="I456" s="6" t="s">
        <v>2700</v>
      </c>
      <c r="J456" s="6">
        <v>2</v>
      </c>
      <c r="K456" s="6" t="s">
        <v>19</v>
      </c>
      <c r="L456" s="10">
        <v>5.5132176825000005</v>
      </c>
      <c r="M456" s="6" t="s">
        <v>33</v>
      </c>
      <c r="N456" s="10">
        <f>Tabla11[[#This Row],[Price]]*Tabla11[[#This Row],[QTY Adjusted]]</f>
        <v>11.026435365000001</v>
      </c>
      <c r="O456" s="10">
        <v>11.026435365000001</v>
      </c>
      <c r="P456" s="10" t="s">
        <v>4225</v>
      </c>
      <c r="Q456" s="6">
        <v>0</v>
      </c>
    </row>
    <row r="457" spans="1:17" ht="40.200000000000003" customHeight="1" x14ac:dyDescent="0.3">
      <c r="A457" s="6">
        <v>1478</v>
      </c>
      <c r="B457" s="6" t="s">
        <v>2429</v>
      </c>
      <c r="C457" s="6" t="s">
        <v>723</v>
      </c>
      <c r="D457" s="6" t="s">
        <v>362</v>
      </c>
      <c r="E457" s="6" t="s">
        <v>2584</v>
      </c>
      <c r="F457" s="6" t="s">
        <v>4211</v>
      </c>
      <c r="G457" s="6" t="s">
        <v>2650</v>
      </c>
      <c r="H457" s="6" t="s">
        <v>2651</v>
      </c>
      <c r="I457" s="6" t="s">
        <v>2652</v>
      </c>
      <c r="J457" s="6">
        <v>1</v>
      </c>
      <c r="K457" s="6" t="s">
        <v>19</v>
      </c>
      <c r="L457" s="10">
        <v>9.8795550150000011</v>
      </c>
      <c r="M457" s="6" t="s">
        <v>33</v>
      </c>
      <c r="N457" s="10">
        <f>Tabla11[[#This Row],[Price]]*Tabla11[[#This Row],[QTY Adjusted]]</f>
        <v>9.8795550150000011</v>
      </c>
      <c r="O457" s="10">
        <v>9.8795550150000011</v>
      </c>
      <c r="P457" s="10" t="s">
        <v>4225</v>
      </c>
      <c r="Q457" s="6">
        <v>0</v>
      </c>
    </row>
    <row r="458" spans="1:17" ht="40.200000000000003" customHeight="1" x14ac:dyDescent="0.3">
      <c r="A458" s="6">
        <v>1433</v>
      </c>
      <c r="B458" s="6" t="s">
        <v>2429</v>
      </c>
      <c r="C458" s="6" t="s">
        <v>723</v>
      </c>
      <c r="D458" s="6" t="s">
        <v>362</v>
      </c>
      <c r="E458" s="6" t="s">
        <v>2515</v>
      </c>
      <c r="F458" s="6" t="s">
        <v>4211</v>
      </c>
      <c r="G458" s="6" t="s">
        <v>2516</v>
      </c>
      <c r="H458" s="6" t="s">
        <v>2517</v>
      </c>
      <c r="I458" s="6" t="s">
        <v>2518</v>
      </c>
      <c r="J458" s="6">
        <v>2</v>
      </c>
      <c r="K458" s="6" t="s">
        <v>19</v>
      </c>
      <c r="L458" s="10">
        <v>4.6940174324999999</v>
      </c>
      <c r="M458" s="6" t="s">
        <v>33</v>
      </c>
      <c r="N458" s="10">
        <f>Tabla11[[#This Row],[Price]]*Tabla11[[#This Row],[QTY Adjusted]]</f>
        <v>9.3880348649999998</v>
      </c>
      <c r="O458" s="10">
        <v>9.3880348649999998</v>
      </c>
      <c r="P458" s="10" t="s">
        <v>4225</v>
      </c>
      <c r="Q458" s="6">
        <v>0</v>
      </c>
    </row>
    <row r="459" spans="1:17" ht="40.200000000000003" customHeight="1" x14ac:dyDescent="0.3">
      <c r="A459" s="6">
        <v>1596</v>
      </c>
      <c r="B459" s="6" t="s">
        <v>2429</v>
      </c>
      <c r="C459" s="6" t="s">
        <v>723</v>
      </c>
      <c r="D459" s="6" t="s">
        <v>362</v>
      </c>
      <c r="E459" s="6" t="s">
        <v>2747</v>
      </c>
      <c r="F459" s="6" t="s">
        <v>4211</v>
      </c>
      <c r="G459" s="6" t="s">
        <v>2992</v>
      </c>
      <c r="H459" s="6" t="s">
        <v>2993</v>
      </c>
      <c r="I459" s="6" t="s">
        <v>2994</v>
      </c>
      <c r="J459" s="6">
        <v>1</v>
      </c>
      <c r="K459" s="6" t="s">
        <v>19</v>
      </c>
      <c r="L459" s="10">
        <v>7.6595223374999994</v>
      </c>
      <c r="M459" s="6" t="s">
        <v>33</v>
      </c>
      <c r="N459" s="10">
        <f>Tabla11[[#This Row],[Price]]*Tabla11[[#This Row],[QTY Adjusted]]</f>
        <v>7.6595223374999994</v>
      </c>
      <c r="O459" s="10">
        <v>7.6595223374999994</v>
      </c>
      <c r="P459" s="10" t="s">
        <v>4225</v>
      </c>
      <c r="Q459" s="6">
        <v>0</v>
      </c>
    </row>
    <row r="460" spans="1:17" ht="40.200000000000003" customHeight="1" x14ac:dyDescent="0.3">
      <c r="A460" s="6">
        <v>1643</v>
      </c>
      <c r="B460" s="6" t="s">
        <v>2429</v>
      </c>
      <c r="C460" s="6" t="s">
        <v>723</v>
      </c>
      <c r="D460" s="6" t="s">
        <v>362</v>
      </c>
      <c r="E460" s="6" t="s">
        <v>3107</v>
      </c>
      <c r="F460" s="6" t="s">
        <v>4211</v>
      </c>
      <c r="G460" s="6" t="s">
        <v>3140</v>
      </c>
      <c r="H460" s="6" t="s">
        <v>3141</v>
      </c>
      <c r="I460" s="6" t="s">
        <v>3142</v>
      </c>
      <c r="J460" s="6">
        <v>2</v>
      </c>
      <c r="K460" s="6" t="s">
        <v>19</v>
      </c>
      <c r="L460" s="10">
        <v>3.620865105</v>
      </c>
      <c r="M460" s="6" t="s">
        <v>33</v>
      </c>
      <c r="N460" s="10">
        <f>Tabla11[[#This Row],[Price]]*Tabla11[[#This Row],[QTY Adjusted]]</f>
        <v>7.2417302100000001</v>
      </c>
      <c r="O460" s="10">
        <v>7.2417302100000001</v>
      </c>
      <c r="P460" s="10" t="s">
        <v>4225</v>
      </c>
      <c r="Q460" s="6">
        <v>0</v>
      </c>
    </row>
    <row r="461" spans="1:17" ht="40.200000000000003" customHeight="1" x14ac:dyDescent="0.3">
      <c r="A461" s="6">
        <v>1575</v>
      </c>
      <c r="B461" s="6" t="s">
        <v>2429</v>
      </c>
      <c r="C461" s="6" t="s">
        <v>723</v>
      </c>
      <c r="D461" s="6" t="s">
        <v>362</v>
      </c>
      <c r="E461" s="6" t="s">
        <v>2747</v>
      </c>
      <c r="F461" s="6" t="s">
        <v>4211</v>
      </c>
      <c r="G461" s="6" t="s">
        <v>2932</v>
      </c>
      <c r="H461" s="6" t="s">
        <v>2933</v>
      </c>
      <c r="I461" s="6" t="s">
        <v>2934</v>
      </c>
      <c r="J461" s="6">
        <v>1</v>
      </c>
      <c r="K461" s="6" t="s">
        <v>19</v>
      </c>
      <c r="L461" s="10">
        <v>5.9310098100000008</v>
      </c>
      <c r="M461" s="6" t="s">
        <v>33</v>
      </c>
      <c r="N461" s="10">
        <f>Tabla11[[#This Row],[Price]]*Tabla11[[#This Row],[QTY Adjusted]]</f>
        <v>5.9310098100000008</v>
      </c>
      <c r="O461" s="10">
        <v>5.9310098100000008</v>
      </c>
      <c r="P461" s="10" t="s">
        <v>4225</v>
      </c>
      <c r="Q461" s="6">
        <v>0</v>
      </c>
    </row>
    <row r="462" spans="1:17" ht="40.200000000000003" customHeight="1" x14ac:dyDescent="0.3">
      <c r="A462" s="6">
        <v>1505</v>
      </c>
      <c r="B462" s="6" t="s">
        <v>2429</v>
      </c>
      <c r="C462" s="6" t="s">
        <v>723</v>
      </c>
      <c r="D462" s="6" t="s">
        <v>362</v>
      </c>
      <c r="E462" s="6" t="s">
        <v>2584</v>
      </c>
      <c r="F462" s="6" t="s">
        <v>4211</v>
      </c>
      <c r="G462" s="6" t="s">
        <v>2729</v>
      </c>
      <c r="H462" s="6" t="s">
        <v>2730</v>
      </c>
      <c r="I462" s="6" t="s">
        <v>2731</v>
      </c>
      <c r="J462" s="6">
        <v>1</v>
      </c>
      <c r="K462" s="6" t="s">
        <v>19</v>
      </c>
      <c r="L462" s="10">
        <v>5.5951377075000002</v>
      </c>
      <c r="M462" s="6" t="s">
        <v>33</v>
      </c>
      <c r="N462" s="10">
        <f>Tabla11[[#This Row],[Price]]*Tabla11[[#This Row],[QTY Adjusted]]</f>
        <v>5.5951377075000002</v>
      </c>
      <c r="O462" s="10">
        <v>5.5951377075000002</v>
      </c>
      <c r="P462" s="10" t="s">
        <v>4225</v>
      </c>
      <c r="Q462" s="6">
        <v>0</v>
      </c>
    </row>
    <row r="463" spans="1:17" ht="40.200000000000003" customHeight="1" x14ac:dyDescent="0.3">
      <c r="A463" s="6">
        <v>1504</v>
      </c>
      <c r="B463" s="6" t="s">
        <v>2429</v>
      </c>
      <c r="C463" s="6" t="s">
        <v>723</v>
      </c>
      <c r="D463" s="6" t="s">
        <v>362</v>
      </c>
      <c r="E463" s="6" t="s">
        <v>2584</v>
      </c>
      <c r="F463" s="6" t="s">
        <v>4211</v>
      </c>
      <c r="G463" s="6" t="s">
        <v>2726</v>
      </c>
      <c r="H463" s="6" t="s">
        <v>2727</v>
      </c>
      <c r="I463" s="6" t="s">
        <v>2728</v>
      </c>
      <c r="J463" s="6">
        <v>1</v>
      </c>
      <c r="K463" s="6" t="s">
        <v>19</v>
      </c>
      <c r="L463" s="10">
        <v>4.0304652300000008</v>
      </c>
      <c r="M463" s="6" t="s">
        <v>33</v>
      </c>
      <c r="N463" s="10">
        <f>Tabla11[[#This Row],[Price]]*Tabla11[[#This Row],[QTY Adjusted]]</f>
        <v>4.0304652300000008</v>
      </c>
      <c r="O463" s="10">
        <v>4.0304652300000008</v>
      </c>
      <c r="P463" s="10" t="s">
        <v>4225</v>
      </c>
      <c r="Q463" s="6">
        <v>0</v>
      </c>
    </row>
    <row r="464" spans="1:17" ht="40.200000000000003" customHeight="1" x14ac:dyDescent="0.3">
      <c r="A464" s="6">
        <v>1645</v>
      </c>
      <c r="B464" s="6" t="s">
        <v>2429</v>
      </c>
      <c r="C464" s="6" t="s">
        <v>723</v>
      </c>
      <c r="D464" s="6" t="s">
        <v>362</v>
      </c>
      <c r="E464" s="6" t="s">
        <v>3107</v>
      </c>
      <c r="F464" s="6" t="s">
        <v>4211</v>
      </c>
      <c r="G464" s="6" t="s">
        <v>3146</v>
      </c>
      <c r="H464" s="6" t="s">
        <v>3147</v>
      </c>
      <c r="I464" s="6" t="s">
        <v>3145</v>
      </c>
      <c r="J464" s="6">
        <v>2</v>
      </c>
      <c r="K464" s="6" t="s">
        <v>19</v>
      </c>
      <c r="L464" s="10">
        <v>1.1550723525</v>
      </c>
      <c r="M464" s="6" t="s">
        <v>33</v>
      </c>
      <c r="N464" s="10">
        <f>Tabla11[[#This Row],[Price]]*Tabla11[[#This Row],[QTY Adjusted]]</f>
        <v>2.3101447049999999</v>
      </c>
      <c r="O464" s="10">
        <v>2.3101447049999999</v>
      </c>
      <c r="P464" s="10" t="s">
        <v>4225</v>
      </c>
      <c r="Q464" s="6">
        <v>0</v>
      </c>
    </row>
    <row r="465" spans="1:17" ht="40.200000000000003" customHeight="1" x14ac:dyDescent="0.3">
      <c r="A465" s="6">
        <v>1644</v>
      </c>
      <c r="B465" s="6" t="s">
        <v>2429</v>
      </c>
      <c r="C465" s="6" t="s">
        <v>723</v>
      </c>
      <c r="D465" s="6" t="s">
        <v>362</v>
      </c>
      <c r="E465" s="6" t="s">
        <v>3107</v>
      </c>
      <c r="F465" s="6" t="s">
        <v>4211</v>
      </c>
      <c r="G465" s="6" t="s">
        <v>3143</v>
      </c>
      <c r="H465" s="6" t="s">
        <v>3144</v>
      </c>
      <c r="I465" s="6" t="s">
        <v>3145</v>
      </c>
      <c r="J465" s="6">
        <v>2</v>
      </c>
      <c r="K465" s="6" t="s">
        <v>19</v>
      </c>
      <c r="L465" s="10">
        <v>0.82739225250000004</v>
      </c>
      <c r="M465" s="6" t="s">
        <v>33</v>
      </c>
      <c r="N465" s="10">
        <f>Tabla11[[#This Row],[Price]]*Tabla11[[#This Row],[QTY Adjusted]]</f>
        <v>1.6547845050000001</v>
      </c>
      <c r="O465" s="10">
        <v>1.6547845050000001</v>
      </c>
      <c r="P465" s="10" t="s">
        <v>4225</v>
      </c>
      <c r="Q465" s="6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CE2E-3352-4369-BDBB-183C93438646}">
  <dimension ref="A1:Q155"/>
  <sheetViews>
    <sheetView showGridLines="0" topLeftCell="H1" zoomScale="55" zoomScaleNormal="55" workbookViewId="0">
      <selection activeCell="P56" sqref="P56"/>
    </sheetView>
  </sheetViews>
  <sheetFormatPr baseColWidth="10" defaultColWidth="11.44140625" defaultRowHeight="14.4" outlineLevelRow="1" x14ac:dyDescent="0.3"/>
  <cols>
    <col min="2" max="3" width="11.5546875" customWidth="1"/>
    <col min="4" max="4" width="24" bestFit="1" customWidth="1"/>
    <col min="5" max="5" width="27.33203125" bestFit="1" customWidth="1"/>
    <col min="6" max="6" width="13.5546875" customWidth="1"/>
    <col min="7" max="7" width="43.33203125" customWidth="1"/>
    <col min="8" max="8" width="38.44140625" bestFit="1" customWidth="1"/>
    <col min="9" max="9" width="38.44140625" customWidth="1"/>
    <col min="10" max="10" width="13.6640625" customWidth="1"/>
    <col min="11" max="11" width="14.33203125" customWidth="1"/>
    <col min="12" max="12" width="12.6640625" bestFit="1" customWidth="1"/>
    <col min="13" max="13" width="11.5546875" customWidth="1"/>
    <col min="14" max="14" width="16.5546875" customWidth="1"/>
    <col min="15" max="15" width="15.33203125" customWidth="1"/>
    <col min="16" max="16" width="77.44140625" bestFit="1" customWidth="1"/>
  </cols>
  <sheetData>
    <row r="1" spans="1:17" x14ac:dyDescent="0.3">
      <c r="J1">
        <v>0.6</v>
      </c>
      <c r="N1">
        <v>19.5</v>
      </c>
      <c r="O1">
        <v>1.1599999999999999</v>
      </c>
    </row>
    <row r="2" spans="1:17" x14ac:dyDescent="0.3">
      <c r="A2" t="s">
        <v>4212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  <c r="Q2" t="s">
        <v>4247</v>
      </c>
    </row>
    <row r="3" spans="1:17" ht="42" customHeight="1" x14ac:dyDescent="0.3">
      <c r="A3" s="5">
        <v>979</v>
      </c>
      <c r="B3" s="5" t="s">
        <v>1731</v>
      </c>
      <c r="C3" s="5" t="s">
        <v>1757</v>
      </c>
      <c r="D3" s="5" t="s">
        <v>362</v>
      </c>
      <c r="E3" s="5" t="s">
        <v>1731</v>
      </c>
      <c r="F3" s="5" t="s">
        <v>4063</v>
      </c>
      <c r="G3" s="5" t="s">
        <v>1758</v>
      </c>
      <c r="H3" s="5" t="s">
        <v>1759</v>
      </c>
      <c r="I3" s="5" t="s">
        <v>1760</v>
      </c>
      <c r="J3" s="5">
        <v>216</v>
      </c>
      <c r="K3" s="5" t="s">
        <v>19</v>
      </c>
      <c r="L3" s="15">
        <v>1.5502</v>
      </c>
      <c r="M3" s="5" t="s">
        <v>33</v>
      </c>
      <c r="N3" s="11">
        <f>Tabla12[[#This Row],[Price]]*Tabla12[[#This Row],[QTY Adjusted]]</f>
        <v>334.84320000000002</v>
      </c>
      <c r="O3" s="11">
        <v>334.84320000000002</v>
      </c>
      <c r="P3" s="10" t="s">
        <v>4225</v>
      </c>
      <c r="Q3" s="6">
        <v>0</v>
      </c>
    </row>
    <row r="4" spans="1:17" ht="42" customHeight="1" x14ac:dyDescent="0.3">
      <c r="A4" s="5">
        <v>1004</v>
      </c>
      <c r="B4" s="5" t="s">
        <v>1731</v>
      </c>
      <c r="C4" s="5" t="s">
        <v>130</v>
      </c>
      <c r="D4" s="5" t="s">
        <v>130</v>
      </c>
      <c r="E4" s="5" t="s">
        <v>1731</v>
      </c>
      <c r="F4" s="5" t="s">
        <v>4059</v>
      </c>
      <c r="G4" s="5" t="s">
        <v>1824</v>
      </c>
      <c r="H4" s="5" t="s">
        <v>1825</v>
      </c>
      <c r="I4" s="5" t="s">
        <v>1826</v>
      </c>
      <c r="J4" s="5">
        <v>36</v>
      </c>
      <c r="K4" s="5" t="s">
        <v>19</v>
      </c>
      <c r="L4" s="11">
        <v>151.41446021097138</v>
      </c>
      <c r="M4" s="5" t="s">
        <v>33</v>
      </c>
      <c r="N4" s="11">
        <f>Tabla12[[#This Row],[Price]]*Tabla12[[#This Row],[QTY Adjusted]]</f>
        <v>5450.9205675949697</v>
      </c>
      <c r="O4" s="11">
        <v>5450.9205675949697</v>
      </c>
      <c r="P4" s="10" t="s">
        <v>4225</v>
      </c>
      <c r="Q4" s="6">
        <v>0</v>
      </c>
    </row>
    <row r="5" spans="1:17" ht="42" customHeight="1" x14ac:dyDescent="0.3">
      <c r="A5" s="5">
        <v>1049</v>
      </c>
      <c r="B5" s="5" t="s">
        <v>1731</v>
      </c>
      <c r="C5" s="5" t="s">
        <v>1256</v>
      </c>
      <c r="D5" s="5" t="str">
        <f>Tabla12[[#This Row],[Vendor]]</f>
        <v>Monica Calderon</v>
      </c>
      <c r="E5" s="5" t="s">
        <v>1904</v>
      </c>
      <c r="F5" s="5" t="s">
        <v>4059</v>
      </c>
      <c r="G5" s="5" t="s">
        <v>178</v>
      </c>
      <c r="H5" s="5" t="s">
        <v>1935</v>
      </c>
      <c r="I5" s="5" t="s">
        <v>1313</v>
      </c>
      <c r="J5" s="5">
        <v>24</v>
      </c>
      <c r="K5" s="5" t="s">
        <v>19</v>
      </c>
      <c r="L5" s="11">
        <v>163.08000000000001</v>
      </c>
      <c r="M5" s="5" t="s">
        <v>33</v>
      </c>
      <c r="N5" s="11">
        <f>Tabla12[[#This Row],[Price]]*Tabla12[[#This Row],[QTY Adjusted]]</f>
        <v>3913.92</v>
      </c>
      <c r="O5" s="11">
        <v>3913.92</v>
      </c>
      <c r="P5" s="10" t="s">
        <v>4225</v>
      </c>
      <c r="Q5" s="6">
        <v>0</v>
      </c>
    </row>
    <row r="6" spans="1:17" ht="42" customHeight="1" x14ac:dyDescent="0.3">
      <c r="A6" s="5">
        <v>995</v>
      </c>
      <c r="B6" s="5" t="s">
        <v>1731</v>
      </c>
      <c r="C6" s="5" t="s">
        <v>130</v>
      </c>
      <c r="D6" s="5" t="s">
        <v>130</v>
      </c>
      <c r="E6" s="5" t="s">
        <v>1731</v>
      </c>
      <c r="F6" s="5" t="s">
        <v>4060</v>
      </c>
      <c r="G6" s="5" t="s">
        <v>1799</v>
      </c>
      <c r="H6" s="5" t="s">
        <v>1800</v>
      </c>
      <c r="I6" s="5" t="s">
        <v>1801</v>
      </c>
      <c r="J6" s="5">
        <v>36</v>
      </c>
      <c r="K6" s="5" t="s">
        <v>19</v>
      </c>
      <c r="L6" s="11">
        <v>57.059142592037645</v>
      </c>
      <c r="M6" s="5" t="s">
        <v>33</v>
      </c>
      <c r="N6" s="11">
        <f>Tabla12[[#This Row],[Price]]*Tabla12[[#This Row],[QTY Adjusted]]</f>
        <v>2054.1291333133554</v>
      </c>
      <c r="O6" s="11">
        <v>2054.1291333133554</v>
      </c>
      <c r="P6" s="10" t="s">
        <v>4241</v>
      </c>
      <c r="Q6" s="6">
        <v>0</v>
      </c>
    </row>
    <row r="7" spans="1:17" ht="42" customHeight="1" x14ac:dyDescent="0.3">
      <c r="A7" s="5">
        <v>998</v>
      </c>
      <c r="B7" s="5" t="s">
        <v>1731</v>
      </c>
      <c r="C7" s="5" t="s">
        <v>130</v>
      </c>
      <c r="D7" s="5" t="s">
        <v>130</v>
      </c>
      <c r="E7" s="5" t="s">
        <v>1731</v>
      </c>
      <c r="F7" s="5" t="s">
        <v>4060</v>
      </c>
      <c r="G7" s="5" t="s">
        <v>1807</v>
      </c>
      <c r="H7" s="5" t="s">
        <v>1808</v>
      </c>
      <c r="I7" s="5" t="s">
        <v>1809</v>
      </c>
      <c r="J7" s="5">
        <v>36</v>
      </c>
      <c r="K7" s="5" t="s">
        <v>19</v>
      </c>
      <c r="L7" s="11">
        <v>56.692497499076751</v>
      </c>
      <c r="M7" s="5" t="s">
        <v>33</v>
      </c>
      <c r="N7" s="11">
        <f>Tabla12[[#This Row],[Price]]*Tabla12[[#This Row],[QTY Adjusted]]</f>
        <v>2040.929909966763</v>
      </c>
      <c r="O7" s="11">
        <v>2040.929909966763</v>
      </c>
      <c r="P7" s="10" t="s">
        <v>4241</v>
      </c>
      <c r="Q7" s="6">
        <v>0</v>
      </c>
    </row>
    <row r="8" spans="1:17" ht="42" customHeight="1" x14ac:dyDescent="0.3">
      <c r="A8" s="5">
        <v>972</v>
      </c>
      <c r="B8" s="5" t="s">
        <v>1731</v>
      </c>
      <c r="C8" s="5" t="s">
        <v>219</v>
      </c>
      <c r="D8" s="5" t="s">
        <v>44</v>
      </c>
      <c r="E8" s="5" t="s">
        <v>1731</v>
      </c>
      <c r="F8" s="5" t="s">
        <v>4063</v>
      </c>
      <c r="G8" s="5">
        <v>1940504021</v>
      </c>
      <c r="H8" s="5" t="s">
        <v>58</v>
      </c>
      <c r="I8" s="5" t="s">
        <v>1743</v>
      </c>
      <c r="J8" s="5">
        <v>180</v>
      </c>
      <c r="K8" s="5" t="s">
        <v>19</v>
      </c>
      <c r="L8" s="11">
        <v>8.2439999999999998</v>
      </c>
      <c r="M8" s="5" t="s">
        <v>33</v>
      </c>
      <c r="N8" s="11">
        <f>Tabla12[[#This Row],[Price]]*Tabla12[[#This Row],[QTY Adjusted]]</f>
        <v>1483.92</v>
      </c>
      <c r="O8" s="11">
        <v>1483.92</v>
      </c>
      <c r="P8" s="22">
        <v>46093</v>
      </c>
      <c r="Q8" s="6">
        <v>0</v>
      </c>
    </row>
    <row r="9" spans="1:17" ht="42" customHeight="1" x14ac:dyDescent="0.3">
      <c r="A9" s="5">
        <v>1036</v>
      </c>
      <c r="B9" s="5" t="s">
        <v>1731</v>
      </c>
      <c r="C9" s="5" t="s">
        <v>1723</v>
      </c>
      <c r="D9" s="5" t="s">
        <v>1490</v>
      </c>
      <c r="E9" s="5" t="s">
        <v>1731</v>
      </c>
      <c r="F9" s="5" t="s">
        <v>4059</v>
      </c>
      <c r="G9" s="5" t="s">
        <v>1897</v>
      </c>
      <c r="H9" s="5" t="s">
        <v>1898</v>
      </c>
      <c r="I9" s="5" t="s">
        <v>1899</v>
      </c>
      <c r="J9" s="5">
        <v>12</v>
      </c>
      <c r="K9" s="5" t="s">
        <v>19</v>
      </c>
      <c r="L9" s="11">
        <v>136.36000000000001</v>
      </c>
      <c r="M9" s="5" t="s">
        <v>33</v>
      </c>
      <c r="N9" s="11">
        <f>Tabla12[[#This Row],[Price]]*Tabla12[[#This Row],[QTY Adjusted]]</f>
        <v>1636.3200000000002</v>
      </c>
      <c r="O9" s="11">
        <v>1636.3200000000002</v>
      </c>
      <c r="P9" s="10" t="s">
        <v>4225</v>
      </c>
      <c r="Q9" s="6">
        <v>0</v>
      </c>
    </row>
    <row r="10" spans="1:17" ht="42" customHeight="1" x14ac:dyDescent="0.3">
      <c r="A10" s="5">
        <v>1011</v>
      </c>
      <c r="B10" s="5" t="s">
        <v>1731</v>
      </c>
      <c r="C10" s="5" t="s">
        <v>14</v>
      </c>
      <c r="D10" s="5" t="str">
        <f>Tabla12[[#This Row],[Vendor]]</f>
        <v>Oaxifornia</v>
      </c>
      <c r="E10" s="5" t="s">
        <v>1731</v>
      </c>
      <c r="F10" s="5" t="s">
        <v>4059</v>
      </c>
      <c r="G10" s="5" t="s">
        <v>1511</v>
      </c>
      <c r="H10" s="5" t="s">
        <v>1842</v>
      </c>
      <c r="I10" s="5" t="s">
        <v>1513</v>
      </c>
      <c r="J10" s="5">
        <v>36</v>
      </c>
      <c r="K10" s="5" t="s">
        <v>19</v>
      </c>
      <c r="L10" s="11">
        <v>834</v>
      </c>
      <c r="M10" s="5" t="s">
        <v>20</v>
      </c>
      <c r="N10" s="11">
        <f>Tabla12[[#This Row],[Price]]*Tabla12[[#This Row],[QTY Adjusted]]</f>
        <v>30024</v>
      </c>
      <c r="O10" s="11">
        <v>1539.6923076923076</v>
      </c>
      <c r="P10" s="10" t="s">
        <v>4232</v>
      </c>
      <c r="Q10" s="6">
        <v>0</v>
      </c>
    </row>
    <row r="11" spans="1:17" ht="42" customHeight="1" x14ac:dyDescent="0.3">
      <c r="A11" s="5">
        <v>1002</v>
      </c>
      <c r="B11" s="5" t="s">
        <v>1731</v>
      </c>
      <c r="C11" s="5" t="s">
        <v>130</v>
      </c>
      <c r="D11" s="5" t="s">
        <v>130</v>
      </c>
      <c r="E11" s="5" t="s">
        <v>1731</v>
      </c>
      <c r="F11" s="5" t="s">
        <v>4060</v>
      </c>
      <c r="G11" s="5" t="s">
        <v>1819</v>
      </c>
      <c r="H11" s="5" t="s">
        <v>1820</v>
      </c>
      <c r="I11" s="5" t="s">
        <v>1821</v>
      </c>
      <c r="J11" s="5">
        <v>36</v>
      </c>
      <c r="K11" s="5" t="s">
        <v>19</v>
      </c>
      <c r="L11" s="11">
        <v>40.117083921470112</v>
      </c>
      <c r="M11" s="5" t="s">
        <v>33</v>
      </c>
      <c r="N11" s="11">
        <f>Tabla12[[#This Row],[Price]]*Tabla12[[#This Row],[QTY Adjusted]]</f>
        <v>1444.215021172924</v>
      </c>
      <c r="O11" s="11">
        <v>1444.215021172924</v>
      </c>
      <c r="P11" s="10" t="s">
        <v>4225</v>
      </c>
      <c r="Q11" s="6">
        <v>0</v>
      </c>
    </row>
    <row r="12" spans="1:17" ht="42" customHeight="1" x14ac:dyDescent="0.3">
      <c r="A12" s="5">
        <v>969</v>
      </c>
      <c r="B12" s="5" t="s">
        <v>1731</v>
      </c>
      <c r="C12" s="5" t="s">
        <v>219</v>
      </c>
      <c r="D12" s="5" t="s">
        <v>44</v>
      </c>
      <c r="E12" s="5" t="s">
        <v>1731</v>
      </c>
      <c r="F12" s="5" t="s">
        <v>4063</v>
      </c>
      <c r="G12" s="5">
        <v>1940504012</v>
      </c>
      <c r="H12" s="5" t="s">
        <v>49</v>
      </c>
      <c r="I12" s="5" t="s">
        <v>1739</v>
      </c>
      <c r="J12" s="5">
        <v>108</v>
      </c>
      <c r="K12" s="5" t="s">
        <v>19</v>
      </c>
      <c r="L12" s="11">
        <v>11.417999999999999</v>
      </c>
      <c r="M12" s="5" t="s">
        <v>33</v>
      </c>
      <c r="N12" s="11">
        <f>Tabla12[[#This Row],[Price]]*Tabla12[[#This Row],[QTY Adjusted]]</f>
        <v>1233.144</v>
      </c>
      <c r="O12" s="11">
        <v>1233.144</v>
      </c>
      <c r="P12" s="22">
        <v>46093</v>
      </c>
      <c r="Q12" s="6">
        <v>0</v>
      </c>
    </row>
    <row r="13" spans="1:17" ht="42" customHeight="1" x14ac:dyDescent="0.3">
      <c r="A13" s="5">
        <v>970</v>
      </c>
      <c r="B13" s="5" t="s">
        <v>1731</v>
      </c>
      <c r="C13" s="5" t="s">
        <v>219</v>
      </c>
      <c r="D13" s="5" t="s">
        <v>44</v>
      </c>
      <c r="E13" s="5" t="s">
        <v>1731</v>
      </c>
      <c r="F13" s="5" t="s">
        <v>4063</v>
      </c>
      <c r="G13" s="5">
        <v>1940504019</v>
      </c>
      <c r="H13" s="5" t="s">
        <v>1740</v>
      </c>
      <c r="I13" s="5" t="s">
        <v>1741</v>
      </c>
      <c r="J13" s="5">
        <v>108</v>
      </c>
      <c r="K13" s="5" t="s">
        <v>19</v>
      </c>
      <c r="L13" s="11">
        <v>11.417999999999999</v>
      </c>
      <c r="M13" s="5" t="s">
        <v>33</v>
      </c>
      <c r="N13" s="11">
        <f>Tabla12[[#This Row],[Price]]*Tabla12[[#This Row],[QTY Adjusted]]</f>
        <v>1233.144</v>
      </c>
      <c r="O13" s="11">
        <v>1233.144</v>
      </c>
      <c r="P13" s="22">
        <v>46093</v>
      </c>
      <c r="Q13" s="6">
        <v>0</v>
      </c>
    </row>
    <row r="14" spans="1:17" ht="42" customHeight="1" x14ac:dyDescent="0.3">
      <c r="A14" s="5">
        <v>971</v>
      </c>
      <c r="B14" s="5" t="s">
        <v>1731</v>
      </c>
      <c r="C14" s="5" t="s">
        <v>219</v>
      </c>
      <c r="D14" s="5" t="s">
        <v>44</v>
      </c>
      <c r="E14" s="5" t="s">
        <v>1731</v>
      </c>
      <c r="F14" s="5" t="s">
        <v>4063</v>
      </c>
      <c r="G14" s="5">
        <v>1940504011</v>
      </c>
      <c r="H14" s="5" t="s">
        <v>55</v>
      </c>
      <c r="I14" s="5" t="s">
        <v>1742</v>
      </c>
      <c r="J14" s="5">
        <v>108</v>
      </c>
      <c r="K14" s="5" t="s">
        <v>19</v>
      </c>
      <c r="L14" s="11">
        <v>11.417999999999999</v>
      </c>
      <c r="M14" s="5" t="s">
        <v>33</v>
      </c>
      <c r="N14" s="11">
        <f>Tabla12[[#This Row],[Price]]*Tabla12[[#This Row],[QTY Adjusted]]</f>
        <v>1233.144</v>
      </c>
      <c r="O14" s="11">
        <v>1233.144</v>
      </c>
      <c r="P14" s="22">
        <v>46093</v>
      </c>
      <c r="Q14" s="6">
        <v>0</v>
      </c>
    </row>
    <row r="15" spans="1:17" ht="42" customHeight="1" x14ac:dyDescent="0.3">
      <c r="A15" s="5">
        <v>996</v>
      </c>
      <c r="B15" s="5" t="s">
        <v>1731</v>
      </c>
      <c r="C15" s="5" t="s">
        <v>130</v>
      </c>
      <c r="D15" s="5" t="s">
        <v>130</v>
      </c>
      <c r="E15" s="5" t="s">
        <v>1731</v>
      </c>
      <c r="F15" s="5" t="s">
        <v>4060</v>
      </c>
      <c r="G15" s="5" t="s">
        <v>1802</v>
      </c>
      <c r="H15" s="5" t="s">
        <v>1803</v>
      </c>
      <c r="I15" s="5" t="s">
        <v>1804</v>
      </c>
      <c r="J15" s="5">
        <v>42</v>
      </c>
      <c r="K15" s="5" t="s">
        <v>19</v>
      </c>
      <c r="L15" s="11">
        <v>34.235485555222581</v>
      </c>
      <c r="M15" s="5" t="s">
        <v>33</v>
      </c>
      <c r="N15" s="11">
        <f>Tabla12[[#This Row],[Price]]*Tabla12[[#This Row],[QTY Adjusted]]</f>
        <v>1437.8903933193485</v>
      </c>
      <c r="O15" s="11">
        <v>1437.8903933193485</v>
      </c>
      <c r="P15" s="10" t="s">
        <v>4225</v>
      </c>
      <c r="Q15" s="6">
        <v>0</v>
      </c>
    </row>
    <row r="16" spans="1:17" ht="42" customHeight="1" x14ac:dyDescent="0.3">
      <c r="A16" s="5">
        <v>997</v>
      </c>
      <c r="B16" s="5" t="s">
        <v>1731</v>
      </c>
      <c r="C16" s="5" t="s">
        <v>130</v>
      </c>
      <c r="D16" s="5" t="s">
        <v>130</v>
      </c>
      <c r="E16" s="5" t="s">
        <v>1731</v>
      </c>
      <c r="F16" s="5" t="s">
        <v>4060</v>
      </c>
      <c r="G16" s="5" t="s">
        <v>1805</v>
      </c>
      <c r="H16" s="5" t="s">
        <v>1803</v>
      </c>
      <c r="I16" s="5" t="s">
        <v>1806</v>
      </c>
      <c r="J16" s="5">
        <v>42</v>
      </c>
      <c r="K16" s="5" t="s">
        <v>19</v>
      </c>
      <c r="L16" s="11">
        <v>34.235485555222581</v>
      </c>
      <c r="M16" s="5" t="s">
        <v>33</v>
      </c>
      <c r="N16" s="11">
        <f>Tabla12[[#This Row],[Price]]*Tabla12[[#This Row],[QTY Adjusted]]</f>
        <v>1437.8903933193485</v>
      </c>
      <c r="O16" s="11">
        <v>1437.8903933193485</v>
      </c>
      <c r="P16" s="10" t="s">
        <v>4225</v>
      </c>
      <c r="Q16" s="6">
        <v>0</v>
      </c>
    </row>
    <row r="17" spans="1:17" ht="42" customHeight="1" x14ac:dyDescent="0.3">
      <c r="A17" s="5">
        <v>967</v>
      </c>
      <c r="B17" s="5" t="s">
        <v>1731</v>
      </c>
      <c r="C17" s="5" t="s">
        <v>34</v>
      </c>
      <c r="D17" s="5" t="str">
        <f>Tabla12[[#This Row],[Vendor]]</f>
        <v>Casa Rovea</v>
      </c>
      <c r="E17" s="5" t="s">
        <v>1731</v>
      </c>
      <c r="F17" s="5" t="s">
        <v>4061</v>
      </c>
      <c r="G17" s="5" t="s">
        <v>1735</v>
      </c>
      <c r="H17" s="5" t="s">
        <v>36</v>
      </c>
      <c r="I17" s="5" t="s">
        <v>1736</v>
      </c>
      <c r="J17" s="5">
        <v>216</v>
      </c>
      <c r="K17" s="5" t="s">
        <v>19</v>
      </c>
      <c r="L17" s="11">
        <v>4.88</v>
      </c>
      <c r="M17" s="5" t="s">
        <v>28</v>
      </c>
      <c r="N17" s="11">
        <f>Tabla12[[#This Row],[Price]]*Tabla12[[#This Row],[QTY Adjusted]]</f>
        <v>1054.08</v>
      </c>
      <c r="O17" s="11">
        <v>1222.7327999999998</v>
      </c>
      <c r="P17" s="10" t="s">
        <v>4224</v>
      </c>
      <c r="Q17" s="6">
        <v>0</v>
      </c>
    </row>
    <row r="18" spans="1:17" ht="42" customHeight="1" x14ac:dyDescent="0.3">
      <c r="A18" s="5">
        <v>968</v>
      </c>
      <c r="B18" s="5" t="s">
        <v>1731</v>
      </c>
      <c r="C18" s="5" t="s">
        <v>1468</v>
      </c>
      <c r="D18" s="5" t="s">
        <v>44</v>
      </c>
      <c r="E18" s="5" t="s">
        <v>1731</v>
      </c>
      <c r="F18" s="5" t="s">
        <v>4059</v>
      </c>
      <c r="G18" s="5" t="s">
        <v>1737</v>
      </c>
      <c r="H18" s="5" t="s">
        <v>26</v>
      </c>
      <c r="I18" s="5" t="s">
        <v>1738</v>
      </c>
      <c r="J18" s="5">
        <v>108</v>
      </c>
      <c r="K18" s="5" t="s">
        <v>19</v>
      </c>
      <c r="L18" s="11">
        <v>10.45</v>
      </c>
      <c r="M18" s="5" t="s">
        <v>33</v>
      </c>
      <c r="N18" s="11">
        <f>Tabla12[[#This Row],[Price]]*Tabla12[[#This Row],[QTY Adjusted]]</f>
        <v>1128.5999999999999</v>
      </c>
      <c r="O18" s="11">
        <v>1128.5999999999999</v>
      </c>
      <c r="P18" s="22" t="s">
        <v>4225</v>
      </c>
      <c r="Q18" s="6">
        <v>0</v>
      </c>
    </row>
    <row r="19" spans="1:17" ht="42" customHeight="1" x14ac:dyDescent="0.3">
      <c r="A19" s="5">
        <v>1057</v>
      </c>
      <c r="B19" s="5" t="s">
        <v>1731</v>
      </c>
      <c r="C19" s="5" t="s">
        <v>1723</v>
      </c>
      <c r="D19" s="5" t="s">
        <v>1490</v>
      </c>
      <c r="E19" s="5" t="s">
        <v>1904</v>
      </c>
      <c r="F19" s="5" t="s">
        <v>4059</v>
      </c>
      <c r="G19" s="5" t="s">
        <v>1724</v>
      </c>
      <c r="H19" s="5" t="s">
        <v>523</v>
      </c>
      <c r="I19" s="5" t="s">
        <v>1725</v>
      </c>
      <c r="J19" s="5">
        <v>6</v>
      </c>
      <c r="K19" s="5" t="s">
        <v>19</v>
      </c>
      <c r="L19" s="11">
        <v>210</v>
      </c>
      <c r="M19" s="5" t="s">
        <v>33</v>
      </c>
      <c r="N19" s="11">
        <f>Tabla12[[#This Row],[Price]]*Tabla12[[#This Row],[QTY Adjusted]]</f>
        <v>1260</v>
      </c>
      <c r="O19" s="11">
        <v>1260</v>
      </c>
      <c r="P19" s="10" t="s">
        <v>4225</v>
      </c>
      <c r="Q19" s="6">
        <v>0</v>
      </c>
    </row>
    <row r="20" spans="1:17" ht="42" customHeight="1" x14ac:dyDescent="0.3">
      <c r="A20" s="5">
        <v>1009</v>
      </c>
      <c r="B20" s="5" t="s">
        <v>1731</v>
      </c>
      <c r="C20" s="5" t="s">
        <v>1757</v>
      </c>
      <c r="D20" s="5" t="s">
        <v>362</v>
      </c>
      <c r="E20" s="5" t="s">
        <v>1731</v>
      </c>
      <c r="F20" s="5" t="s">
        <v>4059</v>
      </c>
      <c r="G20" s="5" t="s">
        <v>1837</v>
      </c>
      <c r="H20" s="5" t="s">
        <v>1838</v>
      </c>
      <c r="I20" s="5" t="s">
        <v>1839</v>
      </c>
      <c r="J20" s="5">
        <v>12</v>
      </c>
      <c r="K20" s="5" t="s">
        <v>19</v>
      </c>
      <c r="L20" s="11">
        <v>103.28437499999997</v>
      </c>
      <c r="M20" s="5" t="s">
        <v>33</v>
      </c>
      <c r="N20" s="11">
        <f>Tabla12[[#This Row],[Price]]*Tabla12[[#This Row],[QTY Adjusted]]</f>
        <v>1239.4124999999997</v>
      </c>
      <c r="O20" s="11">
        <v>1239.4124999999997</v>
      </c>
      <c r="P20" s="10" t="s">
        <v>4225</v>
      </c>
      <c r="Q20" s="6">
        <v>0</v>
      </c>
    </row>
    <row r="21" spans="1:17" ht="42" customHeight="1" x14ac:dyDescent="0.3">
      <c r="A21" s="5">
        <v>1109</v>
      </c>
      <c r="B21" s="5" t="s">
        <v>1731</v>
      </c>
      <c r="C21" s="5" t="s">
        <v>361</v>
      </c>
      <c r="D21" s="5" t="s">
        <v>362</v>
      </c>
      <c r="E21" s="5" t="s">
        <v>1944</v>
      </c>
      <c r="F21" s="5" t="s">
        <v>4059</v>
      </c>
      <c r="G21" s="5" t="s">
        <v>369</v>
      </c>
      <c r="H21" s="5" t="s">
        <v>347</v>
      </c>
      <c r="I21" s="5" t="s">
        <v>370</v>
      </c>
      <c r="J21" s="5">
        <v>18</v>
      </c>
      <c r="K21" s="5" t="s">
        <v>19</v>
      </c>
      <c r="L21" s="11">
        <v>65.73294117647059</v>
      </c>
      <c r="M21" s="5" t="s">
        <v>33</v>
      </c>
      <c r="N21" s="11">
        <f>Tabla12[[#This Row],[Price]]*Tabla12[[#This Row],[QTY Adjusted]]</f>
        <v>1183.1929411764706</v>
      </c>
      <c r="O21" s="11">
        <v>1183.1929411764706</v>
      </c>
      <c r="P21" s="10" t="s">
        <v>4225</v>
      </c>
      <c r="Q21" s="6">
        <v>0</v>
      </c>
    </row>
    <row r="22" spans="1:17" ht="42" customHeight="1" x14ac:dyDescent="0.3">
      <c r="A22" s="5">
        <v>993</v>
      </c>
      <c r="B22" s="5" t="s">
        <v>1731</v>
      </c>
      <c r="C22" s="5" t="s">
        <v>130</v>
      </c>
      <c r="D22" s="5" t="s">
        <v>130</v>
      </c>
      <c r="E22" s="5" t="s">
        <v>1731</v>
      </c>
      <c r="F22" s="5" t="s">
        <v>4060</v>
      </c>
      <c r="G22" s="5" t="s">
        <v>1794</v>
      </c>
      <c r="H22" s="5" t="s">
        <v>1795</v>
      </c>
      <c r="I22" s="5" t="s">
        <v>1796</v>
      </c>
      <c r="J22" s="5">
        <v>36</v>
      </c>
      <c r="K22" s="5" t="s">
        <v>19</v>
      </c>
      <c r="L22" s="11">
        <v>29.667698772084904</v>
      </c>
      <c r="M22" s="5" t="s">
        <v>33</v>
      </c>
      <c r="N22" s="11">
        <f>Tabla12[[#This Row],[Price]]*Tabla12[[#This Row],[QTY Adjusted]]</f>
        <v>1068.0371557950566</v>
      </c>
      <c r="O22" s="11">
        <v>1068.0371557950566</v>
      </c>
      <c r="P22" s="10" t="s">
        <v>4225</v>
      </c>
      <c r="Q22" s="6">
        <v>0</v>
      </c>
    </row>
    <row r="23" spans="1:17" ht="42" customHeight="1" x14ac:dyDescent="0.3">
      <c r="A23" s="5">
        <v>994</v>
      </c>
      <c r="B23" s="5" t="s">
        <v>1731</v>
      </c>
      <c r="C23" s="5" t="s">
        <v>130</v>
      </c>
      <c r="D23" s="5" t="s">
        <v>130</v>
      </c>
      <c r="E23" s="5" t="s">
        <v>1731</v>
      </c>
      <c r="F23" s="5" t="s">
        <v>4060</v>
      </c>
      <c r="G23" s="5" t="s">
        <v>1797</v>
      </c>
      <c r="H23" s="5" t="s">
        <v>1795</v>
      </c>
      <c r="I23" s="5" t="s">
        <v>1798</v>
      </c>
      <c r="J23" s="5">
        <v>36</v>
      </c>
      <c r="K23" s="5" t="s">
        <v>19</v>
      </c>
      <c r="L23" s="11">
        <v>29.667698772084904</v>
      </c>
      <c r="M23" s="5" t="s">
        <v>33</v>
      </c>
      <c r="N23" s="11">
        <f>Tabla12[[#This Row],[Price]]*Tabla12[[#This Row],[QTY Adjusted]]</f>
        <v>1068.0371557950566</v>
      </c>
      <c r="O23" s="11">
        <v>1068.0371557950566</v>
      </c>
      <c r="P23" s="10" t="s">
        <v>4225</v>
      </c>
      <c r="Q23" s="6">
        <v>0</v>
      </c>
    </row>
    <row r="24" spans="1:17" ht="42" customHeight="1" x14ac:dyDescent="0.3">
      <c r="A24" s="5">
        <v>1014</v>
      </c>
      <c r="B24" s="5" t="s">
        <v>1731</v>
      </c>
      <c r="C24" s="5" t="s">
        <v>43</v>
      </c>
      <c r="D24" s="5" t="s">
        <v>44</v>
      </c>
      <c r="E24" s="5" t="s">
        <v>1731</v>
      </c>
      <c r="F24" s="5" t="s">
        <v>4059</v>
      </c>
      <c r="G24" s="5">
        <v>656392</v>
      </c>
      <c r="H24" s="5" t="s">
        <v>116</v>
      </c>
      <c r="I24" s="5" t="s">
        <v>117</v>
      </c>
      <c r="J24" s="5">
        <v>24</v>
      </c>
      <c r="K24" s="5" t="s">
        <v>19</v>
      </c>
      <c r="L24" s="11">
        <v>41.475000000000001</v>
      </c>
      <c r="M24" s="5" t="s">
        <v>33</v>
      </c>
      <c r="N24" s="11">
        <f>Tabla12[[#This Row],[Price]]*Tabla12[[#This Row],[QTY Adjusted]]</f>
        <v>995.40000000000009</v>
      </c>
      <c r="O24" s="11">
        <v>995.40000000000009</v>
      </c>
      <c r="P24" s="10" t="s">
        <v>4225</v>
      </c>
      <c r="Q24" s="6">
        <v>0</v>
      </c>
    </row>
    <row r="25" spans="1:17" ht="42" customHeight="1" x14ac:dyDescent="0.3">
      <c r="A25" s="5">
        <v>1019</v>
      </c>
      <c r="B25" s="5" t="s">
        <v>1731</v>
      </c>
      <c r="C25" s="5" t="s">
        <v>14</v>
      </c>
      <c r="D25" s="5" t="str">
        <f>Tabla12[[#This Row],[Vendor]]</f>
        <v>Oaxifornia</v>
      </c>
      <c r="E25" s="5" t="s">
        <v>1731</v>
      </c>
      <c r="F25" s="5" t="s">
        <v>4059</v>
      </c>
      <c r="G25" s="5" t="s">
        <v>127</v>
      </c>
      <c r="H25" s="5" t="s">
        <v>128</v>
      </c>
      <c r="I25" s="5" t="s">
        <v>129</v>
      </c>
      <c r="J25" s="5">
        <v>12</v>
      </c>
      <c r="K25" s="5" t="s">
        <v>19</v>
      </c>
      <c r="L25" s="11">
        <v>1608</v>
      </c>
      <c r="M25" s="5" t="s">
        <v>20</v>
      </c>
      <c r="N25" s="11">
        <f>Tabla12[[#This Row],[Price]]*Tabla12[[#This Row],[QTY Adjusted]]</f>
        <v>19296</v>
      </c>
      <c r="O25" s="11">
        <v>989.53846153846155</v>
      </c>
      <c r="P25" s="10" t="s">
        <v>4232</v>
      </c>
      <c r="Q25" s="6">
        <v>0</v>
      </c>
    </row>
    <row r="26" spans="1:17" ht="42" customHeight="1" x14ac:dyDescent="0.3">
      <c r="A26" s="5">
        <v>974</v>
      </c>
      <c r="B26" s="5" t="s">
        <v>1731</v>
      </c>
      <c r="C26" s="5" t="s">
        <v>219</v>
      </c>
      <c r="D26" s="5" t="s">
        <v>44</v>
      </c>
      <c r="E26" s="5" t="s">
        <v>1731</v>
      </c>
      <c r="F26" s="5" t="s">
        <v>4063</v>
      </c>
      <c r="G26" s="5">
        <v>1940504001</v>
      </c>
      <c r="H26" s="5" t="s">
        <v>1745</v>
      </c>
      <c r="I26" s="5" t="s">
        <v>1746</v>
      </c>
      <c r="J26" s="5">
        <v>72</v>
      </c>
      <c r="K26" s="5" t="s">
        <v>19</v>
      </c>
      <c r="L26" s="11">
        <v>11.67</v>
      </c>
      <c r="M26" s="5" t="s">
        <v>33</v>
      </c>
      <c r="N26" s="11">
        <f>Tabla12[[#This Row],[Price]]*Tabla12[[#This Row],[QTY Adjusted]]</f>
        <v>840.24</v>
      </c>
      <c r="O26" s="11">
        <v>840.24</v>
      </c>
      <c r="P26" s="22">
        <v>46093</v>
      </c>
      <c r="Q26" s="6">
        <v>0</v>
      </c>
    </row>
    <row r="27" spans="1:17" ht="42" customHeight="1" x14ac:dyDescent="0.3">
      <c r="A27" s="5">
        <v>975</v>
      </c>
      <c r="B27" s="5" t="s">
        <v>1731</v>
      </c>
      <c r="C27" s="5" t="s">
        <v>219</v>
      </c>
      <c r="D27" s="5" t="s">
        <v>44</v>
      </c>
      <c r="E27" s="5" t="s">
        <v>1731</v>
      </c>
      <c r="F27" s="5" t="s">
        <v>4063</v>
      </c>
      <c r="G27" s="5">
        <v>1940504002</v>
      </c>
      <c r="H27" s="5" t="s">
        <v>1747</v>
      </c>
      <c r="I27" s="5" t="s">
        <v>1748</v>
      </c>
      <c r="J27" s="5">
        <v>72</v>
      </c>
      <c r="K27" s="5" t="s">
        <v>19</v>
      </c>
      <c r="L27" s="11">
        <v>11.67</v>
      </c>
      <c r="M27" s="5" t="s">
        <v>33</v>
      </c>
      <c r="N27" s="11">
        <f>Tabla12[[#This Row],[Price]]*Tabla12[[#This Row],[QTY Adjusted]]</f>
        <v>840.24</v>
      </c>
      <c r="O27" s="11">
        <v>840.24</v>
      </c>
      <c r="P27" s="22">
        <v>46093</v>
      </c>
      <c r="Q27" s="6">
        <v>0</v>
      </c>
    </row>
    <row r="28" spans="1:17" ht="42" customHeight="1" x14ac:dyDescent="0.3">
      <c r="A28" s="5">
        <v>976</v>
      </c>
      <c r="B28" s="5" t="s">
        <v>1731</v>
      </c>
      <c r="C28" s="5" t="s">
        <v>219</v>
      </c>
      <c r="D28" s="5" t="s">
        <v>44</v>
      </c>
      <c r="E28" s="5" t="s">
        <v>1731</v>
      </c>
      <c r="F28" s="5" t="s">
        <v>4063</v>
      </c>
      <c r="G28" s="5">
        <v>1940504009</v>
      </c>
      <c r="H28" s="5" t="s">
        <v>589</v>
      </c>
      <c r="I28" s="5" t="s">
        <v>1749</v>
      </c>
      <c r="J28" s="5">
        <v>72</v>
      </c>
      <c r="K28" s="5" t="s">
        <v>19</v>
      </c>
      <c r="L28" s="11">
        <v>11.67</v>
      </c>
      <c r="M28" s="5" t="s">
        <v>33</v>
      </c>
      <c r="N28" s="11">
        <f>Tabla12[[#This Row],[Price]]*Tabla12[[#This Row],[QTY Adjusted]]</f>
        <v>840.24</v>
      </c>
      <c r="O28" s="11">
        <v>840.24</v>
      </c>
      <c r="P28" s="22">
        <v>46093</v>
      </c>
      <c r="Q28" s="6">
        <v>0</v>
      </c>
    </row>
    <row r="29" spans="1:17" ht="42" customHeight="1" x14ac:dyDescent="0.3">
      <c r="A29" s="5">
        <v>999</v>
      </c>
      <c r="B29" s="5" t="s">
        <v>1731</v>
      </c>
      <c r="C29" s="5" t="s">
        <v>124</v>
      </c>
      <c r="D29" s="5" t="str">
        <f>Tabla12[[#This Row],[Vendor]]</f>
        <v>Impulse</v>
      </c>
      <c r="E29" s="5" t="s">
        <v>1731</v>
      </c>
      <c r="F29" s="5" t="s">
        <v>4059</v>
      </c>
      <c r="G29" s="5" t="s">
        <v>1810</v>
      </c>
      <c r="H29" s="5" t="s">
        <v>1811</v>
      </c>
      <c r="I29" s="5" t="s">
        <v>1812</v>
      </c>
      <c r="J29" s="5">
        <v>36</v>
      </c>
      <c r="K29" s="5" t="s">
        <v>19</v>
      </c>
      <c r="L29" s="11">
        <v>25</v>
      </c>
      <c r="M29" s="5" t="s">
        <v>33</v>
      </c>
      <c r="N29" s="11">
        <f>Tabla12[[#This Row],[Price]]*Tabla12[[#This Row],[QTY Adjusted]]</f>
        <v>900</v>
      </c>
      <c r="O29" s="11">
        <v>900</v>
      </c>
      <c r="P29" s="10" t="s">
        <v>4224</v>
      </c>
      <c r="Q29" s="6">
        <v>0</v>
      </c>
    </row>
    <row r="30" spans="1:17" ht="42" customHeight="1" x14ac:dyDescent="0.3">
      <c r="A30" s="5">
        <v>1007</v>
      </c>
      <c r="B30" s="5" t="s">
        <v>1731</v>
      </c>
      <c r="C30" s="5" t="s">
        <v>1757</v>
      </c>
      <c r="D30" s="5" t="s">
        <v>362</v>
      </c>
      <c r="E30" s="5" t="s">
        <v>1731</v>
      </c>
      <c r="F30" s="5" t="s">
        <v>4059</v>
      </c>
      <c r="G30" s="5" t="s">
        <v>1832</v>
      </c>
      <c r="H30" s="5" t="s">
        <v>1833</v>
      </c>
      <c r="I30" s="5" t="s">
        <v>1834</v>
      </c>
      <c r="J30" s="5">
        <v>24</v>
      </c>
      <c r="K30" s="5" t="s">
        <v>19</v>
      </c>
      <c r="L30" s="11">
        <v>37.446874999999999</v>
      </c>
      <c r="M30" s="5" t="s">
        <v>33</v>
      </c>
      <c r="N30" s="11">
        <f>Tabla12[[#This Row],[Price]]*Tabla12[[#This Row],[QTY Adjusted]]</f>
        <v>898.72499999999991</v>
      </c>
      <c r="O30" s="11">
        <v>898.72499999999991</v>
      </c>
      <c r="P30" s="10" t="s">
        <v>4225</v>
      </c>
      <c r="Q30" s="6">
        <v>0</v>
      </c>
    </row>
    <row r="31" spans="1:17" ht="42" customHeight="1" x14ac:dyDescent="0.3">
      <c r="A31" s="5">
        <v>1031</v>
      </c>
      <c r="B31" s="5" t="s">
        <v>1731</v>
      </c>
      <c r="C31" s="5" t="s">
        <v>1757</v>
      </c>
      <c r="D31" s="5" t="s">
        <v>362</v>
      </c>
      <c r="E31" s="5" t="s">
        <v>1731</v>
      </c>
      <c r="F31" s="5" t="s">
        <v>4059</v>
      </c>
      <c r="G31" s="5" t="s">
        <v>1882</v>
      </c>
      <c r="H31" s="5" t="s">
        <v>1883</v>
      </c>
      <c r="I31" s="5" t="s">
        <v>1884</v>
      </c>
      <c r="J31" s="5">
        <v>36</v>
      </c>
      <c r="K31" s="5" t="s">
        <v>19</v>
      </c>
      <c r="L31" s="11">
        <v>24.466249999999995</v>
      </c>
      <c r="M31" s="5" t="s">
        <v>33</v>
      </c>
      <c r="N31" s="11">
        <f>Tabla12[[#This Row],[Price]]*Tabla12[[#This Row],[QTY Adjusted]]</f>
        <v>880.78499999999985</v>
      </c>
      <c r="O31" s="11">
        <v>880.78499999999985</v>
      </c>
      <c r="P31" s="10" t="s">
        <v>4225</v>
      </c>
      <c r="Q31" s="6">
        <v>0</v>
      </c>
    </row>
    <row r="32" spans="1:17" ht="42" customHeight="1" x14ac:dyDescent="0.3">
      <c r="A32" s="5">
        <v>1010</v>
      </c>
      <c r="B32" s="5" t="s">
        <v>1731</v>
      </c>
      <c r="C32" s="5" t="s">
        <v>1757</v>
      </c>
      <c r="D32" s="5" t="s">
        <v>362</v>
      </c>
      <c r="E32" s="5" t="s">
        <v>1731</v>
      </c>
      <c r="F32" s="5" t="s">
        <v>4059</v>
      </c>
      <c r="G32" s="5" t="s">
        <v>1840</v>
      </c>
      <c r="H32" s="5" t="s">
        <v>1838</v>
      </c>
      <c r="I32" s="5" t="s">
        <v>1841</v>
      </c>
      <c r="J32" s="5">
        <v>18</v>
      </c>
      <c r="K32" s="5" t="s">
        <v>19</v>
      </c>
      <c r="L32" s="11">
        <v>47.739374999999995</v>
      </c>
      <c r="M32" s="5" t="s">
        <v>33</v>
      </c>
      <c r="N32" s="11">
        <f>Tabla12[[#This Row],[Price]]*Tabla12[[#This Row],[QTY Adjusted]]</f>
        <v>859.30874999999992</v>
      </c>
      <c r="O32" s="11">
        <v>859.30874999999992</v>
      </c>
      <c r="P32" s="10" t="s">
        <v>4225</v>
      </c>
      <c r="Q32" s="6">
        <v>0</v>
      </c>
    </row>
    <row r="33" spans="1:17" ht="42" customHeight="1" x14ac:dyDescent="0.3">
      <c r="A33" s="5">
        <v>1008</v>
      </c>
      <c r="B33" s="5" t="s">
        <v>1731</v>
      </c>
      <c r="C33" s="5" t="s">
        <v>1757</v>
      </c>
      <c r="D33" s="5" t="s">
        <v>362</v>
      </c>
      <c r="E33" s="5" t="s">
        <v>1731</v>
      </c>
      <c r="F33" s="5" t="s">
        <v>4059</v>
      </c>
      <c r="G33" s="5" t="s">
        <v>1835</v>
      </c>
      <c r="H33" s="5" t="s">
        <v>1833</v>
      </c>
      <c r="I33" s="5" t="s">
        <v>1836</v>
      </c>
      <c r="J33" s="5">
        <v>24</v>
      </c>
      <c r="K33" s="5" t="s">
        <v>19</v>
      </c>
      <c r="L33" s="11">
        <v>34.212499999999991</v>
      </c>
      <c r="M33" s="5" t="s">
        <v>33</v>
      </c>
      <c r="N33" s="11">
        <f>Tabla12[[#This Row],[Price]]*Tabla12[[#This Row],[QTY Adjusted]]</f>
        <v>821.0999999999998</v>
      </c>
      <c r="O33" s="11">
        <v>821.0999999999998</v>
      </c>
      <c r="P33" s="10" t="s">
        <v>4225</v>
      </c>
      <c r="Q33" s="6">
        <v>0</v>
      </c>
    </row>
    <row r="34" spans="1:17" ht="42" customHeight="1" x14ac:dyDescent="0.3">
      <c r="A34" s="5">
        <v>989</v>
      </c>
      <c r="B34" s="5" t="s">
        <v>1731</v>
      </c>
      <c r="C34" s="5" t="s">
        <v>130</v>
      </c>
      <c r="D34" s="5" t="s">
        <v>130</v>
      </c>
      <c r="E34" s="5" t="s">
        <v>1731</v>
      </c>
      <c r="F34" s="5" t="s">
        <v>4060</v>
      </c>
      <c r="G34" s="5" t="s">
        <v>1785</v>
      </c>
      <c r="H34" s="5" t="s">
        <v>1786</v>
      </c>
      <c r="I34" s="5" t="s">
        <v>1787</v>
      </c>
      <c r="J34" s="5">
        <v>36</v>
      </c>
      <c r="K34" s="5" t="s">
        <v>19</v>
      </c>
      <c r="L34" s="11">
        <v>18.653069104384997</v>
      </c>
      <c r="M34" s="5" t="s">
        <v>33</v>
      </c>
      <c r="N34" s="11">
        <f>Tabla12[[#This Row],[Price]]*Tabla12[[#This Row],[QTY Adjusted]]</f>
        <v>671.51048775785989</v>
      </c>
      <c r="O34" s="11">
        <v>671.51048775785989</v>
      </c>
      <c r="P34" s="10" t="s">
        <v>4225</v>
      </c>
      <c r="Q34" s="6">
        <v>0</v>
      </c>
    </row>
    <row r="35" spans="1:17" ht="42" customHeight="1" x14ac:dyDescent="0.3">
      <c r="A35" s="5">
        <v>990</v>
      </c>
      <c r="B35" s="5" t="s">
        <v>1731</v>
      </c>
      <c r="C35" s="5" t="s">
        <v>130</v>
      </c>
      <c r="D35" s="5" t="s">
        <v>130</v>
      </c>
      <c r="E35" s="5" t="s">
        <v>1731</v>
      </c>
      <c r="F35" s="5" t="s">
        <v>4060</v>
      </c>
      <c r="G35" s="5" t="s">
        <v>1788</v>
      </c>
      <c r="H35" s="5" t="s">
        <v>1786</v>
      </c>
      <c r="I35" s="5" t="s">
        <v>1789</v>
      </c>
      <c r="J35" s="5">
        <v>36</v>
      </c>
      <c r="K35" s="5" t="s">
        <v>19</v>
      </c>
      <c r="L35" s="11">
        <v>18.653069104384997</v>
      </c>
      <c r="M35" s="5" t="s">
        <v>33</v>
      </c>
      <c r="N35" s="11">
        <f>Tabla12[[#This Row],[Price]]*Tabla12[[#This Row],[QTY Adjusted]]</f>
        <v>671.51048775785989</v>
      </c>
      <c r="O35" s="11">
        <v>671.51048775785989</v>
      </c>
      <c r="P35" s="10" t="s">
        <v>4225</v>
      </c>
      <c r="Q35" s="6">
        <v>0</v>
      </c>
    </row>
    <row r="36" spans="1:17" ht="42" customHeight="1" x14ac:dyDescent="0.3">
      <c r="A36" s="5">
        <v>991</v>
      </c>
      <c r="B36" s="5" t="s">
        <v>1731</v>
      </c>
      <c r="C36" s="5" t="s">
        <v>130</v>
      </c>
      <c r="D36" s="5" t="s">
        <v>130</v>
      </c>
      <c r="E36" s="5" t="s">
        <v>1731</v>
      </c>
      <c r="F36" s="5" t="s">
        <v>4060</v>
      </c>
      <c r="G36" s="5" t="s">
        <v>1790</v>
      </c>
      <c r="H36" s="5" t="s">
        <v>1786</v>
      </c>
      <c r="I36" s="5" t="s">
        <v>1791</v>
      </c>
      <c r="J36" s="5">
        <v>36</v>
      </c>
      <c r="K36" s="5" t="s">
        <v>19</v>
      </c>
      <c r="L36" s="11">
        <v>18.653069104384997</v>
      </c>
      <c r="M36" s="5" t="s">
        <v>33</v>
      </c>
      <c r="N36" s="11">
        <f>Tabla12[[#This Row],[Price]]*Tabla12[[#This Row],[QTY Adjusted]]</f>
        <v>671.51048775785989</v>
      </c>
      <c r="O36" s="11">
        <v>671.51048775785989</v>
      </c>
      <c r="P36" s="10" t="s">
        <v>4225</v>
      </c>
      <c r="Q36" s="6">
        <v>0</v>
      </c>
    </row>
    <row r="37" spans="1:17" ht="42" customHeight="1" x14ac:dyDescent="0.3">
      <c r="A37" s="5">
        <v>992</v>
      </c>
      <c r="B37" s="5" t="s">
        <v>1731</v>
      </c>
      <c r="C37" s="5" t="s">
        <v>130</v>
      </c>
      <c r="D37" s="5" t="s">
        <v>130</v>
      </c>
      <c r="E37" s="5" t="s">
        <v>1731</v>
      </c>
      <c r="F37" s="5" t="s">
        <v>4060</v>
      </c>
      <c r="G37" s="5" t="s">
        <v>1792</v>
      </c>
      <c r="H37" s="5" t="s">
        <v>1786</v>
      </c>
      <c r="I37" s="5" t="s">
        <v>1793</v>
      </c>
      <c r="J37" s="5">
        <v>36</v>
      </c>
      <c r="K37" s="5" t="s">
        <v>19</v>
      </c>
      <c r="L37" s="11">
        <v>18.653069104384997</v>
      </c>
      <c r="M37" s="5" t="s">
        <v>33</v>
      </c>
      <c r="N37" s="11">
        <f>Tabla12[[#This Row],[Price]]*Tabla12[[#This Row],[QTY Adjusted]]</f>
        <v>671.51048775785989</v>
      </c>
      <c r="O37" s="11">
        <v>671.51048775785989</v>
      </c>
      <c r="P37" s="10" t="s">
        <v>4225</v>
      </c>
      <c r="Q37" s="6">
        <v>0</v>
      </c>
    </row>
    <row r="38" spans="1:17" ht="42" customHeight="1" x14ac:dyDescent="0.3">
      <c r="A38" s="5">
        <v>965</v>
      </c>
      <c r="B38" s="5" t="s">
        <v>1731</v>
      </c>
      <c r="C38" s="5" t="s">
        <v>130</v>
      </c>
      <c r="D38" s="5" t="s">
        <v>130</v>
      </c>
      <c r="E38" s="5" t="s">
        <v>1731</v>
      </c>
      <c r="F38" s="5" t="s">
        <v>4059</v>
      </c>
      <c r="G38" s="5">
        <v>4100</v>
      </c>
      <c r="H38" s="5" t="s">
        <v>17</v>
      </c>
      <c r="I38" s="5" t="s">
        <v>1732</v>
      </c>
      <c r="J38" s="5">
        <v>18</v>
      </c>
      <c r="K38" s="5" t="s">
        <v>19</v>
      </c>
      <c r="L38" s="11">
        <v>39.124086794701043</v>
      </c>
      <c r="M38" s="5" t="s">
        <v>33</v>
      </c>
      <c r="N38" s="11">
        <f>Tabla12[[#This Row],[Price]]*Tabla12[[#This Row],[QTY Adjusted]]</f>
        <v>704.23356230461877</v>
      </c>
      <c r="O38" s="11">
        <v>704.23356230461877</v>
      </c>
      <c r="P38" s="10" t="s">
        <v>4241</v>
      </c>
      <c r="Q38" s="6">
        <v>0</v>
      </c>
    </row>
    <row r="39" spans="1:17" ht="42" customHeight="1" x14ac:dyDescent="0.3">
      <c r="A39" s="5">
        <v>1000</v>
      </c>
      <c r="B39" s="5" t="s">
        <v>1731</v>
      </c>
      <c r="C39" s="5" t="s">
        <v>124</v>
      </c>
      <c r="D39" s="5" t="str">
        <f>Tabla12[[#This Row],[Vendor]]</f>
        <v>Impulse</v>
      </c>
      <c r="E39" s="5" t="s">
        <v>1731</v>
      </c>
      <c r="F39" s="5" t="s">
        <v>4060</v>
      </c>
      <c r="G39" s="5" t="s">
        <v>1813</v>
      </c>
      <c r="H39" s="5" t="s">
        <v>1814</v>
      </c>
      <c r="I39" s="5" t="s">
        <v>1815</v>
      </c>
      <c r="J39" s="5">
        <v>36</v>
      </c>
      <c r="K39" s="5" t="s">
        <v>19</v>
      </c>
      <c r="L39" s="11">
        <v>19</v>
      </c>
      <c r="M39" s="5" t="s">
        <v>33</v>
      </c>
      <c r="N39" s="11">
        <f>Tabla12[[#This Row],[Price]]*Tabla12[[#This Row],[QTY Adjusted]]</f>
        <v>684</v>
      </c>
      <c r="O39" s="11">
        <v>684</v>
      </c>
      <c r="P39" s="10" t="s">
        <v>4224</v>
      </c>
      <c r="Q39" s="6">
        <v>0</v>
      </c>
    </row>
    <row r="40" spans="1:17" ht="42" customHeight="1" x14ac:dyDescent="0.3">
      <c r="A40" s="5">
        <v>1001</v>
      </c>
      <c r="B40" s="5" t="s">
        <v>1731</v>
      </c>
      <c r="C40" s="5" t="s">
        <v>124</v>
      </c>
      <c r="D40" s="5" t="str">
        <f>Tabla12[[#This Row],[Vendor]]</f>
        <v>Impulse</v>
      </c>
      <c r="E40" s="5" t="s">
        <v>1731</v>
      </c>
      <c r="F40" s="5" t="s">
        <v>4060</v>
      </c>
      <c r="G40" s="5" t="s">
        <v>1816</v>
      </c>
      <c r="H40" s="5" t="s">
        <v>1817</v>
      </c>
      <c r="I40" s="5" t="s">
        <v>1818</v>
      </c>
      <c r="J40" s="5">
        <v>36</v>
      </c>
      <c r="K40" s="5" t="s">
        <v>19</v>
      </c>
      <c r="L40" s="11">
        <v>19</v>
      </c>
      <c r="M40" s="5" t="s">
        <v>33</v>
      </c>
      <c r="N40" s="11">
        <f>Tabla12[[#This Row],[Price]]*Tabla12[[#This Row],[QTY Adjusted]]</f>
        <v>684</v>
      </c>
      <c r="O40" s="11">
        <v>684</v>
      </c>
      <c r="P40" s="10" t="s">
        <v>4224</v>
      </c>
      <c r="Q40" s="6">
        <v>0</v>
      </c>
    </row>
    <row r="41" spans="1:17" ht="42" customHeight="1" x14ac:dyDescent="0.3">
      <c r="A41" s="5">
        <v>1005</v>
      </c>
      <c r="B41" s="5" t="s">
        <v>1731</v>
      </c>
      <c r="C41" s="5" t="s">
        <v>124</v>
      </c>
      <c r="D41" s="5" t="str">
        <f>Tabla12[[#This Row],[Vendor]]</f>
        <v>Impulse</v>
      </c>
      <c r="E41" s="5" t="s">
        <v>1731</v>
      </c>
      <c r="F41" s="5" t="s">
        <v>4060</v>
      </c>
      <c r="G41" s="5" t="s">
        <v>1827</v>
      </c>
      <c r="H41" s="5" t="s">
        <v>1262</v>
      </c>
      <c r="I41" s="5" t="s">
        <v>1828</v>
      </c>
      <c r="J41" s="5">
        <v>36</v>
      </c>
      <c r="K41" s="5" t="s">
        <v>19</v>
      </c>
      <c r="L41" s="11">
        <v>19</v>
      </c>
      <c r="M41" s="5" t="s">
        <v>33</v>
      </c>
      <c r="N41" s="11">
        <f>Tabla12[[#This Row],[Price]]*Tabla12[[#This Row],[QTY Adjusted]]</f>
        <v>684</v>
      </c>
      <c r="O41" s="11">
        <v>684</v>
      </c>
      <c r="P41" s="10" t="s">
        <v>4224</v>
      </c>
      <c r="Q41" s="6">
        <v>0</v>
      </c>
    </row>
    <row r="42" spans="1:17" ht="42" customHeight="1" x14ac:dyDescent="0.3">
      <c r="A42" s="5">
        <v>1018</v>
      </c>
      <c r="B42" s="5" t="s">
        <v>1731</v>
      </c>
      <c r="C42" s="5" t="s">
        <v>14</v>
      </c>
      <c r="D42" s="5" t="str">
        <f>Tabla12[[#This Row],[Vendor]]</f>
        <v>Oaxifornia</v>
      </c>
      <c r="E42" s="5" t="s">
        <v>1731</v>
      </c>
      <c r="F42" s="5" t="s">
        <v>4059</v>
      </c>
      <c r="G42" s="5" t="s">
        <v>1857</v>
      </c>
      <c r="H42" s="5" t="s">
        <v>125</v>
      </c>
      <c r="I42" s="5" t="s">
        <v>1858</v>
      </c>
      <c r="J42" s="5">
        <v>8</v>
      </c>
      <c r="K42" s="5" t="s">
        <v>19</v>
      </c>
      <c r="L42" s="11">
        <v>1608</v>
      </c>
      <c r="M42" s="5" t="s">
        <v>20</v>
      </c>
      <c r="N42" s="11">
        <f>Tabla12[[#This Row],[Price]]*Tabla12[[#This Row],[QTY Adjusted]]</f>
        <v>12864</v>
      </c>
      <c r="O42" s="11">
        <v>659.69230769230774</v>
      </c>
      <c r="P42" s="10" t="s">
        <v>4232</v>
      </c>
      <c r="Q42" s="6">
        <v>0</v>
      </c>
    </row>
    <row r="43" spans="1:17" ht="42" customHeight="1" x14ac:dyDescent="0.3">
      <c r="A43" s="5">
        <v>984</v>
      </c>
      <c r="B43" s="5" t="s">
        <v>1731</v>
      </c>
      <c r="C43" s="5" t="s">
        <v>1757</v>
      </c>
      <c r="D43" s="5" t="s">
        <v>362</v>
      </c>
      <c r="E43" s="5" t="s">
        <v>1731</v>
      </c>
      <c r="F43" s="5" t="s">
        <v>4060</v>
      </c>
      <c r="G43" s="5" t="s">
        <v>1773</v>
      </c>
      <c r="H43" s="5" t="s">
        <v>1774</v>
      </c>
      <c r="I43" s="5" t="s">
        <v>1775</v>
      </c>
      <c r="J43" s="5">
        <v>216</v>
      </c>
      <c r="K43" s="5" t="s">
        <v>19</v>
      </c>
      <c r="L43" s="11">
        <v>2.61625</v>
      </c>
      <c r="M43" s="5" t="s">
        <v>33</v>
      </c>
      <c r="N43" s="11">
        <f>Tabla12[[#This Row],[Price]]*Tabla12[[#This Row],[QTY Adjusted]]</f>
        <v>565.11</v>
      </c>
      <c r="O43" s="11">
        <v>565.11</v>
      </c>
      <c r="P43" s="10" t="s">
        <v>4225</v>
      </c>
      <c r="Q43" s="6">
        <v>0</v>
      </c>
    </row>
    <row r="44" spans="1:17" ht="42" customHeight="1" x14ac:dyDescent="0.3">
      <c r="A44" s="5">
        <v>983</v>
      </c>
      <c r="B44" s="5" t="s">
        <v>1731</v>
      </c>
      <c r="C44" s="5" t="s">
        <v>1757</v>
      </c>
      <c r="D44" s="5" t="s">
        <v>362</v>
      </c>
      <c r="E44" s="5" t="s">
        <v>1731</v>
      </c>
      <c r="F44" s="5" t="s">
        <v>4059</v>
      </c>
      <c r="G44" s="5" t="s">
        <v>1770</v>
      </c>
      <c r="H44" s="5" t="s">
        <v>1771</v>
      </c>
      <c r="I44" s="5" t="s">
        <v>1772</v>
      </c>
      <c r="J44" s="5">
        <v>30</v>
      </c>
      <c r="K44" s="5" t="s">
        <v>19</v>
      </c>
      <c r="L44" s="11">
        <v>21.87875</v>
      </c>
      <c r="M44" s="5" t="s">
        <v>33</v>
      </c>
      <c r="N44" s="11">
        <f>Tabla12[[#This Row],[Price]]*Tabla12[[#This Row],[QTY Adjusted]]</f>
        <v>656.36249999999995</v>
      </c>
      <c r="O44" s="11">
        <v>656.36249999999995</v>
      </c>
      <c r="P44" s="10" t="s">
        <v>4225</v>
      </c>
      <c r="Q44" s="6">
        <v>0</v>
      </c>
    </row>
    <row r="45" spans="1:17" ht="42" customHeight="1" x14ac:dyDescent="0.3">
      <c r="A45" s="5">
        <v>1006</v>
      </c>
      <c r="B45" s="5" t="s">
        <v>1731</v>
      </c>
      <c r="C45" s="5" t="s">
        <v>124</v>
      </c>
      <c r="D45" s="5" t="str">
        <f>Tabla12[[#This Row],[Vendor]]</f>
        <v>Impulse</v>
      </c>
      <c r="E45" s="5" t="s">
        <v>1731</v>
      </c>
      <c r="F45" s="5" t="s">
        <v>4060</v>
      </c>
      <c r="G45" s="5" t="s">
        <v>1829</v>
      </c>
      <c r="H45" s="5" t="s">
        <v>1830</v>
      </c>
      <c r="I45" s="5" t="s">
        <v>1831</v>
      </c>
      <c r="J45" s="5">
        <v>36</v>
      </c>
      <c r="K45" s="5" t="s">
        <v>19</v>
      </c>
      <c r="L45" s="11">
        <v>18</v>
      </c>
      <c r="M45" s="5" t="s">
        <v>33</v>
      </c>
      <c r="N45" s="11">
        <f>Tabla12[[#This Row],[Price]]*Tabla12[[#This Row],[QTY Adjusted]]</f>
        <v>648</v>
      </c>
      <c r="O45" s="11">
        <v>648</v>
      </c>
      <c r="P45" s="10" t="s">
        <v>4224</v>
      </c>
      <c r="Q45" s="6">
        <v>0</v>
      </c>
    </row>
    <row r="46" spans="1:17" ht="42" customHeight="1" x14ac:dyDescent="0.3">
      <c r="A46" s="5">
        <v>1061</v>
      </c>
      <c r="B46" s="5" t="s">
        <v>1731</v>
      </c>
      <c r="C46" s="5" t="s">
        <v>130</v>
      </c>
      <c r="D46" s="5" t="s">
        <v>130</v>
      </c>
      <c r="E46" s="5" t="s">
        <v>1944</v>
      </c>
      <c r="F46" s="5" t="s">
        <v>4059</v>
      </c>
      <c r="G46" s="5" t="s">
        <v>1954</v>
      </c>
      <c r="H46" s="5" t="s">
        <v>1955</v>
      </c>
      <c r="I46" s="5" t="s">
        <v>1956</v>
      </c>
      <c r="J46" s="5">
        <v>2</v>
      </c>
      <c r="K46" s="5" t="s">
        <v>19</v>
      </c>
      <c r="L46" s="11">
        <v>319.57902178840573</v>
      </c>
      <c r="M46" s="5" t="s">
        <v>33</v>
      </c>
      <c r="N46" s="11">
        <f>Tabla12[[#This Row],[Price]]*Tabla12[[#This Row],[QTY Adjusted]]</f>
        <v>639.15804357681145</v>
      </c>
      <c r="O46" s="11">
        <v>639.15804357681145</v>
      </c>
      <c r="P46" s="10" t="s">
        <v>4225</v>
      </c>
      <c r="Q46" s="6">
        <v>0</v>
      </c>
    </row>
    <row r="47" spans="1:17" ht="42" customHeight="1" x14ac:dyDescent="0.3">
      <c r="A47" s="5">
        <v>1030</v>
      </c>
      <c r="B47" s="5" t="s">
        <v>1731</v>
      </c>
      <c r="C47" s="5" t="s">
        <v>1757</v>
      </c>
      <c r="D47" s="5" t="s">
        <v>362</v>
      </c>
      <c r="E47" s="5" t="s">
        <v>1731</v>
      </c>
      <c r="F47" s="5" t="s">
        <v>4059</v>
      </c>
      <c r="G47" s="5" t="s">
        <v>1879</v>
      </c>
      <c r="H47" s="5" t="s">
        <v>1880</v>
      </c>
      <c r="I47" s="5" t="s">
        <v>1881</v>
      </c>
      <c r="J47" s="5">
        <v>24</v>
      </c>
      <c r="K47" s="5" t="s">
        <v>19</v>
      </c>
      <c r="L47" s="11">
        <v>25.745624999999997</v>
      </c>
      <c r="M47" s="5" t="s">
        <v>33</v>
      </c>
      <c r="N47" s="11">
        <f>Tabla12[[#This Row],[Price]]*Tabla12[[#This Row],[QTY Adjusted]]</f>
        <v>617.89499999999998</v>
      </c>
      <c r="O47" s="11">
        <v>617.89499999999998</v>
      </c>
      <c r="P47" s="10" t="s">
        <v>4225</v>
      </c>
      <c r="Q47" s="6">
        <v>0</v>
      </c>
    </row>
    <row r="48" spans="1:17" ht="42" customHeight="1" x14ac:dyDescent="0.3">
      <c r="A48" s="5">
        <v>985</v>
      </c>
      <c r="B48" s="5" t="s">
        <v>1731</v>
      </c>
      <c r="C48" s="5" t="s">
        <v>1757</v>
      </c>
      <c r="D48" s="5" t="s">
        <v>362</v>
      </c>
      <c r="E48" s="5" t="s">
        <v>1731</v>
      </c>
      <c r="F48" s="5" t="s">
        <v>4060</v>
      </c>
      <c r="G48" s="5" t="s">
        <v>1776</v>
      </c>
      <c r="H48" s="5" t="s">
        <v>1777</v>
      </c>
      <c r="I48" s="5" t="s">
        <v>1778</v>
      </c>
      <c r="J48" s="5">
        <v>36</v>
      </c>
      <c r="K48" s="5" t="s">
        <v>19</v>
      </c>
      <c r="L48" s="11">
        <v>14.188124999999998</v>
      </c>
      <c r="M48" s="5" t="s">
        <v>33</v>
      </c>
      <c r="N48" s="11">
        <f>Tabla12[[#This Row],[Price]]*Tabla12[[#This Row],[QTY Adjusted]]</f>
        <v>510.77249999999992</v>
      </c>
      <c r="O48" s="11">
        <v>510.77249999999992</v>
      </c>
      <c r="P48" s="10" t="s">
        <v>4225</v>
      </c>
      <c r="Q48" s="6">
        <v>0</v>
      </c>
    </row>
    <row r="49" spans="1:17" ht="42" customHeight="1" x14ac:dyDescent="0.3">
      <c r="A49" s="5">
        <v>986</v>
      </c>
      <c r="B49" s="5" t="s">
        <v>1731</v>
      </c>
      <c r="C49" s="5" t="s">
        <v>1757</v>
      </c>
      <c r="D49" s="5" t="s">
        <v>362</v>
      </c>
      <c r="E49" s="5" t="s">
        <v>1731</v>
      </c>
      <c r="F49" s="5" t="s">
        <v>4060</v>
      </c>
      <c r="G49" s="5" t="s">
        <v>1779</v>
      </c>
      <c r="H49" s="5" t="s">
        <v>1777</v>
      </c>
      <c r="I49" s="5" t="s">
        <v>1780</v>
      </c>
      <c r="J49" s="5">
        <v>36</v>
      </c>
      <c r="K49" s="5" t="s">
        <v>19</v>
      </c>
      <c r="L49" s="11">
        <v>14.188124999999998</v>
      </c>
      <c r="M49" s="5" t="s">
        <v>33</v>
      </c>
      <c r="N49" s="11">
        <f>Tabla12[[#This Row],[Price]]*Tabla12[[#This Row],[QTY Adjusted]]</f>
        <v>510.77249999999992</v>
      </c>
      <c r="O49" s="11">
        <v>510.77249999999992</v>
      </c>
      <c r="P49" s="10" t="s">
        <v>4225</v>
      </c>
      <c r="Q49" s="6">
        <v>0</v>
      </c>
    </row>
    <row r="50" spans="1:17" ht="42" customHeight="1" x14ac:dyDescent="0.3">
      <c r="A50" s="5">
        <v>1023</v>
      </c>
      <c r="B50" s="5" t="s">
        <v>1731</v>
      </c>
      <c r="C50" s="5" t="s">
        <v>1316</v>
      </c>
      <c r="D50" s="5" t="s">
        <v>718</v>
      </c>
      <c r="E50" s="5" t="s">
        <v>1731</v>
      </c>
      <c r="F50" s="5" t="s">
        <v>4062</v>
      </c>
      <c r="G50" s="5" t="s">
        <v>1862</v>
      </c>
      <c r="H50" s="5" t="s">
        <v>1863</v>
      </c>
      <c r="I50" s="5" t="s">
        <v>1864</v>
      </c>
      <c r="J50" s="5">
        <v>36</v>
      </c>
      <c r="K50" s="5" t="s">
        <v>19</v>
      </c>
      <c r="L50" s="11">
        <v>16</v>
      </c>
      <c r="M50" s="5" t="s">
        <v>33</v>
      </c>
      <c r="N50" s="11">
        <f>Tabla12[[#This Row],[Price]]*Tabla12[[#This Row],[QTY Adjusted]]</f>
        <v>576</v>
      </c>
      <c r="O50" s="11">
        <v>576</v>
      </c>
      <c r="P50" s="10" t="s">
        <v>4225</v>
      </c>
      <c r="Q50" s="6">
        <v>0</v>
      </c>
    </row>
    <row r="51" spans="1:17" ht="42" customHeight="1" x14ac:dyDescent="0.3">
      <c r="A51" s="6">
        <v>982</v>
      </c>
      <c r="B51" s="6" t="s">
        <v>1731</v>
      </c>
      <c r="C51" s="6" t="s">
        <v>1757</v>
      </c>
      <c r="D51" s="6" t="s">
        <v>362</v>
      </c>
      <c r="E51" s="6" t="s">
        <v>1731</v>
      </c>
      <c r="F51" s="6" t="s">
        <v>4060</v>
      </c>
      <c r="G51" s="6" t="s">
        <v>1767</v>
      </c>
      <c r="H51" s="6" t="s">
        <v>1768</v>
      </c>
      <c r="I51" s="6" t="s">
        <v>1769</v>
      </c>
      <c r="J51" s="6">
        <v>30</v>
      </c>
      <c r="K51" s="6" t="s">
        <v>19</v>
      </c>
      <c r="L51" s="10">
        <v>18.399999999999999</v>
      </c>
      <c r="M51" s="6" t="s">
        <v>33</v>
      </c>
      <c r="N51" s="10">
        <f>Tabla12[[#This Row],[Price]]*Tabla12[[#This Row],[QTY Adjusted]]</f>
        <v>552</v>
      </c>
      <c r="O51" s="10">
        <v>552</v>
      </c>
      <c r="P51" s="10" t="s">
        <v>4225</v>
      </c>
      <c r="Q51" s="6">
        <v>0</v>
      </c>
    </row>
    <row r="52" spans="1:17" ht="42" customHeight="1" x14ac:dyDescent="0.3">
      <c r="A52" s="6">
        <v>981</v>
      </c>
      <c r="B52" s="6" t="s">
        <v>1731</v>
      </c>
      <c r="C52" s="6" t="s">
        <v>1757</v>
      </c>
      <c r="D52" s="6" t="s">
        <v>362</v>
      </c>
      <c r="E52" s="6" t="s">
        <v>1731</v>
      </c>
      <c r="F52" s="6" t="s">
        <v>4060</v>
      </c>
      <c r="G52" s="6" t="s">
        <v>1764</v>
      </c>
      <c r="H52" s="6" t="s">
        <v>1765</v>
      </c>
      <c r="I52" s="6" t="s">
        <v>1766</v>
      </c>
      <c r="J52" s="6">
        <v>30</v>
      </c>
      <c r="K52" s="6" t="s">
        <v>19</v>
      </c>
      <c r="L52" s="10">
        <v>17.997499999999995</v>
      </c>
      <c r="M52" s="6" t="s">
        <v>33</v>
      </c>
      <c r="N52" s="10">
        <f>Tabla12[[#This Row],[Price]]*Tabla12[[#This Row],[QTY Adjusted]]</f>
        <v>539.92499999999984</v>
      </c>
      <c r="O52" s="10">
        <v>539.92499999999984</v>
      </c>
      <c r="P52" s="10" t="s">
        <v>4225</v>
      </c>
      <c r="Q52" s="6">
        <v>0</v>
      </c>
    </row>
    <row r="53" spans="1:17" ht="42" customHeight="1" x14ac:dyDescent="0.3">
      <c r="A53" s="6">
        <v>1060</v>
      </c>
      <c r="B53" s="6" t="s">
        <v>1731</v>
      </c>
      <c r="C53" s="6" t="s">
        <v>561</v>
      </c>
      <c r="D53" s="6" t="s">
        <v>44</v>
      </c>
      <c r="E53" s="6" t="s">
        <v>1944</v>
      </c>
      <c r="F53" s="6" t="s">
        <v>4059</v>
      </c>
      <c r="G53" s="6" t="s">
        <v>1951</v>
      </c>
      <c r="H53" s="6" t="s">
        <v>1952</v>
      </c>
      <c r="I53" s="6" t="s">
        <v>1953</v>
      </c>
      <c r="J53" s="6">
        <v>2</v>
      </c>
      <c r="K53" s="6" t="s">
        <v>19</v>
      </c>
      <c r="L53" s="10">
        <v>265.64999999999998</v>
      </c>
      <c r="M53" s="6" t="s">
        <v>33</v>
      </c>
      <c r="N53" s="10">
        <f>Tabla12[[#This Row],[Price]]*Tabla12[[#This Row],[QTY Adjusted]]</f>
        <v>531.29999999999995</v>
      </c>
      <c r="O53" s="10">
        <v>531.29999999999995</v>
      </c>
      <c r="P53" s="22" t="s">
        <v>4225</v>
      </c>
      <c r="Q53" s="6">
        <v>0</v>
      </c>
    </row>
    <row r="54" spans="1:17" ht="42" customHeight="1" x14ac:dyDescent="0.3">
      <c r="A54" s="6">
        <v>1003</v>
      </c>
      <c r="B54" s="6" t="s">
        <v>1731</v>
      </c>
      <c r="C54" s="6" t="s">
        <v>130</v>
      </c>
      <c r="D54" s="6" t="s">
        <v>130</v>
      </c>
      <c r="E54" s="6" t="s">
        <v>1731</v>
      </c>
      <c r="F54" s="6" t="s">
        <v>4060</v>
      </c>
      <c r="G54" s="6" t="s">
        <v>1822</v>
      </c>
      <c r="H54" s="6" t="s">
        <v>1820</v>
      </c>
      <c r="I54" s="6" t="s">
        <v>1823</v>
      </c>
      <c r="J54" s="6">
        <v>36</v>
      </c>
      <c r="K54" s="6" t="s">
        <v>19</v>
      </c>
      <c r="L54" s="10">
        <v>14.589419324068524</v>
      </c>
      <c r="M54" s="6" t="s">
        <v>33</v>
      </c>
      <c r="N54" s="10">
        <f>Tabla12[[#This Row],[Price]]*Tabla12[[#This Row],[QTY Adjusted]]</f>
        <v>525.21909566646684</v>
      </c>
      <c r="O54" s="10">
        <v>525.21909566646684</v>
      </c>
      <c r="P54" s="10" t="s">
        <v>4225</v>
      </c>
      <c r="Q54" s="6">
        <v>0</v>
      </c>
    </row>
    <row r="55" spans="1:17" ht="42" customHeight="1" x14ac:dyDescent="0.3">
      <c r="A55" s="6">
        <v>1095</v>
      </c>
      <c r="B55" s="6" t="s">
        <v>1731</v>
      </c>
      <c r="C55" s="6" t="s">
        <v>325</v>
      </c>
      <c r="D55" s="6" t="str">
        <f>Tabla12[[#This Row],[Vendor]]</f>
        <v>John Boos</v>
      </c>
      <c r="E55" s="6" t="s">
        <v>1944</v>
      </c>
      <c r="F55" s="6" t="s">
        <v>4059</v>
      </c>
      <c r="G55" s="6" t="s">
        <v>326</v>
      </c>
      <c r="H55" s="6" t="s">
        <v>327</v>
      </c>
      <c r="I55" s="20" t="s">
        <v>328</v>
      </c>
      <c r="J55" s="6">
        <v>2</v>
      </c>
      <c r="K55" s="6" t="s">
        <v>19</v>
      </c>
      <c r="L55" s="10">
        <v>250</v>
      </c>
      <c r="M55" s="6" t="s">
        <v>33</v>
      </c>
      <c r="N55" s="10">
        <f>Tabla12[[#This Row],[Price]]*Tabla12[[#This Row],[QTY Adjusted]]</f>
        <v>500</v>
      </c>
      <c r="O55" s="10">
        <v>500</v>
      </c>
      <c r="P55" s="10" t="s">
        <v>4218</v>
      </c>
      <c r="Q55" s="6" t="s">
        <v>4245</v>
      </c>
    </row>
    <row r="56" spans="1:17" ht="42" customHeight="1" x14ac:dyDescent="0.3">
      <c r="A56" s="6">
        <v>1034</v>
      </c>
      <c r="B56" s="6" t="s">
        <v>1731</v>
      </c>
      <c r="C56" s="6" t="s">
        <v>1757</v>
      </c>
      <c r="D56" s="6" t="s">
        <v>362</v>
      </c>
      <c r="E56" s="6" t="s">
        <v>1731</v>
      </c>
      <c r="F56" s="6" t="s">
        <v>4060</v>
      </c>
      <c r="G56" s="6" t="s">
        <v>1891</v>
      </c>
      <c r="H56" s="6" t="s">
        <v>1892</v>
      </c>
      <c r="I56" s="20" t="s">
        <v>1893</v>
      </c>
      <c r="J56" s="6">
        <v>24</v>
      </c>
      <c r="K56" s="6" t="s">
        <v>19</v>
      </c>
      <c r="L56" s="10">
        <v>19.319999999999997</v>
      </c>
      <c r="M56" s="6" t="s">
        <v>33</v>
      </c>
      <c r="N56" s="10">
        <f>Tabla12[[#This Row],[Price]]*Tabla12[[#This Row],[QTY Adjusted]]</f>
        <v>463.67999999999995</v>
      </c>
      <c r="O56" s="10">
        <v>463.67999999999995</v>
      </c>
      <c r="P56" s="10" t="s">
        <v>2257</v>
      </c>
      <c r="Q56" s="6" t="s">
        <v>4246</v>
      </c>
    </row>
    <row r="57" spans="1:17" ht="42" customHeight="1" x14ac:dyDescent="0.3">
      <c r="A57" s="6">
        <v>1058</v>
      </c>
      <c r="B57" s="6" t="s">
        <v>1731</v>
      </c>
      <c r="C57" s="6" t="s">
        <v>648</v>
      </c>
      <c r="D57" s="6" t="s">
        <v>130</v>
      </c>
      <c r="E57" s="6" t="s">
        <v>1944</v>
      </c>
      <c r="F57" s="6" t="s">
        <v>4059</v>
      </c>
      <c r="G57" s="6" t="s">
        <v>1945</v>
      </c>
      <c r="H57" s="6" t="s">
        <v>1946</v>
      </c>
      <c r="I57" s="6" t="s">
        <v>1947</v>
      </c>
      <c r="J57" s="6">
        <v>1</v>
      </c>
      <c r="K57" s="6" t="s">
        <v>19</v>
      </c>
      <c r="L57" s="10">
        <v>440.43241791926249</v>
      </c>
      <c r="M57" s="6" t="s">
        <v>33</v>
      </c>
      <c r="N57" s="10">
        <f>Tabla12[[#This Row],[Price]]*Tabla12[[#This Row],[QTY Adjusted]]</f>
        <v>440.43241791926249</v>
      </c>
      <c r="O57" s="10">
        <v>440.43241791926249</v>
      </c>
      <c r="P57" s="10" t="s">
        <v>4241</v>
      </c>
      <c r="Q57" s="6">
        <v>0</v>
      </c>
    </row>
    <row r="58" spans="1:17" ht="42" customHeight="1" x14ac:dyDescent="0.3">
      <c r="A58" s="6">
        <v>1118</v>
      </c>
      <c r="B58" s="6" t="s">
        <v>1731</v>
      </c>
      <c r="C58" s="6" t="s">
        <v>14</v>
      </c>
      <c r="D58" s="6" t="str">
        <f>Tabla12[[#This Row],[Vendor]]</f>
        <v>Oaxifornia</v>
      </c>
      <c r="E58" s="6" t="s">
        <v>1965</v>
      </c>
      <c r="F58" s="6" t="s">
        <v>4059</v>
      </c>
      <c r="G58" s="6" t="s">
        <v>1969</v>
      </c>
      <c r="H58" s="6" t="s">
        <v>1970</v>
      </c>
      <c r="I58" s="6" t="s">
        <v>1971</v>
      </c>
      <c r="J58" s="6">
        <v>4</v>
      </c>
      <c r="K58" s="6" t="s">
        <v>19</v>
      </c>
      <c r="L58" s="10">
        <v>2132</v>
      </c>
      <c r="M58" s="6" t="s">
        <v>20</v>
      </c>
      <c r="N58" s="10">
        <f>Tabla12[[#This Row],[Price]]*Tabla12[[#This Row],[QTY Adjusted]]</f>
        <v>8528</v>
      </c>
      <c r="O58" s="10">
        <v>437.33333333333331</v>
      </c>
      <c r="P58" s="10" t="s">
        <v>4232</v>
      </c>
      <c r="Q58" s="6">
        <v>0</v>
      </c>
    </row>
    <row r="59" spans="1:17" ht="42" customHeight="1" x14ac:dyDescent="0.3">
      <c r="A59" s="6">
        <v>1062</v>
      </c>
      <c r="B59" s="6" t="s">
        <v>1731</v>
      </c>
      <c r="C59" s="6" t="s">
        <v>232</v>
      </c>
      <c r="D59" s="6" t="s">
        <v>233</v>
      </c>
      <c r="E59" s="6" t="s">
        <v>1944</v>
      </c>
      <c r="F59" s="6" t="s">
        <v>4059</v>
      </c>
      <c r="G59" s="6" t="s">
        <v>1957</v>
      </c>
      <c r="H59" s="6" t="s">
        <v>1958</v>
      </c>
      <c r="I59" s="6" t="s">
        <v>1959</v>
      </c>
      <c r="J59" s="6">
        <v>2</v>
      </c>
      <c r="K59" s="6" t="s">
        <v>19</v>
      </c>
      <c r="L59" s="10">
        <v>218</v>
      </c>
      <c r="M59" s="6" t="s">
        <v>33</v>
      </c>
      <c r="N59" s="10">
        <f>Tabla12[[#This Row],[Price]]*Tabla12[[#This Row],[QTY Adjusted]]</f>
        <v>436</v>
      </c>
      <c r="O59" s="10">
        <v>436</v>
      </c>
      <c r="P59" s="10" t="s">
        <v>4239</v>
      </c>
      <c r="Q59" s="6">
        <v>0</v>
      </c>
    </row>
    <row r="60" spans="1:17" ht="42" customHeight="1" x14ac:dyDescent="0.3">
      <c r="A60" s="6">
        <v>1045</v>
      </c>
      <c r="B60" s="6" t="s">
        <v>1731</v>
      </c>
      <c r="C60" s="6" t="s">
        <v>1903</v>
      </c>
      <c r="D60" s="6" t="s">
        <v>44</v>
      </c>
      <c r="E60" s="6" t="s">
        <v>1904</v>
      </c>
      <c r="F60" s="6" t="s">
        <v>4060</v>
      </c>
      <c r="G60" s="6" t="s">
        <v>1924</v>
      </c>
      <c r="H60" s="6" t="s">
        <v>1925</v>
      </c>
      <c r="I60" s="6" t="s">
        <v>1926</v>
      </c>
      <c r="J60" s="6">
        <v>24</v>
      </c>
      <c r="K60" s="6" t="s">
        <v>19</v>
      </c>
      <c r="L60" s="10">
        <v>17.256</v>
      </c>
      <c r="M60" s="6" t="s">
        <v>33</v>
      </c>
      <c r="N60" s="10">
        <f>Tabla12[[#This Row],[Price]]*Tabla12[[#This Row],[QTY Adjusted]]</f>
        <v>414.14400000000001</v>
      </c>
      <c r="O60" s="10">
        <v>414.14400000000001</v>
      </c>
      <c r="P60" s="10" t="s">
        <v>4225</v>
      </c>
      <c r="Q60" s="6">
        <v>0</v>
      </c>
    </row>
    <row r="61" spans="1:17" ht="42" customHeight="1" x14ac:dyDescent="0.3">
      <c r="A61" s="6">
        <v>1037</v>
      </c>
      <c r="B61" s="6" t="s">
        <v>1731</v>
      </c>
      <c r="C61" s="6" t="s">
        <v>1723</v>
      </c>
      <c r="D61" s="6" t="s">
        <v>1490</v>
      </c>
      <c r="E61" s="6" t="s">
        <v>1900</v>
      </c>
      <c r="F61" s="6" t="s">
        <v>4062</v>
      </c>
      <c r="G61" s="6" t="s">
        <v>1901</v>
      </c>
      <c r="H61" s="6" t="s">
        <v>132</v>
      </c>
      <c r="I61" s="6" t="s">
        <v>1902</v>
      </c>
      <c r="J61" s="6">
        <v>36</v>
      </c>
      <c r="K61" s="6" t="s">
        <v>19</v>
      </c>
      <c r="L61" s="10">
        <v>9.75</v>
      </c>
      <c r="M61" s="6" t="s">
        <v>33</v>
      </c>
      <c r="N61" s="10">
        <f>Tabla12[[#This Row],[Price]]*Tabla12[[#This Row],[QTY Adjusted]]</f>
        <v>351</v>
      </c>
      <c r="O61" s="10">
        <v>351</v>
      </c>
      <c r="P61" s="10" t="s">
        <v>4225</v>
      </c>
      <c r="Q61" s="6">
        <v>0</v>
      </c>
    </row>
    <row r="62" spans="1:17" ht="42" customHeight="1" x14ac:dyDescent="0.3">
      <c r="A62" s="6">
        <v>1020</v>
      </c>
      <c r="B62" s="6" t="s">
        <v>1731</v>
      </c>
      <c r="C62" s="6" t="s">
        <v>134</v>
      </c>
      <c r="D62" s="6" t="s">
        <v>44</v>
      </c>
      <c r="E62" s="6" t="s">
        <v>1731</v>
      </c>
      <c r="F62" s="6" t="s">
        <v>4062</v>
      </c>
      <c r="G62" s="6" t="s">
        <v>955</v>
      </c>
      <c r="H62" s="6" t="s">
        <v>132</v>
      </c>
      <c r="I62" s="6" t="s">
        <v>956</v>
      </c>
      <c r="J62" s="6">
        <v>72</v>
      </c>
      <c r="K62" s="6" t="s">
        <v>19</v>
      </c>
      <c r="L62" s="10">
        <v>4.8099999999999996</v>
      </c>
      <c r="M62" s="6" t="s">
        <v>33</v>
      </c>
      <c r="N62" s="10">
        <f>Tabla12[[#This Row],[Price]]*Tabla12[[#This Row],[QTY Adjusted]]</f>
        <v>346.32</v>
      </c>
      <c r="O62" s="10">
        <v>346.32</v>
      </c>
      <c r="P62" s="10" t="s">
        <v>4225</v>
      </c>
      <c r="Q62" s="6">
        <v>0</v>
      </c>
    </row>
    <row r="63" spans="1:17" ht="42" customHeight="1" x14ac:dyDescent="0.3">
      <c r="A63" s="6">
        <v>1022</v>
      </c>
      <c r="B63" s="6" t="s">
        <v>1731</v>
      </c>
      <c r="C63" s="6" t="s">
        <v>1316</v>
      </c>
      <c r="D63" s="6" t="s">
        <v>718</v>
      </c>
      <c r="E63" s="6" t="s">
        <v>1731</v>
      </c>
      <c r="F63" s="6" t="s">
        <v>4062</v>
      </c>
      <c r="G63" s="6" t="s">
        <v>1860</v>
      </c>
      <c r="H63" s="6" t="s">
        <v>145</v>
      </c>
      <c r="I63" s="6" t="s">
        <v>1861</v>
      </c>
      <c r="J63" s="6">
        <v>24</v>
      </c>
      <c r="K63" s="6" t="s">
        <v>19</v>
      </c>
      <c r="L63" s="10">
        <v>16</v>
      </c>
      <c r="M63" s="6" t="s">
        <v>33</v>
      </c>
      <c r="N63" s="10">
        <f>Tabla12[[#This Row],[Price]]*Tabla12[[#This Row],[QTY Adjusted]]</f>
        <v>384</v>
      </c>
      <c r="O63" s="10">
        <v>384</v>
      </c>
      <c r="P63" s="10" t="s">
        <v>4225</v>
      </c>
      <c r="Q63" s="6">
        <v>0</v>
      </c>
    </row>
    <row r="64" spans="1:17" ht="42" customHeight="1" x14ac:dyDescent="0.3">
      <c r="A64" s="6">
        <v>1021</v>
      </c>
      <c r="B64" s="6" t="s">
        <v>1731</v>
      </c>
      <c r="C64" s="6" t="s">
        <v>232</v>
      </c>
      <c r="D64" s="6" t="s">
        <v>233</v>
      </c>
      <c r="E64" s="6" t="s">
        <v>1731</v>
      </c>
      <c r="F64" s="6" t="s">
        <v>4062</v>
      </c>
      <c r="G64" s="6">
        <v>26.112411999999999</v>
      </c>
      <c r="H64" s="6" t="s">
        <v>1859</v>
      </c>
      <c r="I64" s="6" t="s">
        <v>948</v>
      </c>
      <c r="J64" s="6">
        <v>36</v>
      </c>
      <c r="K64" s="6" t="s">
        <v>19</v>
      </c>
      <c r="L64" s="10">
        <v>8.9499999999999993</v>
      </c>
      <c r="M64" s="6" t="s">
        <v>33</v>
      </c>
      <c r="N64" s="10">
        <f>Tabla12[[#This Row],[Price]]*Tabla12[[#This Row],[QTY Adjusted]]</f>
        <v>322.2</v>
      </c>
      <c r="O64" s="10">
        <v>322.2</v>
      </c>
      <c r="P64" s="10" t="s">
        <v>4239</v>
      </c>
      <c r="Q64" s="6">
        <v>0</v>
      </c>
    </row>
    <row r="65" spans="1:17" ht="42" customHeight="1" outlineLevel="1" x14ac:dyDescent="0.3">
      <c r="A65" s="6">
        <v>1068</v>
      </c>
      <c r="B65" s="6" t="s">
        <v>1731</v>
      </c>
      <c r="C65" s="6" t="s">
        <v>228</v>
      </c>
      <c r="D65" s="6" t="s">
        <v>44</v>
      </c>
      <c r="E65" s="6" t="s">
        <v>1944</v>
      </c>
      <c r="F65" s="6" t="s">
        <v>4059</v>
      </c>
      <c r="G65" s="6" t="s">
        <v>247</v>
      </c>
      <c r="H65" s="6" t="s">
        <v>248</v>
      </c>
      <c r="I65" s="20" t="s">
        <v>249</v>
      </c>
      <c r="J65" s="6">
        <v>0</v>
      </c>
      <c r="K65" s="6" t="s">
        <v>748</v>
      </c>
      <c r="L65" s="10">
        <v>364.5</v>
      </c>
      <c r="M65" s="6" t="s">
        <v>33</v>
      </c>
      <c r="N65" s="10">
        <f>Tabla12[[#This Row],[Price]]*Tabla12[[#This Row],[QTY Adjusted]]</f>
        <v>0</v>
      </c>
      <c r="O65" s="10">
        <v>0</v>
      </c>
      <c r="P65" s="10" t="s">
        <v>4240</v>
      </c>
      <c r="Q65" s="6" t="s">
        <v>4245</v>
      </c>
    </row>
    <row r="66" spans="1:17" ht="42" customHeight="1" outlineLevel="1" x14ac:dyDescent="0.3">
      <c r="A66" s="6">
        <v>1069</v>
      </c>
      <c r="B66" s="6" t="s">
        <v>1731</v>
      </c>
      <c r="C66" s="6" t="s">
        <v>228</v>
      </c>
      <c r="D66" s="6" t="s">
        <v>44</v>
      </c>
      <c r="E66" s="6" t="s">
        <v>1944</v>
      </c>
      <c r="F66" s="6" t="s">
        <v>4059</v>
      </c>
      <c r="G66" s="6" t="s">
        <v>250</v>
      </c>
      <c r="H66" s="6" t="s">
        <v>248</v>
      </c>
      <c r="I66" s="20" t="s">
        <v>251</v>
      </c>
      <c r="J66" s="6">
        <v>0</v>
      </c>
      <c r="K66" s="6" t="s">
        <v>748</v>
      </c>
      <c r="L66" s="10">
        <v>364.5</v>
      </c>
      <c r="M66" s="6" t="s">
        <v>33</v>
      </c>
      <c r="N66" s="10">
        <f>Tabla12[[#This Row],[Price]]*Tabla12[[#This Row],[QTY Adjusted]]</f>
        <v>0</v>
      </c>
      <c r="O66" s="10">
        <v>0</v>
      </c>
      <c r="P66" s="10" t="s">
        <v>4240</v>
      </c>
      <c r="Q66" s="6" t="s">
        <v>4245</v>
      </c>
    </row>
    <row r="67" spans="1:17" ht="42" customHeight="1" outlineLevel="1" x14ac:dyDescent="0.3">
      <c r="A67" s="6">
        <v>1070</v>
      </c>
      <c r="B67" s="6" t="s">
        <v>1731</v>
      </c>
      <c r="C67" s="6" t="s">
        <v>228</v>
      </c>
      <c r="D67" s="6" t="s">
        <v>44</v>
      </c>
      <c r="E67" s="6" t="s">
        <v>1944</v>
      </c>
      <c r="F67" s="6" t="s">
        <v>4059</v>
      </c>
      <c r="G67" s="6" t="s">
        <v>252</v>
      </c>
      <c r="H67" s="6" t="s">
        <v>248</v>
      </c>
      <c r="I67" s="20" t="s">
        <v>253</v>
      </c>
      <c r="J67" s="6">
        <v>0</v>
      </c>
      <c r="K67" s="6" t="s">
        <v>748</v>
      </c>
      <c r="L67" s="10">
        <v>364.5</v>
      </c>
      <c r="M67" s="6" t="s">
        <v>33</v>
      </c>
      <c r="N67" s="10">
        <f>Tabla12[[#This Row],[Price]]*Tabla12[[#This Row],[QTY Adjusted]]</f>
        <v>0</v>
      </c>
      <c r="O67" s="10">
        <v>0</v>
      </c>
      <c r="P67" s="10" t="s">
        <v>4240</v>
      </c>
      <c r="Q67" s="6" t="s">
        <v>4245</v>
      </c>
    </row>
    <row r="68" spans="1:17" ht="42" customHeight="1" outlineLevel="1" x14ac:dyDescent="0.3">
      <c r="A68" s="6">
        <v>1071</v>
      </c>
      <c r="B68" s="6" t="s">
        <v>1731</v>
      </c>
      <c r="C68" s="6" t="s">
        <v>228</v>
      </c>
      <c r="D68" s="6" t="s">
        <v>44</v>
      </c>
      <c r="E68" s="6" t="s">
        <v>1944</v>
      </c>
      <c r="F68" s="6" t="s">
        <v>4059</v>
      </c>
      <c r="G68" s="6" t="s">
        <v>254</v>
      </c>
      <c r="H68" s="6" t="s">
        <v>248</v>
      </c>
      <c r="I68" s="20" t="s">
        <v>255</v>
      </c>
      <c r="J68" s="6">
        <v>0</v>
      </c>
      <c r="K68" s="6" t="s">
        <v>748</v>
      </c>
      <c r="L68" s="10">
        <v>364.5</v>
      </c>
      <c r="M68" s="6" t="s">
        <v>33</v>
      </c>
      <c r="N68" s="10">
        <f>Tabla12[[#This Row],[Price]]*Tabla12[[#This Row],[QTY Adjusted]]</f>
        <v>0</v>
      </c>
      <c r="O68" s="10">
        <v>0</v>
      </c>
      <c r="P68" s="10" t="s">
        <v>4240</v>
      </c>
      <c r="Q68" s="6" t="s">
        <v>4245</v>
      </c>
    </row>
    <row r="69" spans="1:17" ht="42" customHeight="1" outlineLevel="1" x14ac:dyDescent="0.3">
      <c r="A69" s="6">
        <v>1072</v>
      </c>
      <c r="B69" s="6" t="s">
        <v>1731</v>
      </c>
      <c r="C69" s="6" t="s">
        <v>228</v>
      </c>
      <c r="D69" s="6" t="s">
        <v>44</v>
      </c>
      <c r="E69" s="6" t="s">
        <v>1944</v>
      </c>
      <c r="F69" s="6" t="s">
        <v>4059</v>
      </c>
      <c r="G69" s="6" t="s">
        <v>256</v>
      </c>
      <c r="H69" s="6" t="s">
        <v>248</v>
      </c>
      <c r="I69" s="20" t="s">
        <v>257</v>
      </c>
      <c r="J69" s="6">
        <v>0</v>
      </c>
      <c r="K69" s="6" t="s">
        <v>748</v>
      </c>
      <c r="L69" s="10">
        <v>364.5</v>
      </c>
      <c r="M69" s="6" t="s">
        <v>33</v>
      </c>
      <c r="N69" s="10">
        <f>Tabla12[[#This Row],[Price]]*Tabla12[[#This Row],[QTY Adjusted]]</f>
        <v>0</v>
      </c>
      <c r="O69" s="10">
        <v>0</v>
      </c>
      <c r="P69" s="10" t="s">
        <v>4240</v>
      </c>
      <c r="Q69" s="6" t="s">
        <v>4245</v>
      </c>
    </row>
    <row r="70" spans="1:17" ht="42" customHeight="1" outlineLevel="1" x14ac:dyDescent="0.3">
      <c r="A70" s="6">
        <v>1073</v>
      </c>
      <c r="B70" s="6" t="s">
        <v>1731</v>
      </c>
      <c r="C70" s="6" t="s">
        <v>228</v>
      </c>
      <c r="D70" s="6" t="s">
        <v>44</v>
      </c>
      <c r="E70" s="6" t="s">
        <v>1944</v>
      </c>
      <c r="F70" s="6" t="s">
        <v>4059</v>
      </c>
      <c r="G70" s="6" t="s">
        <v>258</v>
      </c>
      <c r="H70" s="6" t="s">
        <v>248</v>
      </c>
      <c r="I70" s="20" t="s">
        <v>259</v>
      </c>
      <c r="J70" s="6">
        <v>0</v>
      </c>
      <c r="K70" s="6" t="s">
        <v>748</v>
      </c>
      <c r="L70" s="10">
        <v>364.5</v>
      </c>
      <c r="M70" s="6" t="s">
        <v>33</v>
      </c>
      <c r="N70" s="10">
        <f>Tabla12[[#This Row],[Price]]*Tabla12[[#This Row],[QTY Adjusted]]</f>
        <v>0</v>
      </c>
      <c r="O70" s="10">
        <v>0</v>
      </c>
      <c r="P70" s="10" t="s">
        <v>4240</v>
      </c>
      <c r="Q70" s="6" t="s">
        <v>4245</v>
      </c>
    </row>
    <row r="71" spans="1:17" ht="42" customHeight="1" outlineLevel="1" x14ac:dyDescent="0.3">
      <c r="A71" s="6">
        <v>1074</v>
      </c>
      <c r="B71" s="6" t="s">
        <v>1731</v>
      </c>
      <c r="C71" s="6" t="s">
        <v>228</v>
      </c>
      <c r="D71" s="6" t="s">
        <v>44</v>
      </c>
      <c r="E71" s="6" t="s">
        <v>1944</v>
      </c>
      <c r="F71" s="6" t="s">
        <v>4059</v>
      </c>
      <c r="G71" s="6" t="s">
        <v>260</v>
      </c>
      <c r="H71" s="6" t="s">
        <v>248</v>
      </c>
      <c r="I71" s="20" t="s">
        <v>261</v>
      </c>
      <c r="J71" s="6">
        <v>0</v>
      </c>
      <c r="K71" s="6" t="s">
        <v>748</v>
      </c>
      <c r="L71" s="10">
        <v>364.5</v>
      </c>
      <c r="M71" s="6" t="s">
        <v>33</v>
      </c>
      <c r="N71" s="10">
        <f>Tabla12[[#This Row],[Price]]*Tabla12[[#This Row],[QTY Adjusted]]</f>
        <v>0</v>
      </c>
      <c r="O71" s="10">
        <v>0</v>
      </c>
      <c r="P71" s="10" t="s">
        <v>4240</v>
      </c>
      <c r="Q71" s="6" t="s">
        <v>4245</v>
      </c>
    </row>
    <row r="72" spans="1:17" ht="42" customHeight="1" outlineLevel="1" x14ac:dyDescent="0.3">
      <c r="A72" s="6">
        <v>1075</v>
      </c>
      <c r="B72" s="6" t="s">
        <v>1731</v>
      </c>
      <c r="C72" s="6" t="s">
        <v>228</v>
      </c>
      <c r="D72" s="6" t="s">
        <v>44</v>
      </c>
      <c r="E72" s="6" t="s">
        <v>1944</v>
      </c>
      <c r="F72" s="6" t="s">
        <v>4059</v>
      </c>
      <c r="G72" s="6" t="s">
        <v>262</v>
      </c>
      <c r="H72" s="6" t="s">
        <v>248</v>
      </c>
      <c r="I72" s="20" t="s">
        <v>263</v>
      </c>
      <c r="J72" s="6">
        <v>0</v>
      </c>
      <c r="K72" s="6" t="s">
        <v>748</v>
      </c>
      <c r="L72" s="10">
        <v>364.5</v>
      </c>
      <c r="M72" s="6" t="s">
        <v>33</v>
      </c>
      <c r="N72" s="10">
        <f>Tabla12[[#This Row],[Price]]*Tabla12[[#This Row],[QTY Adjusted]]</f>
        <v>0</v>
      </c>
      <c r="O72" s="10">
        <v>0</v>
      </c>
      <c r="P72" s="10" t="s">
        <v>4240</v>
      </c>
      <c r="Q72" s="6" t="s">
        <v>4245</v>
      </c>
    </row>
    <row r="73" spans="1:17" ht="42" customHeight="1" outlineLevel="1" x14ac:dyDescent="0.3">
      <c r="A73" s="6">
        <v>1076</v>
      </c>
      <c r="B73" s="6" t="s">
        <v>1731</v>
      </c>
      <c r="C73" s="6" t="s">
        <v>228</v>
      </c>
      <c r="D73" s="6" t="s">
        <v>44</v>
      </c>
      <c r="E73" s="6" t="s">
        <v>1944</v>
      </c>
      <c r="F73" s="6" t="s">
        <v>4059</v>
      </c>
      <c r="G73" s="6" t="s">
        <v>264</v>
      </c>
      <c r="H73" s="6" t="s">
        <v>248</v>
      </c>
      <c r="I73" s="20" t="s">
        <v>265</v>
      </c>
      <c r="J73" s="6">
        <v>0</v>
      </c>
      <c r="K73" s="6" t="s">
        <v>748</v>
      </c>
      <c r="L73" s="10">
        <v>364.5</v>
      </c>
      <c r="M73" s="6" t="s">
        <v>33</v>
      </c>
      <c r="N73" s="10">
        <f>Tabla12[[#This Row],[Price]]*Tabla12[[#This Row],[QTY Adjusted]]</f>
        <v>0</v>
      </c>
      <c r="O73" s="10">
        <v>0</v>
      </c>
      <c r="P73" s="10" t="s">
        <v>4240</v>
      </c>
      <c r="Q73" s="6" t="s">
        <v>4245</v>
      </c>
    </row>
    <row r="74" spans="1:17" ht="42" customHeight="1" x14ac:dyDescent="0.3">
      <c r="A74" s="6">
        <v>973</v>
      </c>
      <c r="B74" s="6" t="s">
        <v>1731</v>
      </c>
      <c r="C74" s="6" t="s">
        <v>219</v>
      </c>
      <c r="D74" s="6" t="s">
        <v>44</v>
      </c>
      <c r="E74" s="6" t="s">
        <v>1731</v>
      </c>
      <c r="F74" s="6" t="s">
        <v>4063</v>
      </c>
      <c r="G74" s="6">
        <v>1940504022</v>
      </c>
      <c r="H74" s="6" t="s">
        <v>61</v>
      </c>
      <c r="I74" s="6" t="s">
        <v>1744</v>
      </c>
      <c r="J74" s="6">
        <v>36</v>
      </c>
      <c r="K74" s="6" t="s">
        <v>19</v>
      </c>
      <c r="L74" s="10">
        <v>8.0519999999999996</v>
      </c>
      <c r="M74" s="6" t="s">
        <v>33</v>
      </c>
      <c r="N74" s="10">
        <f>Tabla12[[#This Row],[Price]]*Tabla12[[#This Row],[QTY Adjusted]]</f>
        <v>289.87199999999996</v>
      </c>
      <c r="O74" s="10">
        <v>289.87199999999996</v>
      </c>
      <c r="P74" s="22">
        <v>46093</v>
      </c>
      <c r="Q74" s="6">
        <v>0</v>
      </c>
    </row>
    <row r="75" spans="1:17" ht="42" customHeight="1" x14ac:dyDescent="0.3">
      <c r="A75" s="6">
        <v>980</v>
      </c>
      <c r="B75" s="6" t="s">
        <v>1731</v>
      </c>
      <c r="C75" s="6" t="s">
        <v>1757</v>
      </c>
      <c r="D75" s="6" t="s">
        <v>362</v>
      </c>
      <c r="E75" s="6" t="s">
        <v>1731</v>
      </c>
      <c r="F75" s="6" t="s">
        <v>4059</v>
      </c>
      <c r="G75" s="6" t="s">
        <v>1761</v>
      </c>
      <c r="H75" s="6" t="s">
        <v>1762</v>
      </c>
      <c r="I75" s="6" t="s">
        <v>1763</v>
      </c>
      <c r="J75" s="6">
        <v>144</v>
      </c>
      <c r="K75" s="6" t="s">
        <v>19</v>
      </c>
      <c r="L75" s="10">
        <v>2.0124999999999997</v>
      </c>
      <c r="M75" s="6" t="s">
        <v>33</v>
      </c>
      <c r="N75" s="10">
        <f>Tabla12[[#This Row],[Price]]*Tabla12[[#This Row],[QTY Adjusted]]</f>
        <v>289.79999999999995</v>
      </c>
      <c r="O75" s="10">
        <v>289.79999999999995</v>
      </c>
      <c r="P75" s="10" t="s">
        <v>4225</v>
      </c>
      <c r="Q75" s="6">
        <v>0</v>
      </c>
    </row>
    <row r="76" spans="1:17" ht="42" customHeight="1" x14ac:dyDescent="0.3">
      <c r="A76" s="6">
        <v>1024</v>
      </c>
      <c r="B76" s="6" t="s">
        <v>1731</v>
      </c>
      <c r="C76" s="6" t="s">
        <v>134</v>
      </c>
      <c r="D76" s="6" t="s">
        <v>44</v>
      </c>
      <c r="E76" s="6" t="s">
        <v>1731</v>
      </c>
      <c r="F76" s="6" t="s">
        <v>4062</v>
      </c>
      <c r="G76" s="6" t="s">
        <v>1865</v>
      </c>
      <c r="H76" s="6" t="s">
        <v>1866</v>
      </c>
      <c r="I76" s="6" t="s">
        <v>1867</v>
      </c>
      <c r="J76" s="6">
        <v>24</v>
      </c>
      <c r="K76" s="6" t="s">
        <v>19</v>
      </c>
      <c r="L76" s="10">
        <v>13.571999999999999</v>
      </c>
      <c r="M76" s="6" t="s">
        <v>33</v>
      </c>
      <c r="N76" s="10">
        <f>Tabla12[[#This Row],[Price]]*Tabla12[[#This Row],[QTY Adjusted]]</f>
        <v>325.72799999999995</v>
      </c>
      <c r="O76" s="10">
        <v>325.72799999999995</v>
      </c>
      <c r="P76" s="22">
        <v>46096</v>
      </c>
      <c r="Q76" s="6">
        <v>0</v>
      </c>
    </row>
    <row r="77" spans="1:17" ht="42" customHeight="1" x14ac:dyDescent="0.3">
      <c r="A77" s="6">
        <v>1046</v>
      </c>
      <c r="B77" s="6" t="s">
        <v>1731</v>
      </c>
      <c r="C77" s="6" t="s">
        <v>1903</v>
      </c>
      <c r="D77" s="6" t="s">
        <v>44</v>
      </c>
      <c r="E77" s="6" t="s">
        <v>1904</v>
      </c>
      <c r="F77" s="6" t="s">
        <v>4060</v>
      </c>
      <c r="G77" s="6" t="s">
        <v>1927</v>
      </c>
      <c r="H77" s="6" t="s">
        <v>1928</v>
      </c>
      <c r="I77" s="6" t="s">
        <v>1929</v>
      </c>
      <c r="J77" s="6">
        <v>24</v>
      </c>
      <c r="K77" s="6" t="s">
        <v>19</v>
      </c>
      <c r="L77" s="10">
        <v>13.2</v>
      </c>
      <c r="M77" s="6" t="s">
        <v>33</v>
      </c>
      <c r="N77" s="10">
        <f>Tabla12[[#This Row],[Price]]*Tabla12[[#This Row],[QTY Adjusted]]</f>
        <v>316.79999999999995</v>
      </c>
      <c r="O77" s="10">
        <v>316.79999999999995</v>
      </c>
      <c r="P77" s="10" t="s">
        <v>4225</v>
      </c>
      <c r="Q77" s="6">
        <v>0</v>
      </c>
    </row>
    <row r="78" spans="1:17" ht="42" customHeight="1" x14ac:dyDescent="0.3">
      <c r="A78" s="6">
        <v>1051</v>
      </c>
      <c r="B78" s="6" t="s">
        <v>1731</v>
      </c>
      <c r="C78" s="6" t="s">
        <v>1316</v>
      </c>
      <c r="D78" s="6" t="s">
        <v>718</v>
      </c>
      <c r="E78" s="6" t="s">
        <v>1904</v>
      </c>
      <c r="F78" s="6" t="s">
        <v>4062</v>
      </c>
      <c r="G78" s="6" t="s">
        <v>1938</v>
      </c>
      <c r="H78" s="6" t="s">
        <v>1463</v>
      </c>
      <c r="I78" s="6" t="s">
        <v>1939</v>
      </c>
      <c r="J78" s="6">
        <v>24</v>
      </c>
      <c r="K78" s="6" t="s">
        <v>19</v>
      </c>
      <c r="L78" s="10">
        <v>13</v>
      </c>
      <c r="M78" s="6" t="s">
        <v>33</v>
      </c>
      <c r="N78" s="10">
        <f>Tabla12[[#This Row],[Price]]*Tabla12[[#This Row],[QTY Adjusted]]</f>
        <v>312</v>
      </c>
      <c r="O78" s="10">
        <v>312</v>
      </c>
      <c r="P78" s="10" t="s">
        <v>4225</v>
      </c>
      <c r="Q78" s="6">
        <v>0</v>
      </c>
    </row>
    <row r="79" spans="1:17" ht="42" customHeight="1" x14ac:dyDescent="0.3">
      <c r="A79" s="6">
        <v>1054</v>
      </c>
      <c r="B79" s="6" t="s">
        <v>1731</v>
      </c>
      <c r="C79" s="6" t="s">
        <v>1316</v>
      </c>
      <c r="D79" s="6" t="s">
        <v>718</v>
      </c>
      <c r="E79" s="6" t="s">
        <v>1904</v>
      </c>
      <c r="F79" s="6" t="s">
        <v>4062</v>
      </c>
      <c r="G79" s="6" t="s">
        <v>1324</v>
      </c>
      <c r="H79" s="6" t="s">
        <v>1325</v>
      </c>
      <c r="I79" s="6" t="s">
        <v>1326</v>
      </c>
      <c r="J79" s="6">
        <v>24</v>
      </c>
      <c r="K79" s="6" t="s">
        <v>19</v>
      </c>
      <c r="L79" s="10">
        <v>12.6</v>
      </c>
      <c r="M79" s="6" t="s">
        <v>33</v>
      </c>
      <c r="N79" s="10">
        <f>Tabla12[[#This Row],[Price]]*Tabla12[[#This Row],[QTY Adjusted]]</f>
        <v>302.39999999999998</v>
      </c>
      <c r="O79" s="10">
        <v>302.39999999999998</v>
      </c>
      <c r="P79" s="10" t="s">
        <v>4225</v>
      </c>
      <c r="Q79" s="6">
        <v>0</v>
      </c>
    </row>
    <row r="80" spans="1:17" ht="42" customHeight="1" x14ac:dyDescent="0.3">
      <c r="A80" s="6">
        <v>1053</v>
      </c>
      <c r="B80" s="6" t="s">
        <v>1731</v>
      </c>
      <c r="C80" s="6" t="s">
        <v>1316</v>
      </c>
      <c r="D80" s="6" t="s">
        <v>718</v>
      </c>
      <c r="E80" s="6" t="s">
        <v>1904</v>
      </c>
      <c r="F80" s="6" t="s">
        <v>4062</v>
      </c>
      <c r="G80" s="6" t="s">
        <v>1332</v>
      </c>
      <c r="H80" s="6" t="s">
        <v>156</v>
      </c>
      <c r="I80" s="6" t="s">
        <v>1333</v>
      </c>
      <c r="J80" s="6">
        <v>24</v>
      </c>
      <c r="K80" s="6" t="s">
        <v>19</v>
      </c>
      <c r="L80" s="10">
        <v>12.1</v>
      </c>
      <c r="M80" s="6" t="s">
        <v>33</v>
      </c>
      <c r="N80" s="10">
        <f>Tabla12[[#This Row],[Price]]*Tabla12[[#This Row],[QTY Adjusted]]</f>
        <v>290.39999999999998</v>
      </c>
      <c r="O80" s="10">
        <v>290.39999999999998</v>
      </c>
      <c r="P80" s="10" t="s">
        <v>4225</v>
      </c>
      <c r="Q80" s="6">
        <v>0</v>
      </c>
    </row>
    <row r="81" spans="1:17" ht="42" customHeight="1" x14ac:dyDescent="0.3">
      <c r="A81" s="6">
        <v>1032</v>
      </c>
      <c r="B81" s="6" t="s">
        <v>1731</v>
      </c>
      <c r="C81" s="6" t="s">
        <v>1757</v>
      </c>
      <c r="D81" s="6" t="s">
        <v>362</v>
      </c>
      <c r="E81" s="6" t="s">
        <v>1731</v>
      </c>
      <c r="F81" s="6" t="s">
        <v>4062</v>
      </c>
      <c r="G81" s="6" t="s">
        <v>1885</v>
      </c>
      <c r="H81" s="6" t="s">
        <v>1886</v>
      </c>
      <c r="I81" s="6" t="s">
        <v>1887</v>
      </c>
      <c r="J81" s="6">
        <v>24</v>
      </c>
      <c r="K81" s="6" t="s">
        <v>19</v>
      </c>
      <c r="L81" s="10">
        <v>11.356249999999998</v>
      </c>
      <c r="M81" s="6" t="s">
        <v>33</v>
      </c>
      <c r="N81" s="10">
        <f>Tabla12[[#This Row],[Price]]*Tabla12[[#This Row],[QTY Adjusted]]</f>
        <v>272.54999999999995</v>
      </c>
      <c r="O81" s="10">
        <v>272.54999999999995</v>
      </c>
      <c r="P81" s="10" t="s">
        <v>4225</v>
      </c>
      <c r="Q81" s="6">
        <v>0</v>
      </c>
    </row>
    <row r="82" spans="1:17" ht="42" customHeight="1" x14ac:dyDescent="0.3">
      <c r="A82" s="6">
        <v>1050</v>
      </c>
      <c r="B82" s="6" t="s">
        <v>1731</v>
      </c>
      <c r="C82" s="6" t="s">
        <v>1316</v>
      </c>
      <c r="D82" s="6" t="s">
        <v>718</v>
      </c>
      <c r="E82" s="6" t="s">
        <v>1904</v>
      </c>
      <c r="F82" s="6" t="s">
        <v>4062</v>
      </c>
      <c r="G82" s="6" t="s">
        <v>1936</v>
      </c>
      <c r="H82" s="6" t="s">
        <v>145</v>
      </c>
      <c r="I82" s="6" t="s">
        <v>1937</v>
      </c>
      <c r="J82" s="6">
        <v>24</v>
      </c>
      <c r="K82" s="6" t="s">
        <v>19</v>
      </c>
      <c r="L82" s="10">
        <v>11.1</v>
      </c>
      <c r="M82" s="6" t="s">
        <v>33</v>
      </c>
      <c r="N82" s="10">
        <f>Tabla12[[#This Row],[Price]]*Tabla12[[#This Row],[QTY Adjusted]]</f>
        <v>266.39999999999998</v>
      </c>
      <c r="O82" s="10">
        <v>266.39999999999998</v>
      </c>
      <c r="P82" s="10" t="s">
        <v>4225</v>
      </c>
      <c r="Q82" s="6">
        <v>0</v>
      </c>
    </row>
    <row r="83" spans="1:17" ht="42" customHeight="1" x14ac:dyDescent="0.3">
      <c r="A83" s="6">
        <v>1025</v>
      </c>
      <c r="B83" s="6" t="s">
        <v>1731</v>
      </c>
      <c r="C83" s="6" t="s">
        <v>92</v>
      </c>
      <c r="D83" s="6" t="s">
        <v>93</v>
      </c>
      <c r="E83" s="6" t="s">
        <v>1731</v>
      </c>
      <c r="F83" s="6" t="s">
        <v>4059</v>
      </c>
      <c r="G83" s="6" t="s">
        <v>969</v>
      </c>
      <c r="H83" s="6" t="s">
        <v>187</v>
      </c>
      <c r="I83" s="20" t="s">
        <v>970</v>
      </c>
      <c r="J83" s="6">
        <v>12</v>
      </c>
      <c r="K83" s="6" t="s">
        <v>19</v>
      </c>
      <c r="L83" s="10">
        <v>20.2</v>
      </c>
      <c r="M83" s="6" t="s">
        <v>33</v>
      </c>
      <c r="N83" s="10">
        <f>Tabla12[[#This Row],[Price]]*Tabla12[[#This Row],[QTY Adjusted]]</f>
        <v>242.39999999999998</v>
      </c>
      <c r="O83" s="10">
        <v>242.39999999999998</v>
      </c>
      <c r="P83" s="10" t="s">
        <v>4228</v>
      </c>
      <c r="Q83" s="6" t="s">
        <v>4246</v>
      </c>
    </row>
    <row r="84" spans="1:17" ht="42" customHeight="1" x14ac:dyDescent="0.3">
      <c r="A84" s="6">
        <v>1047</v>
      </c>
      <c r="B84" s="6" t="s">
        <v>1731</v>
      </c>
      <c r="C84" s="6" t="s">
        <v>1903</v>
      </c>
      <c r="D84" s="6" t="s">
        <v>44</v>
      </c>
      <c r="E84" s="6" t="s">
        <v>1904</v>
      </c>
      <c r="F84" s="6" t="s">
        <v>4060</v>
      </c>
      <c r="G84" s="6" t="s">
        <v>1930</v>
      </c>
      <c r="H84" s="6" t="s">
        <v>1931</v>
      </c>
      <c r="I84" s="6" t="s">
        <v>1932</v>
      </c>
      <c r="J84" s="6">
        <v>48</v>
      </c>
      <c r="K84" s="6" t="s">
        <v>19</v>
      </c>
      <c r="L84" s="10">
        <v>4.8639999999999999</v>
      </c>
      <c r="M84" s="6" t="s">
        <v>33</v>
      </c>
      <c r="N84" s="10">
        <f>Tabla12[[#This Row],[Price]]*Tabla12[[#This Row],[QTY Adjusted]]</f>
        <v>233.47199999999998</v>
      </c>
      <c r="O84" s="10">
        <v>233.47199999999998</v>
      </c>
      <c r="P84" s="22" t="s">
        <v>4225</v>
      </c>
      <c r="Q84" s="6">
        <v>0</v>
      </c>
    </row>
    <row r="85" spans="1:17" ht="42" customHeight="1" x14ac:dyDescent="0.3">
      <c r="A85" s="6">
        <v>1117</v>
      </c>
      <c r="B85" s="6" t="s">
        <v>1731</v>
      </c>
      <c r="C85" s="6" t="s">
        <v>14</v>
      </c>
      <c r="D85" s="6" t="str">
        <f>Tabla12[[#This Row],[Vendor]]</f>
        <v>Oaxifornia</v>
      </c>
      <c r="E85" s="6" t="s">
        <v>1965</v>
      </c>
      <c r="F85" s="6" t="s">
        <v>4059</v>
      </c>
      <c r="G85" s="6" t="s">
        <v>1966</v>
      </c>
      <c r="H85" s="6" t="s">
        <v>1967</v>
      </c>
      <c r="I85" s="6" t="s">
        <v>1968</v>
      </c>
      <c r="J85" s="6">
        <v>4</v>
      </c>
      <c r="K85" s="6" t="s">
        <v>19</v>
      </c>
      <c r="L85" s="10">
        <v>1106</v>
      </c>
      <c r="M85" s="6" t="s">
        <v>20</v>
      </c>
      <c r="N85" s="10">
        <f>Tabla12[[#This Row],[Price]]*Tabla12[[#This Row],[QTY Adjusted]]</f>
        <v>4424</v>
      </c>
      <c r="O85" s="10">
        <v>226.87179487179486</v>
      </c>
      <c r="P85" s="10" t="s">
        <v>4232</v>
      </c>
      <c r="Q85" s="6">
        <v>0</v>
      </c>
    </row>
    <row r="86" spans="1:17" ht="42" customHeight="1" x14ac:dyDescent="0.3">
      <c r="A86" s="6">
        <v>1055</v>
      </c>
      <c r="B86" s="6" t="s">
        <v>1731</v>
      </c>
      <c r="C86" s="6" t="s">
        <v>1316</v>
      </c>
      <c r="D86" s="6" t="s">
        <v>718</v>
      </c>
      <c r="E86" s="6" t="s">
        <v>1904</v>
      </c>
      <c r="F86" s="6" t="s">
        <v>4062</v>
      </c>
      <c r="G86" s="6" t="s">
        <v>1940</v>
      </c>
      <c r="H86" s="6" t="s">
        <v>1941</v>
      </c>
      <c r="I86" s="6" t="s">
        <v>1942</v>
      </c>
      <c r="J86" s="6">
        <v>24</v>
      </c>
      <c r="K86" s="6" t="s">
        <v>19</v>
      </c>
      <c r="L86" s="10">
        <v>9.1</v>
      </c>
      <c r="M86" s="6" t="s">
        <v>33</v>
      </c>
      <c r="N86" s="10">
        <f>Tabla12[[#This Row],[Price]]*Tabla12[[#This Row],[QTY Adjusted]]</f>
        <v>218.39999999999998</v>
      </c>
      <c r="O86" s="10">
        <v>218.39999999999998</v>
      </c>
      <c r="P86" s="10" t="s">
        <v>4225</v>
      </c>
      <c r="Q86" s="6">
        <v>0</v>
      </c>
    </row>
    <row r="87" spans="1:17" ht="42" customHeight="1" x14ac:dyDescent="0.3">
      <c r="A87" s="6">
        <v>1033</v>
      </c>
      <c r="B87" s="6" t="s">
        <v>1731</v>
      </c>
      <c r="C87" s="6" t="s">
        <v>1757</v>
      </c>
      <c r="D87" s="6" t="s">
        <v>362</v>
      </c>
      <c r="E87" s="6" t="s">
        <v>1731</v>
      </c>
      <c r="F87" s="6" t="s">
        <v>4060</v>
      </c>
      <c r="G87" s="6" t="s">
        <v>1888</v>
      </c>
      <c r="H87" s="6" t="s">
        <v>1889</v>
      </c>
      <c r="I87" s="6" t="s">
        <v>1890</v>
      </c>
      <c r="J87" s="6">
        <v>24</v>
      </c>
      <c r="K87" s="6" t="s">
        <v>19</v>
      </c>
      <c r="L87" s="10">
        <v>8.3806249999999984</v>
      </c>
      <c r="M87" s="6" t="s">
        <v>33</v>
      </c>
      <c r="N87" s="10">
        <f>Tabla12[[#This Row],[Price]]*Tabla12[[#This Row],[QTY Adjusted]]</f>
        <v>201.13499999999996</v>
      </c>
      <c r="O87" s="10">
        <v>201.13499999999996</v>
      </c>
      <c r="P87" s="10" t="s">
        <v>4225</v>
      </c>
      <c r="Q87" s="6">
        <v>0</v>
      </c>
    </row>
    <row r="88" spans="1:17" ht="42" customHeight="1" x14ac:dyDescent="0.3">
      <c r="A88" s="6">
        <v>1052</v>
      </c>
      <c r="B88" s="6" t="s">
        <v>1731</v>
      </c>
      <c r="C88" s="6" t="s">
        <v>1316</v>
      </c>
      <c r="D88" s="6" t="s">
        <v>718</v>
      </c>
      <c r="E88" s="6" t="s">
        <v>1904</v>
      </c>
      <c r="F88" s="6" t="s">
        <v>4062</v>
      </c>
      <c r="G88" s="6" t="s">
        <v>1686</v>
      </c>
      <c r="H88" s="6" t="s">
        <v>1318</v>
      </c>
      <c r="I88" s="6" t="s">
        <v>1687</v>
      </c>
      <c r="J88" s="6">
        <v>24</v>
      </c>
      <c r="K88" s="6" t="s">
        <v>19</v>
      </c>
      <c r="L88" s="10">
        <v>8.16</v>
      </c>
      <c r="M88" s="6" t="s">
        <v>33</v>
      </c>
      <c r="N88" s="10">
        <f>Tabla12[[#This Row],[Price]]*Tabla12[[#This Row],[QTY Adjusted]]</f>
        <v>195.84</v>
      </c>
      <c r="O88" s="10">
        <v>195.84</v>
      </c>
      <c r="P88" s="10" t="s">
        <v>4225</v>
      </c>
      <c r="Q88" s="6">
        <v>0</v>
      </c>
    </row>
    <row r="89" spans="1:17" ht="42" customHeight="1" x14ac:dyDescent="0.3">
      <c r="A89" s="6">
        <v>988</v>
      </c>
      <c r="B89" s="6" t="s">
        <v>1731</v>
      </c>
      <c r="C89" s="6" t="s">
        <v>1757</v>
      </c>
      <c r="D89" s="6" t="s">
        <v>362</v>
      </c>
      <c r="E89" s="6" t="s">
        <v>1731</v>
      </c>
      <c r="F89" s="6" t="s">
        <v>4060</v>
      </c>
      <c r="G89" s="6" t="s">
        <v>1783</v>
      </c>
      <c r="H89" s="6" t="s">
        <v>1777</v>
      </c>
      <c r="I89" s="6" t="s">
        <v>1784</v>
      </c>
      <c r="J89" s="6">
        <v>36</v>
      </c>
      <c r="K89" s="6" t="s">
        <v>19</v>
      </c>
      <c r="L89" s="10">
        <v>4.4418749999999996</v>
      </c>
      <c r="M89" s="6" t="s">
        <v>33</v>
      </c>
      <c r="N89" s="10">
        <f>Tabla12[[#This Row],[Price]]*Tabla12[[#This Row],[QTY Adjusted]]</f>
        <v>159.90749999999997</v>
      </c>
      <c r="O89" s="10">
        <v>159.90749999999997</v>
      </c>
      <c r="P89" s="10" t="s">
        <v>4225</v>
      </c>
      <c r="Q89" s="6">
        <v>0</v>
      </c>
    </row>
    <row r="90" spans="1:17" ht="42" customHeight="1" x14ac:dyDescent="0.3">
      <c r="A90" s="6">
        <v>1065</v>
      </c>
      <c r="B90" s="6" t="s">
        <v>1731</v>
      </c>
      <c r="C90" s="6" t="s">
        <v>237</v>
      </c>
      <c r="D90" s="6" t="s">
        <v>93</v>
      </c>
      <c r="E90" s="6" t="s">
        <v>1944</v>
      </c>
      <c r="F90" s="6" t="s">
        <v>4059</v>
      </c>
      <c r="G90" s="6" t="s">
        <v>238</v>
      </c>
      <c r="H90" s="6" t="s">
        <v>239</v>
      </c>
      <c r="I90" s="6" t="s">
        <v>240</v>
      </c>
      <c r="J90" s="6">
        <v>2</v>
      </c>
      <c r="K90" s="6" t="s">
        <v>19</v>
      </c>
      <c r="L90" s="10">
        <v>93.27</v>
      </c>
      <c r="M90" s="6" t="s">
        <v>33</v>
      </c>
      <c r="N90" s="10">
        <f>Tabla12[[#This Row],[Price]]*Tabla12[[#This Row],[QTY Adjusted]]</f>
        <v>186.54</v>
      </c>
      <c r="O90" s="10">
        <v>186.54</v>
      </c>
      <c r="P90" s="10" t="s">
        <v>4225</v>
      </c>
      <c r="Q90" s="6">
        <v>0</v>
      </c>
    </row>
    <row r="91" spans="1:17" ht="42" customHeight="1" x14ac:dyDescent="0.3">
      <c r="A91" s="6">
        <v>1044</v>
      </c>
      <c r="B91" s="6" t="s">
        <v>1731</v>
      </c>
      <c r="C91" s="6" t="s">
        <v>1903</v>
      </c>
      <c r="D91" s="6" t="s">
        <v>44</v>
      </c>
      <c r="E91" s="6" t="s">
        <v>1904</v>
      </c>
      <c r="F91" s="6" t="s">
        <v>4060</v>
      </c>
      <c r="G91" s="6" t="s">
        <v>1921</v>
      </c>
      <c r="H91" s="6" t="s">
        <v>1922</v>
      </c>
      <c r="I91" s="6" t="s">
        <v>1923</v>
      </c>
      <c r="J91" s="6">
        <v>24</v>
      </c>
      <c r="K91" s="6" t="s">
        <v>19</v>
      </c>
      <c r="L91" s="10">
        <v>7.6559999999999997</v>
      </c>
      <c r="M91" s="6" t="s">
        <v>33</v>
      </c>
      <c r="N91" s="10">
        <f>Tabla12[[#This Row],[Price]]*Tabla12[[#This Row],[QTY Adjusted]]</f>
        <v>183.744</v>
      </c>
      <c r="O91" s="10">
        <v>183.744</v>
      </c>
      <c r="P91" s="10" t="s">
        <v>4225</v>
      </c>
      <c r="Q91" s="6">
        <v>0</v>
      </c>
    </row>
    <row r="92" spans="1:17" ht="42" customHeight="1" x14ac:dyDescent="0.3">
      <c r="A92" s="6">
        <v>1027</v>
      </c>
      <c r="B92" s="6" t="s">
        <v>1731</v>
      </c>
      <c r="C92" s="6" t="s">
        <v>232</v>
      </c>
      <c r="D92" s="6" t="s">
        <v>233</v>
      </c>
      <c r="E92" s="6" t="s">
        <v>1731</v>
      </c>
      <c r="F92" s="6" t="s">
        <v>4062</v>
      </c>
      <c r="G92" s="6" t="s">
        <v>1870</v>
      </c>
      <c r="H92" s="6" t="s">
        <v>1871</v>
      </c>
      <c r="I92" s="6" t="s">
        <v>1872</v>
      </c>
      <c r="J92" s="6">
        <v>32</v>
      </c>
      <c r="K92" s="6" t="s">
        <v>19</v>
      </c>
      <c r="L92" s="10">
        <v>7.56</v>
      </c>
      <c r="M92" s="6" t="s">
        <v>33</v>
      </c>
      <c r="N92" s="10">
        <f>Tabla12[[#This Row],[Price]]*Tabla12[[#This Row],[QTY Adjusted]]</f>
        <v>241.92</v>
      </c>
      <c r="O92" s="10">
        <v>241.92</v>
      </c>
      <c r="P92" s="10" t="s">
        <v>4239</v>
      </c>
      <c r="Q92" s="6">
        <v>0</v>
      </c>
    </row>
    <row r="93" spans="1:17" ht="42" customHeight="1" x14ac:dyDescent="0.3">
      <c r="A93" s="6">
        <v>1092</v>
      </c>
      <c r="B93" s="6" t="s">
        <v>1731</v>
      </c>
      <c r="C93" s="6" t="s">
        <v>314</v>
      </c>
      <c r="D93" s="6" t="s">
        <v>93</v>
      </c>
      <c r="E93" s="6" t="s">
        <v>1944</v>
      </c>
      <c r="F93" s="6" t="s">
        <v>4059</v>
      </c>
      <c r="G93" s="6" t="s">
        <v>315</v>
      </c>
      <c r="H93" s="6" t="s">
        <v>316</v>
      </c>
      <c r="I93" s="6" t="s">
        <v>317</v>
      </c>
      <c r="J93" s="6">
        <v>1</v>
      </c>
      <c r="K93" s="6" t="s">
        <v>19</v>
      </c>
      <c r="L93" s="10">
        <v>175.87</v>
      </c>
      <c r="M93" s="6" t="s">
        <v>33</v>
      </c>
      <c r="N93" s="10">
        <f>Tabla12[[#This Row],[Price]]*Tabla12[[#This Row],[QTY Adjusted]]</f>
        <v>175.87</v>
      </c>
      <c r="O93" s="10">
        <v>175.87</v>
      </c>
      <c r="P93" s="10" t="s">
        <v>4225</v>
      </c>
      <c r="Q93" s="6">
        <v>0</v>
      </c>
    </row>
    <row r="94" spans="1:17" ht="42" customHeight="1" x14ac:dyDescent="0.3">
      <c r="A94" s="6">
        <v>1059</v>
      </c>
      <c r="B94" s="6" t="s">
        <v>1731</v>
      </c>
      <c r="C94" s="6" t="s">
        <v>29</v>
      </c>
      <c r="D94" s="6" t="str">
        <f>Tabla12[[#This Row],[Vendor]]</f>
        <v>Blue Pheasant</v>
      </c>
      <c r="E94" s="6" t="s">
        <v>1944</v>
      </c>
      <c r="F94" s="6" t="s">
        <v>4059</v>
      </c>
      <c r="G94" s="6" t="s">
        <v>1948</v>
      </c>
      <c r="H94" s="6" t="s">
        <v>1949</v>
      </c>
      <c r="I94" s="20" t="s">
        <v>1950</v>
      </c>
      <c r="J94" s="6">
        <v>2</v>
      </c>
      <c r="K94" s="6" t="s">
        <v>19</v>
      </c>
      <c r="L94" s="10">
        <v>82</v>
      </c>
      <c r="M94" s="6" t="s">
        <v>33</v>
      </c>
      <c r="N94" s="10">
        <f>Tabla12[[#This Row],[Price]]*Tabla12[[#This Row],[QTY Adjusted]]</f>
        <v>164</v>
      </c>
      <c r="O94" s="10">
        <v>164</v>
      </c>
      <c r="P94" s="10" t="s">
        <v>4218</v>
      </c>
      <c r="Q94" s="6" t="s">
        <v>4245</v>
      </c>
    </row>
    <row r="95" spans="1:17" ht="42" customHeight="1" x14ac:dyDescent="0.3">
      <c r="A95" s="6">
        <v>987</v>
      </c>
      <c r="B95" s="6" t="s">
        <v>1731</v>
      </c>
      <c r="C95" s="6" t="s">
        <v>1757</v>
      </c>
      <c r="D95" s="6" t="s">
        <v>362</v>
      </c>
      <c r="E95" s="6" t="s">
        <v>1731</v>
      </c>
      <c r="F95" s="6" t="s">
        <v>4060</v>
      </c>
      <c r="G95" s="6" t="s">
        <v>1781</v>
      </c>
      <c r="H95" s="6" t="s">
        <v>1777</v>
      </c>
      <c r="I95" s="6" t="s">
        <v>1782</v>
      </c>
      <c r="J95" s="6">
        <v>36</v>
      </c>
      <c r="K95" s="6" t="s">
        <v>19</v>
      </c>
      <c r="L95" s="10">
        <v>3.8093749999999997</v>
      </c>
      <c r="M95" s="6" t="s">
        <v>33</v>
      </c>
      <c r="N95" s="10">
        <f>Tabla12[[#This Row],[Price]]*Tabla12[[#This Row],[QTY Adjusted]]</f>
        <v>137.13749999999999</v>
      </c>
      <c r="O95" s="10">
        <v>137.13749999999999</v>
      </c>
      <c r="P95" s="10" t="s">
        <v>4225</v>
      </c>
      <c r="Q95" s="6">
        <v>0</v>
      </c>
    </row>
    <row r="96" spans="1:17" ht="42" customHeight="1" x14ac:dyDescent="0.3">
      <c r="A96" s="6">
        <v>1048</v>
      </c>
      <c r="B96" s="6" t="s">
        <v>1731</v>
      </c>
      <c r="C96" s="6" t="s">
        <v>1903</v>
      </c>
      <c r="D96" s="6" t="s">
        <v>44</v>
      </c>
      <c r="E96" s="6" t="s">
        <v>1904</v>
      </c>
      <c r="F96" s="6" t="s">
        <v>4060</v>
      </c>
      <c r="G96" s="6" t="s">
        <v>1933</v>
      </c>
      <c r="H96" s="6" t="s">
        <v>1931</v>
      </c>
      <c r="I96" s="6" t="s">
        <v>1934</v>
      </c>
      <c r="J96" s="6">
        <v>48</v>
      </c>
      <c r="K96" s="6" t="s">
        <v>19</v>
      </c>
      <c r="L96" s="10">
        <v>3.08</v>
      </c>
      <c r="M96" s="6" t="s">
        <v>33</v>
      </c>
      <c r="N96" s="10">
        <f>Tabla12[[#This Row],[Price]]*Tabla12[[#This Row],[QTY Adjusted]]</f>
        <v>147.84</v>
      </c>
      <c r="O96" s="10">
        <v>147.84</v>
      </c>
      <c r="P96" s="22" t="s">
        <v>4225</v>
      </c>
      <c r="Q96" s="6">
        <v>0</v>
      </c>
    </row>
    <row r="97" spans="1:17" ht="42" customHeight="1" x14ac:dyDescent="0.3">
      <c r="A97" s="6">
        <v>1063</v>
      </c>
      <c r="B97" s="6" t="s">
        <v>1731</v>
      </c>
      <c r="C97" s="6" t="s">
        <v>321</v>
      </c>
      <c r="D97" s="6" t="s">
        <v>199</v>
      </c>
      <c r="E97" s="6" t="s">
        <v>1944</v>
      </c>
      <c r="F97" s="6" t="s">
        <v>4059</v>
      </c>
      <c r="G97" s="6" t="s">
        <v>1346</v>
      </c>
      <c r="H97" s="6" t="s">
        <v>230</v>
      </c>
      <c r="I97" s="6" t="s">
        <v>1347</v>
      </c>
      <c r="J97" s="6">
        <v>2</v>
      </c>
      <c r="K97" s="6" t="s">
        <v>19</v>
      </c>
      <c r="L97" s="10">
        <v>68.75661003750001</v>
      </c>
      <c r="M97" s="6" t="s">
        <v>33</v>
      </c>
      <c r="N97" s="10">
        <f>Tabla12[[#This Row],[Price]]*Tabla12[[#This Row],[QTY Adjusted]]</f>
        <v>137.51322007500002</v>
      </c>
      <c r="O97" s="10">
        <v>137.51322007500002</v>
      </c>
      <c r="P97" s="10" t="s">
        <v>4225</v>
      </c>
      <c r="Q97" s="6">
        <v>0</v>
      </c>
    </row>
    <row r="98" spans="1:17" ht="42" customHeight="1" x14ac:dyDescent="0.3">
      <c r="A98" s="6">
        <v>1029</v>
      </c>
      <c r="B98" s="6" t="s">
        <v>1731</v>
      </c>
      <c r="C98" s="6" t="s">
        <v>1757</v>
      </c>
      <c r="D98" s="6" t="s">
        <v>362</v>
      </c>
      <c r="E98" s="6" t="s">
        <v>1731</v>
      </c>
      <c r="F98" s="6" t="s">
        <v>4062</v>
      </c>
      <c r="G98" s="6" t="s">
        <v>1876</v>
      </c>
      <c r="H98" s="6" t="s">
        <v>1877</v>
      </c>
      <c r="I98" s="6" t="s">
        <v>1878</v>
      </c>
      <c r="J98" s="6">
        <v>36</v>
      </c>
      <c r="K98" s="6" t="s">
        <v>19</v>
      </c>
      <c r="L98" s="10">
        <v>3.8093749999999997</v>
      </c>
      <c r="M98" s="6" t="s">
        <v>33</v>
      </c>
      <c r="N98" s="10">
        <f>Tabla12[[#This Row],[Price]]*Tabla12[[#This Row],[QTY Adjusted]]</f>
        <v>137.13749999999999</v>
      </c>
      <c r="O98" s="10">
        <v>137.13749999999999</v>
      </c>
      <c r="P98" s="10" t="s">
        <v>4225</v>
      </c>
      <c r="Q98" s="6">
        <v>0</v>
      </c>
    </row>
    <row r="99" spans="1:17" ht="42" customHeight="1" x14ac:dyDescent="0.3">
      <c r="A99" s="6">
        <v>1107</v>
      </c>
      <c r="B99" s="6" t="s">
        <v>1731</v>
      </c>
      <c r="C99" s="6" t="s">
        <v>361</v>
      </c>
      <c r="D99" s="6" t="s">
        <v>362</v>
      </c>
      <c r="E99" s="6" t="s">
        <v>1944</v>
      </c>
      <c r="F99" s="6" t="s">
        <v>4059</v>
      </c>
      <c r="G99" s="6" t="s">
        <v>363</v>
      </c>
      <c r="H99" s="6" t="s">
        <v>364</v>
      </c>
      <c r="I99" s="6" t="s">
        <v>365</v>
      </c>
      <c r="J99" s="6">
        <v>3</v>
      </c>
      <c r="K99" s="6" t="s">
        <v>19</v>
      </c>
      <c r="L99" s="10">
        <v>44.937176470588234</v>
      </c>
      <c r="M99" s="6" t="s">
        <v>33</v>
      </c>
      <c r="N99" s="10">
        <f>Tabla12[[#This Row],[Price]]*Tabla12[[#This Row],[QTY Adjusted]]</f>
        <v>134.8115294117647</v>
      </c>
      <c r="O99" s="10">
        <v>134.8115294117647</v>
      </c>
      <c r="P99" s="10" t="s">
        <v>4225</v>
      </c>
      <c r="Q99" s="6">
        <v>0</v>
      </c>
    </row>
    <row r="100" spans="1:17" ht="42" customHeight="1" x14ac:dyDescent="0.3">
      <c r="A100" s="6">
        <v>1043</v>
      </c>
      <c r="B100" s="6" t="s">
        <v>1731</v>
      </c>
      <c r="C100" s="6" t="s">
        <v>1903</v>
      </c>
      <c r="D100" s="6" t="s">
        <v>44</v>
      </c>
      <c r="E100" s="6" t="s">
        <v>1904</v>
      </c>
      <c r="F100" s="6" t="s">
        <v>4060</v>
      </c>
      <c r="G100" s="6" t="s">
        <v>1918</v>
      </c>
      <c r="H100" s="6" t="s">
        <v>1919</v>
      </c>
      <c r="I100" s="6" t="s">
        <v>1920</v>
      </c>
      <c r="J100" s="6">
        <v>24</v>
      </c>
      <c r="K100" s="6" t="s">
        <v>19</v>
      </c>
      <c r="L100" s="10">
        <v>5.4720000000000004</v>
      </c>
      <c r="M100" s="6" t="s">
        <v>33</v>
      </c>
      <c r="N100" s="10">
        <f>Tabla12[[#This Row],[Price]]*Tabla12[[#This Row],[QTY Adjusted]]</f>
        <v>131.328</v>
      </c>
      <c r="O100" s="10">
        <v>131.328</v>
      </c>
      <c r="P100" s="10" t="s">
        <v>4225</v>
      </c>
      <c r="Q100" s="6">
        <v>0</v>
      </c>
    </row>
    <row r="101" spans="1:17" ht="42" customHeight="1" x14ac:dyDescent="0.3">
      <c r="A101" s="6">
        <v>1038</v>
      </c>
      <c r="B101" s="6" t="s">
        <v>1731</v>
      </c>
      <c r="C101" s="6" t="s">
        <v>1903</v>
      </c>
      <c r="D101" s="6" t="s">
        <v>44</v>
      </c>
      <c r="E101" s="6" t="s">
        <v>1904</v>
      </c>
      <c r="F101" s="6" t="s">
        <v>4060</v>
      </c>
      <c r="G101" s="6" t="s">
        <v>1905</v>
      </c>
      <c r="H101" s="6" t="s">
        <v>601</v>
      </c>
      <c r="I101" s="6" t="s">
        <v>1906</v>
      </c>
      <c r="J101" s="6">
        <v>12</v>
      </c>
      <c r="K101" s="6" t="s">
        <v>19</v>
      </c>
      <c r="L101" s="10">
        <v>10.632</v>
      </c>
      <c r="M101" s="6" t="s">
        <v>33</v>
      </c>
      <c r="N101" s="10">
        <f>Tabla12[[#This Row],[Price]]*Tabla12[[#This Row],[QTY Adjusted]]</f>
        <v>127.584</v>
      </c>
      <c r="O101" s="10">
        <v>127.584</v>
      </c>
      <c r="P101" s="10" t="s">
        <v>4225</v>
      </c>
      <c r="Q101" s="6">
        <v>0</v>
      </c>
    </row>
    <row r="102" spans="1:17" ht="42" customHeight="1" x14ac:dyDescent="0.3">
      <c r="A102" s="6">
        <v>1039</v>
      </c>
      <c r="B102" s="6" t="s">
        <v>1731</v>
      </c>
      <c r="C102" s="6" t="s">
        <v>1903</v>
      </c>
      <c r="D102" s="6" t="s">
        <v>44</v>
      </c>
      <c r="E102" s="6" t="s">
        <v>1904</v>
      </c>
      <c r="F102" s="6" t="s">
        <v>4060</v>
      </c>
      <c r="G102" s="6" t="s">
        <v>1907</v>
      </c>
      <c r="H102" s="6" t="s">
        <v>601</v>
      </c>
      <c r="I102" s="6" t="s">
        <v>1908</v>
      </c>
      <c r="J102" s="6">
        <v>12</v>
      </c>
      <c r="K102" s="6" t="s">
        <v>19</v>
      </c>
      <c r="L102" s="10">
        <v>10.632</v>
      </c>
      <c r="M102" s="6" t="s">
        <v>33</v>
      </c>
      <c r="N102" s="10">
        <f>Tabla12[[#This Row],[Price]]*Tabla12[[#This Row],[QTY Adjusted]]</f>
        <v>127.584</v>
      </c>
      <c r="O102" s="10">
        <v>127.584</v>
      </c>
      <c r="P102" s="10" t="s">
        <v>4225</v>
      </c>
      <c r="Q102" s="6">
        <v>0</v>
      </c>
    </row>
    <row r="103" spans="1:17" ht="42" customHeight="1" x14ac:dyDescent="0.3">
      <c r="A103" s="6">
        <v>1086</v>
      </c>
      <c r="B103" s="6" t="s">
        <v>1731</v>
      </c>
      <c r="C103" s="6" t="s">
        <v>321</v>
      </c>
      <c r="D103" s="6" t="s">
        <v>199</v>
      </c>
      <c r="E103" s="6" t="s">
        <v>1944</v>
      </c>
      <c r="F103" s="6" t="s">
        <v>4059</v>
      </c>
      <c r="G103" s="6" t="s">
        <v>1365</v>
      </c>
      <c r="H103" s="6" t="s">
        <v>295</v>
      </c>
      <c r="I103" s="6" t="s">
        <v>1366</v>
      </c>
      <c r="J103" s="6">
        <v>4</v>
      </c>
      <c r="K103" s="6" t="s">
        <v>19</v>
      </c>
      <c r="L103" s="10">
        <v>31.749994237500001</v>
      </c>
      <c r="M103" s="6" t="s">
        <v>33</v>
      </c>
      <c r="N103" s="10">
        <f>Tabla12[[#This Row],[Price]]*Tabla12[[#This Row],[QTY Adjusted]]</f>
        <v>126.99997695</v>
      </c>
      <c r="O103" s="10">
        <v>126.99997695</v>
      </c>
      <c r="P103" s="10" t="s">
        <v>4225</v>
      </c>
      <c r="Q103" s="6">
        <v>0</v>
      </c>
    </row>
    <row r="104" spans="1:17" ht="42" customHeight="1" x14ac:dyDescent="0.3">
      <c r="A104" s="6">
        <v>1099</v>
      </c>
      <c r="B104" s="6" t="s">
        <v>1731</v>
      </c>
      <c r="C104" s="6" t="s">
        <v>237</v>
      </c>
      <c r="D104" s="6" t="s">
        <v>93</v>
      </c>
      <c r="E104" s="6" t="s">
        <v>1944</v>
      </c>
      <c r="F104" s="6" t="s">
        <v>4059</v>
      </c>
      <c r="G104" s="6" t="s">
        <v>339</v>
      </c>
      <c r="H104" s="6" t="s">
        <v>334</v>
      </c>
      <c r="I104" s="6" t="s">
        <v>340</v>
      </c>
      <c r="J104" s="6">
        <v>3</v>
      </c>
      <c r="K104" s="6" t="s">
        <v>19</v>
      </c>
      <c r="L104" s="10">
        <v>41.19</v>
      </c>
      <c r="M104" s="6" t="s">
        <v>33</v>
      </c>
      <c r="N104" s="10">
        <f>Tabla12[[#This Row],[Price]]*Tabla12[[#This Row],[QTY Adjusted]]</f>
        <v>123.57</v>
      </c>
      <c r="O104" s="10">
        <v>123.57</v>
      </c>
      <c r="P104" s="10" t="s">
        <v>4225</v>
      </c>
      <c r="Q104" s="6">
        <v>0</v>
      </c>
    </row>
    <row r="105" spans="1:17" ht="42" customHeight="1" x14ac:dyDescent="0.3">
      <c r="A105" s="6">
        <v>1035</v>
      </c>
      <c r="B105" s="6" t="s">
        <v>1731</v>
      </c>
      <c r="C105" s="6" t="s">
        <v>1757</v>
      </c>
      <c r="D105" s="6" t="s">
        <v>362</v>
      </c>
      <c r="E105" s="6" t="s">
        <v>1731</v>
      </c>
      <c r="F105" s="6" t="s">
        <v>4060</v>
      </c>
      <c r="G105" s="6" t="s">
        <v>1894</v>
      </c>
      <c r="H105" s="6" t="s">
        <v>1895</v>
      </c>
      <c r="I105" s="6" t="s">
        <v>1896</v>
      </c>
      <c r="J105" s="6">
        <v>24</v>
      </c>
      <c r="K105" s="6" t="s">
        <v>19</v>
      </c>
      <c r="L105" s="10">
        <v>5.1031249999999995</v>
      </c>
      <c r="M105" s="6" t="s">
        <v>33</v>
      </c>
      <c r="N105" s="10">
        <f>Tabla12[[#This Row],[Price]]*Tabla12[[#This Row],[QTY Adjusted]]</f>
        <v>122.47499999999999</v>
      </c>
      <c r="O105" s="10">
        <v>122.47499999999999</v>
      </c>
      <c r="P105" s="10" t="s">
        <v>4225</v>
      </c>
      <c r="Q105" s="6">
        <v>0</v>
      </c>
    </row>
    <row r="106" spans="1:17" ht="42" customHeight="1" x14ac:dyDescent="0.3">
      <c r="A106" s="6">
        <v>1012</v>
      </c>
      <c r="B106" s="6" t="s">
        <v>1731</v>
      </c>
      <c r="C106" s="6" t="s">
        <v>1543</v>
      </c>
      <c r="D106" s="6" t="s">
        <v>44</v>
      </c>
      <c r="E106" s="6" t="s">
        <v>1731</v>
      </c>
      <c r="F106" s="6" t="s">
        <v>4060</v>
      </c>
      <c r="G106" s="6" t="s">
        <v>1843</v>
      </c>
      <c r="H106" s="6" t="s">
        <v>1844</v>
      </c>
      <c r="I106" s="6" t="s">
        <v>1845</v>
      </c>
      <c r="J106" s="6">
        <v>24</v>
      </c>
      <c r="K106" s="6" t="s">
        <v>19</v>
      </c>
      <c r="L106" s="10">
        <v>4.8600000000000003</v>
      </c>
      <c r="M106" s="6" t="s">
        <v>33</v>
      </c>
      <c r="N106" s="10">
        <f>Tabla12[[#This Row],[Price]]*Tabla12[[#This Row],[QTY Adjusted]]</f>
        <v>116.64000000000001</v>
      </c>
      <c r="O106" s="10">
        <v>116.64000000000001</v>
      </c>
      <c r="P106" s="10" t="s">
        <v>4225</v>
      </c>
      <c r="Q106" s="6">
        <v>0</v>
      </c>
    </row>
    <row r="107" spans="1:17" ht="42" customHeight="1" x14ac:dyDescent="0.3">
      <c r="A107" s="6">
        <v>1041</v>
      </c>
      <c r="B107" s="6" t="s">
        <v>1731</v>
      </c>
      <c r="C107" s="6" t="s">
        <v>1903</v>
      </c>
      <c r="D107" s="6" t="s">
        <v>44</v>
      </c>
      <c r="E107" s="6" t="s">
        <v>1904</v>
      </c>
      <c r="F107" s="6" t="s">
        <v>4060</v>
      </c>
      <c r="G107" s="6" t="s">
        <v>1912</v>
      </c>
      <c r="H107" s="6" t="s">
        <v>1913</v>
      </c>
      <c r="I107" s="6" t="s">
        <v>1914</v>
      </c>
      <c r="J107" s="6">
        <v>12</v>
      </c>
      <c r="K107" s="6" t="s">
        <v>19</v>
      </c>
      <c r="L107" s="10">
        <v>9.5519999999999996</v>
      </c>
      <c r="M107" s="6" t="s">
        <v>33</v>
      </c>
      <c r="N107" s="10">
        <f>Tabla12[[#This Row],[Price]]*Tabla12[[#This Row],[QTY Adjusted]]</f>
        <v>114.624</v>
      </c>
      <c r="O107" s="10">
        <v>114.624</v>
      </c>
      <c r="P107" s="10" t="s">
        <v>4225</v>
      </c>
      <c r="Q107" s="6">
        <v>0</v>
      </c>
    </row>
    <row r="108" spans="1:17" ht="42" customHeight="1" x14ac:dyDescent="0.3">
      <c r="A108" s="6">
        <v>1090</v>
      </c>
      <c r="B108" s="6" t="s">
        <v>1731</v>
      </c>
      <c r="C108" s="6" t="s">
        <v>272</v>
      </c>
      <c r="D108" s="6" t="str">
        <f>Tabla12[[#This Row],[Vendor]]</f>
        <v>Spill-Stop</v>
      </c>
      <c r="E108" s="6" t="s">
        <v>1944</v>
      </c>
      <c r="F108" s="6" t="s">
        <v>4059</v>
      </c>
      <c r="G108" s="6" t="s">
        <v>306</v>
      </c>
      <c r="H108" s="6" t="s">
        <v>307</v>
      </c>
      <c r="I108" s="6" t="s">
        <v>308</v>
      </c>
      <c r="J108" s="6">
        <v>48</v>
      </c>
      <c r="K108" s="6" t="s">
        <v>19</v>
      </c>
      <c r="L108" s="10">
        <v>2.2799999999999998</v>
      </c>
      <c r="M108" s="6" t="s">
        <v>33</v>
      </c>
      <c r="N108" s="10">
        <f>Tabla12[[#This Row],[Price]]*Tabla12[[#This Row],[QTY Adjusted]]</f>
        <v>109.44</v>
      </c>
      <c r="O108" s="10">
        <v>109.44</v>
      </c>
      <c r="P108" s="10" t="s">
        <v>4230</v>
      </c>
      <c r="Q108" s="6">
        <v>0</v>
      </c>
    </row>
    <row r="109" spans="1:17" ht="42" customHeight="1" x14ac:dyDescent="0.3">
      <c r="A109" s="6">
        <v>1091</v>
      </c>
      <c r="B109" s="6" t="s">
        <v>1731</v>
      </c>
      <c r="C109" s="6" t="s">
        <v>309</v>
      </c>
      <c r="D109" s="6" t="s">
        <v>44</v>
      </c>
      <c r="E109" s="6" t="s">
        <v>1944</v>
      </c>
      <c r="F109" s="6" t="s">
        <v>4059</v>
      </c>
      <c r="G109" s="6" t="s">
        <v>311</v>
      </c>
      <c r="H109" s="6" t="s">
        <v>312</v>
      </c>
      <c r="I109" s="6" t="s">
        <v>313</v>
      </c>
      <c r="J109" s="6">
        <v>1</v>
      </c>
      <c r="K109" s="6" t="s">
        <v>19</v>
      </c>
      <c r="L109" s="10">
        <v>105.01</v>
      </c>
      <c r="M109" s="6" t="s">
        <v>33</v>
      </c>
      <c r="N109" s="10">
        <f>Tabla12[[#This Row],[Price]]*Tabla12[[#This Row],[QTY Adjusted]]</f>
        <v>105.01</v>
      </c>
      <c r="O109" s="10">
        <v>105.01</v>
      </c>
      <c r="P109" s="10" t="s">
        <v>4225</v>
      </c>
      <c r="Q109" s="6">
        <v>0</v>
      </c>
    </row>
    <row r="110" spans="1:17" ht="42" customHeight="1" x14ac:dyDescent="0.3">
      <c r="A110" s="6">
        <v>1042</v>
      </c>
      <c r="B110" s="6" t="s">
        <v>1731</v>
      </c>
      <c r="C110" s="6" t="s">
        <v>1903</v>
      </c>
      <c r="D110" s="6" t="s">
        <v>44</v>
      </c>
      <c r="E110" s="6" t="s">
        <v>1904</v>
      </c>
      <c r="F110" s="6" t="s">
        <v>4060</v>
      </c>
      <c r="G110" s="6" t="s">
        <v>1915</v>
      </c>
      <c r="H110" s="6" t="s">
        <v>1916</v>
      </c>
      <c r="I110" s="6" t="s">
        <v>1917</v>
      </c>
      <c r="J110" s="6">
        <v>24</v>
      </c>
      <c r="K110" s="6" t="s">
        <v>19</v>
      </c>
      <c r="L110" s="10">
        <v>4.3360000000000003</v>
      </c>
      <c r="M110" s="6" t="s">
        <v>33</v>
      </c>
      <c r="N110" s="10">
        <f>Tabla12[[#This Row],[Price]]*Tabla12[[#This Row],[QTY Adjusted]]</f>
        <v>104.06400000000001</v>
      </c>
      <c r="O110" s="10">
        <v>104.06400000000001</v>
      </c>
      <c r="P110" s="10" t="s">
        <v>4225</v>
      </c>
      <c r="Q110" s="6">
        <v>0</v>
      </c>
    </row>
    <row r="111" spans="1:17" ht="42" customHeight="1" x14ac:dyDescent="0.3">
      <c r="A111" s="6">
        <v>1040</v>
      </c>
      <c r="B111" s="6" t="s">
        <v>1731</v>
      </c>
      <c r="C111" s="6" t="s">
        <v>1903</v>
      </c>
      <c r="D111" s="6" t="s">
        <v>44</v>
      </c>
      <c r="E111" s="6" t="s">
        <v>1904</v>
      </c>
      <c r="F111" s="6" t="s">
        <v>4060</v>
      </c>
      <c r="G111" s="6" t="s">
        <v>1909</v>
      </c>
      <c r="H111" s="6" t="s">
        <v>1910</v>
      </c>
      <c r="I111" s="6" t="s">
        <v>1911</v>
      </c>
      <c r="J111" s="6">
        <v>12</v>
      </c>
      <c r="K111" s="6" t="s">
        <v>19</v>
      </c>
      <c r="L111" s="10">
        <v>7.4640000000000004</v>
      </c>
      <c r="M111" s="6" t="s">
        <v>33</v>
      </c>
      <c r="N111" s="10">
        <f>Tabla12[[#This Row],[Price]]*Tabla12[[#This Row],[QTY Adjusted]]</f>
        <v>89.568000000000012</v>
      </c>
      <c r="O111" s="10">
        <v>89.568000000000012</v>
      </c>
      <c r="P111" s="10" t="s">
        <v>4225</v>
      </c>
      <c r="Q111" s="6">
        <v>0</v>
      </c>
    </row>
    <row r="112" spans="1:17" ht="42" customHeight="1" x14ac:dyDescent="0.3">
      <c r="A112" s="6">
        <v>1056</v>
      </c>
      <c r="B112" s="6" t="s">
        <v>1731</v>
      </c>
      <c r="C112" s="6" t="s">
        <v>1316</v>
      </c>
      <c r="D112" s="6" t="s">
        <v>718</v>
      </c>
      <c r="E112" s="6" t="s">
        <v>1904</v>
      </c>
      <c r="F112" s="6" t="s">
        <v>4062</v>
      </c>
      <c r="G112" s="6" t="s">
        <v>1652</v>
      </c>
      <c r="H112" s="6" t="s">
        <v>1943</v>
      </c>
      <c r="I112" s="6" t="s">
        <v>1653</v>
      </c>
      <c r="J112" s="6">
        <v>24</v>
      </c>
      <c r="K112" s="6" t="s">
        <v>19</v>
      </c>
      <c r="L112" s="10">
        <v>3.7</v>
      </c>
      <c r="M112" s="6" t="s">
        <v>33</v>
      </c>
      <c r="N112" s="10">
        <f>Tabla12[[#This Row],[Price]]*Tabla12[[#This Row],[QTY Adjusted]]</f>
        <v>88.800000000000011</v>
      </c>
      <c r="O112" s="10">
        <v>88.800000000000011</v>
      </c>
      <c r="P112" s="10" t="s">
        <v>4225</v>
      </c>
      <c r="Q112" s="6">
        <v>0</v>
      </c>
    </row>
    <row r="113" spans="1:17" ht="42" customHeight="1" x14ac:dyDescent="0.3">
      <c r="A113" s="6">
        <v>1097</v>
      </c>
      <c r="B113" s="6" t="s">
        <v>1731</v>
      </c>
      <c r="C113" s="6" t="s">
        <v>237</v>
      </c>
      <c r="D113" s="6" t="s">
        <v>93</v>
      </c>
      <c r="E113" s="6" t="s">
        <v>1944</v>
      </c>
      <c r="F113" s="6" t="s">
        <v>4059</v>
      </c>
      <c r="G113" s="6" t="s">
        <v>333</v>
      </c>
      <c r="H113" s="6" t="s">
        <v>334</v>
      </c>
      <c r="I113" s="6" t="s">
        <v>335</v>
      </c>
      <c r="J113" s="6">
        <v>3</v>
      </c>
      <c r="K113" s="6" t="s">
        <v>19</v>
      </c>
      <c r="L113" s="10">
        <v>28.36</v>
      </c>
      <c r="M113" s="6" t="s">
        <v>33</v>
      </c>
      <c r="N113" s="10">
        <f>Tabla12[[#This Row],[Price]]*Tabla12[[#This Row],[QTY Adjusted]]</f>
        <v>85.08</v>
      </c>
      <c r="O113" s="10">
        <v>85.08</v>
      </c>
      <c r="P113" s="10" t="s">
        <v>4225</v>
      </c>
      <c r="Q113" s="6">
        <v>0</v>
      </c>
    </row>
    <row r="114" spans="1:17" ht="42" customHeight="1" x14ac:dyDescent="0.3">
      <c r="A114" s="6">
        <v>1067</v>
      </c>
      <c r="B114" s="6" t="s">
        <v>1731</v>
      </c>
      <c r="C114" s="6" t="s">
        <v>237</v>
      </c>
      <c r="D114" s="6" t="s">
        <v>93</v>
      </c>
      <c r="E114" s="6" t="s">
        <v>1944</v>
      </c>
      <c r="F114" s="6" t="s">
        <v>4059</v>
      </c>
      <c r="G114" s="6" t="s">
        <v>1962</v>
      </c>
      <c r="H114" s="6" t="s">
        <v>245</v>
      </c>
      <c r="I114" s="6" t="s">
        <v>1681</v>
      </c>
      <c r="J114" s="6">
        <v>1</v>
      </c>
      <c r="K114" s="6" t="s">
        <v>19</v>
      </c>
      <c r="L114" s="10">
        <v>83.54</v>
      </c>
      <c r="M114" s="6" t="s">
        <v>33</v>
      </c>
      <c r="N114" s="10">
        <f>Tabla12[[#This Row],[Price]]*Tabla12[[#This Row],[QTY Adjusted]]</f>
        <v>83.54</v>
      </c>
      <c r="O114" s="10">
        <v>83.54</v>
      </c>
      <c r="P114" s="10" t="s">
        <v>4225</v>
      </c>
      <c r="Q114" s="6">
        <v>0</v>
      </c>
    </row>
    <row r="115" spans="1:17" ht="42" customHeight="1" x14ac:dyDescent="0.3">
      <c r="A115" s="6">
        <v>1080</v>
      </c>
      <c r="B115" s="6" t="s">
        <v>1731</v>
      </c>
      <c r="C115" s="6" t="s">
        <v>321</v>
      </c>
      <c r="D115" s="6" t="s">
        <v>199</v>
      </c>
      <c r="E115" s="6" t="s">
        <v>1944</v>
      </c>
      <c r="F115" s="6" t="s">
        <v>4059</v>
      </c>
      <c r="G115" s="6" t="s">
        <v>1352</v>
      </c>
      <c r="H115" s="6" t="s">
        <v>277</v>
      </c>
      <c r="I115" s="6" t="s">
        <v>1353</v>
      </c>
      <c r="J115" s="6">
        <v>3</v>
      </c>
      <c r="K115" s="6" t="s">
        <v>19</v>
      </c>
      <c r="L115" s="10">
        <v>27.439564556250009</v>
      </c>
      <c r="M115" s="6" t="s">
        <v>33</v>
      </c>
      <c r="N115" s="10">
        <f>Tabla12[[#This Row],[Price]]*Tabla12[[#This Row],[QTY Adjusted]]</f>
        <v>82.318693668750029</v>
      </c>
      <c r="O115" s="10">
        <v>82.318693668750029</v>
      </c>
      <c r="P115" s="10" t="s">
        <v>4225</v>
      </c>
      <c r="Q115" s="6">
        <v>0</v>
      </c>
    </row>
    <row r="116" spans="1:17" ht="42" customHeight="1" x14ac:dyDescent="0.3">
      <c r="A116" s="6">
        <v>1102</v>
      </c>
      <c r="B116" s="6" t="s">
        <v>1731</v>
      </c>
      <c r="C116" s="6" t="s">
        <v>329</v>
      </c>
      <c r="D116" s="6" t="s">
        <v>199</v>
      </c>
      <c r="E116" s="6" t="s">
        <v>1944</v>
      </c>
      <c r="F116" s="6" t="s">
        <v>4059</v>
      </c>
      <c r="G116" s="6" t="s">
        <v>346</v>
      </c>
      <c r="H116" s="6" t="s">
        <v>347</v>
      </c>
      <c r="I116" s="6" t="s">
        <v>348</v>
      </c>
      <c r="J116" s="6">
        <v>3</v>
      </c>
      <c r="K116" s="6" t="s">
        <v>19</v>
      </c>
      <c r="L116" s="10">
        <v>27.350190000000001</v>
      </c>
      <c r="M116" s="6" t="s">
        <v>33</v>
      </c>
      <c r="N116" s="10">
        <f>Tabla12[[#This Row],[Price]]*Tabla12[[#This Row],[QTY Adjusted]]</f>
        <v>82.050570000000008</v>
      </c>
      <c r="O116" s="10">
        <v>82.050570000000008</v>
      </c>
      <c r="P116" s="10" t="s">
        <v>4225</v>
      </c>
      <c r="Q116" s="6">
        <v>0</v>
      </c>
    </row>
    <row r="117" spans="1:17" ht="42" customHeight="1" x14ac:dyDescent="0.3">
      <c r="A117" s="6">
        <v>966</v>
      </c>
      <c r="B117" s="6" t="s">
        <v>1731</v>
      </c>
      <c r="C117" s="6" t="s">
        <v>124</v>
      </c>
      <c r="D117" s="6" t="str">
        <f>Tabla12[[#This Row],[Vendor]]</f>
        <v>Impulse</v>
      </c>
      <c r="E117" s="6" t="s">
        <v>1731</v>
      </c>
      <c r="F117" s="6" t="s">
        <v>4062</v>
      </c>
      <c r="G117" s="6" t="s">
        <v>1733</v>
      </c>
      <c r="H117" s="6" t="s">
        <v>1383</v>
      </c>
      <c r="I117" s="6" t="s">
        <v>1734</v>
      </c>
      <c r="J117" s="6">
        <v>18</v>
      </c>
      <c r="K117" s="6" t="s">
        <v>19</v>
      </c>
      <c r="L117" s="10">
        <v>4.25</v>
      </c>
      <c r="M117" s="6" t="s">
        <v>33</v>
      </c>
      <c r="N117" s="10">
        <f>Tabla12[[#This Row],[Price]]*Tabla12[[#This Row],[QTY Adjusted]]</f>
        <v>76.5</v>
      </c>
      <c r="O117" s="10">
        <v>76.5</v>
      </c>
      <c r="P117" s="10" t="s">
        <v>4224</v>
      </c>
      <c r="Q117" s="6">
        <v>0</v>
      </c>
    </row>
    <row r="118" spans="1:17" ht="42" customHeight="1" x14ac:dyDescent="0.3">
      <c r="A118" s="6">
        <v>1081</v>
      </c>
      <c r="B118" s="6" t="s">
        <v>1731</v>
      </c>
      <c r="C118" s="6" t="s">
        <v>321</v>
      </c>
      <c r="D118" s="6" t="s">
        <v>199</v>
      </c>
      <c r="E118" s="6" t="s">
        <v>1944</v>
      </c>
      <c r="F118" s="6" t="s">
        <v>4059</v>
      </c>
      <c r="G118" s="6" t="s">
        <v>1354</v>
      </c>
      <c r="H118" s="6" t="s">
        <v>280</v>
      </c>
      <c r="I118" s="6" t="s">
        <v>1355</v>
      </c>
      <c r="J118" s="6">
        <v>2</v>
      </c>
      <c r="K118" s="6" t="s">
        <v>19</v>
      </c>
      <c r="L118" s="10">
        <v>36.165556350000003</v>
      </c>
      <c r="M118" s="6" t="s">
        <v>33</v>
      </c>
      <c r="N118" s="10">
        <f>Tabla12[[#This Row],[Price]]*Tabla12[[#This Row],[QTY Adjusted]]</f>
        <v>72.331112700000006</v>
      </c>
      <c r="O118" s="10">
        <v>72.331112700000006</v>
      </c>
      <c r="P118" s="10" t="s">
        <v>4225</v>
      </c>
      <c r="Q118" s="6">
        <v>0</v>
      </c>
    </row>
    <row r="119" spans="1:17" ht="42" customHeight="1" x14ac:dyDescent="0.3">
      <c r="A119" s="6">
        <v>1083</v>
      </c>
      <c r="B119" s="6" t="s">
        <v>1731</v>
      </c>
      <c r="C119" s="6" t="s">
        <v>321</v>
      </c>
      <c r="D119" s="6" t="s">
        <v>199</v>
      </c>
      <c r="E119" s="6" t="s">
        <v>1944</v>
      </c>
      <c r="F119" s="6" t="s">
        <v>4059</v>
      </c>
      <c r="G119" s="6" t="s">
        <v>1963</v>
      </c>
      <c r="H119" s="6" t="s">
        <v>286</v>
      </c>
      <c r="I119" s="6" t="s">
        <v>1964</v>
      </c>
      <c r="J119" s="6">
        <v>2</v>
      </c>
      <c r="K119" s="6" t="s">
        <v>19</v>
      </c>
      <c r="L119" s="10">
        <v>35.85015905625</v>
      </c>
      <c r="M119" s="6" t="s">
        <v>33</v>
      </c>
      <c r="N119" s="10">
        <f>Tabla12[[#This Row],[Price]]*Tabla12[[#This Row],[QTY Adjusted]]</f>
        <v>71.7003181125</v>
      </c>
      <c r="O119" s="10">
        <v>71.7003181125</v>
      </c>
      <c r="P119" s="10" t="s">
        <v>4225</v>
      </c>
      <c r="Q119" s="6">
        <v>0</v>
      </c>
    </row>
    <row r="120" spans="1:17" ht="42" customHeight="1" x14ac:dyDescent="0.3">
      <c r="A120" s="6">
        <v>1066</v>
      </c>
      <c r="B120" s="6" t="s">
        <v>1731</v>
      </c>
      <c r="C120" s="6" t="s">
        <v>237</v>
      </c>
      <c r="D120" s="6" t="s">
        <v>93</v>
      </c>
      <c r="E120" s="6" t="s">
        <v>1944</v>
      </c>
      <c r="F120" s="6" t="s">
        <v>4059</v>
      </c>
      <c r="G120" s="6" t="s">
        <v>1960</v>
      </c>
      <c r="H120" s="6" t="s">
        <v>242</v>
      </c>
      <c r="I120" s="6" t="s">
        <v>1961</v>
      </c>
      <c r="J120" s="6">
        <v>1</v>
      </c>
      <c r="K120" s="6" t="s">
        <v>19</v>
      </c>
      <c r="L120" s="10">
        <v>70.900000000000006</v>
      </c>
      <c r="M120" s="6" t="s">
        <v>33</v>
      </c>
      <c r="N120" s="10">
        <f>Tabla12[[#This Row],[Price]]*Tabla12[[#This Row],[QTY Adjusted]]</f>
        <v>70.900000000000006</v>
      </c>
      <c r="O120" s="10">
        <v>70.900000000000006</v>
      </c>
      <c r="P120" s="10" t="s">
        <v>4225</v>
      </c>
      <c r="Q120" s="6">
        <v>0</v>
      </c>
    </row>
    <row r="121" spans="1:17" ht="42" customHeight="1" x14ac:dyDescent="0.3">
      <c r="A121" s="6">
        <v>1013</v>
      </c>
      <c r="B121" s="6" t="s">
        <v>1731</v>
      </c>
      <c r="C121" s="6" t="s">
        <v>1543</v>
      </c>
      <c r="D121" s="6" t="s">
        <v>44</v>
      </c>
      <c r="E121" s="6" t="s">
        <v>1731</v>
      </c>
      <c r="F121" s="6" t="s">
        <v>4062</v>
      </c>
      <c r="G121" s="6" t="s">
        <v>1547</v>
      </c>
      <c r="H121" s="6" t="s">
        <v>1846</v>
      </c>
      <c r="I121" s="6" t="s">
        <v>1847</v>
      </c>
      <c r="J121" s="6">
        <v>12</v>
      </c>
      <c r="K121" s="6" t="s">
        <v>19</v>
      </c>
      <c r="L121" s="10">
        <v>5.76</v>
      </c>
      <c r="M121" s="6" t="s">
        <v>33</v>
      </c>
      <c r="N121" s="10">
        <f>Tabla12[[#This Row],[Price]]*Tabla12[[#This Row],[QTY Adjusted]]</f>
        <v>69.12</v>
      </c>
      <c r="O121" s="10">
        <v>69.12</v>
      </c>
      <c r="P121" s="10" t="s">
        <v>4225</v>
      </c>
      <c r="Q121" s="6">
        <v>0</v>
      </c>
    </row>
    <row r="122" spans="1:17" ht="42" customHeight="1" x14ac:dyDescent="0.3">
      <c r="A122" s="6">
        <v>1026</v>
      </c>
      <c r="B122" s="6" t="s">
        <v>1731</v>
      </c>
      <c r="C122" s="6" t="s">
        <v>228</v>
      </c>
      <c r="D122" s="6" t="s">
        <v>44</v>
      </c>
      <c r="E122" s="6" t="s">
        <v>1731</v>
      </c>
      <c r="F122" s="6" t="s">
        <v>4062</v>
      </c>
      <c r="G122" s="6" t="s">
        <v>1868</v>
      </c>
      <c r="H122" s="6" t="s">
        <v>962</v>
      </c>
      <c r="I122" s="6" t="s">
        <v>1869</v>
      </c>
      <c r="J122" s="6">
        <v>24</v>
      </c>
      <c r="K122" s="6" t="s">
        <v>19</v>
      </c>
      <c r="L122" s="10">
        <v>2.871</v>
      </c>
      <c r="M122" s="6" t="s">
        <v>33</v>
      </c>
      <c r="N122" s="10">
        <f>Tabla12[[#This Row],[Price]]*Tabla12[[#This Row],[QTY Adjusted]]</f>
        <v>68.903999999999996</v>
      </c>
      <c r="O122" s="10">
        <v>68.903999999999996</v>
      </c>
      <c r="P122" s="10" t="s">
        <v>4225</v>
      </c>
      <c r="Q122" s="6">
        <v>0</v>
      </c>
    </row>
    <row r="123" spans="1:17" ht="42" customHeight="1" x14ac:dyDescent="0.3">
      <c r="A123" s="6">
        <v>1028</v>
      </c>
      <c r="B123" s="6" t="s">
        <v>1731</v>
      </c>
      <c r="C123" s="6" t="s">
        <v>130</v>
      </c>
      <c r="D123" s="6" t="s">
        <v>130</v>
      </c>
      <c r="E123" s="6" t="s">
        <v>1731</v>
      </c>
      <c r="F123" s="6" t="s">
        <v>4062</v>
      </c>
      <c r="G123" s="6" t="s">
        <v>1873</v>
      </c>
      <c r="H123" s="6" t="s">
        <v>1874</v>
      </c>
      <c r="I123" s="6" t="s">
        <v>1875</v>
      </c>
      <c r="J123" s="6">
        <v>24</v>
      </c>
      <c r="K123" s="6" t="s">
        <v>19</v>
      </c>
      <c r="L123" s="10">
        <v>2.728583409208901</v>
      </c>
      <c r="M123" s="6" t="s">
        <v>33</v>
      </c>
      <c r="N123" s="10">
        <f>Tabla12[[#This Row],[Price]]*Tabla12[[#This Row],[QTY Adjusted]]</f>
        <v>65.486001821013616</v>
      </c>
      <c r="O123" s="10">
        <v>65.486001821013616</v>
      </c>
      <c r="P123" s="10" t="s">
        <v>4225</v>
      </c>
      <c r="Q123" s="6">
        <v>0</v>
      </c>
    </row>
    <row r="124" spans="1:17" ht="42" customHeight="1" x14ac:dyDescent="0.3">
      <c r="A124" s="6">
        <v>1084</v>
      </c>
      <c r="B124" s="6" t="s">
        <v>1731</v>
      </c>
      <c r="C124" s="6" t="s">
        <v>321</v>
      </c>
      <c r="D124" s="6" t="s">
        <v>199</v>
      </c>
      <c r="E124" s="6" t="s">
        <v>1944</v>
      </c>
      <c r="F124" s="6" t="s">
        <v>4059</v>
      </c>
      <c r="G124" s="6" t="s">
        <v>1361</v>
      </c>
      <c r="H124" s="6" t="s">
        <v>289</v>
      </c>
      <c r="I124" s="6" t="s">
        <v>1362</v>
      </c>
      <c r="J124" s="6">
        <v>2</v>
      </c>
      <c r="K124" s="6" t="s">
        <v>19</v>
      </c>
      <c r="L124" s="10">
        <v>29.647345612500001</v>
      </c>
      <c r="M124" s="6" t="s">
        <v>33</v>
      </c>
      <c r="N124" s="10">
        <f>Tabla12[[#This Row],[Price]]*Tabla12[[#This Row],[QTY Adjusted]]</f>
        <v>59.294691225000001</v>
      </c>
      <c r="O124" s="10">
        <v>59.294691225000001</v>
      </c>
      <c r="P124" s="10" t="s">
        <v>4225</v>
      </c>
      <c r="Q124" s="6">
        <v>0</v>
      </c>
    </row>
    <row r="125" spans="1:17" ht="42" customHeight="1" x14ac:dyDescent="0.3">
      <c r="A125" s="6">
        <v>1082</v>
      </c>
      <c r="B125" s="6" t="s">
        <v>1731</v>
      </c>
      <c r="C125" s="6" t="s">
        <v>321</v>
      </c>
      <c r="D125" s="6" t="s">
        <v>199</v>
      </c>
      <c r="E125" s="6" t="s">
        <v>1944</v>
      </c>
      <c r="F125" s="6" t="s">
        <v>4059</v>
      </c>
      <c r="G125" s="6" t="s">
        <v>1356</v>
      </c>
      <c r="H125" s="6" t="s">
        <v>756</v>
      </c>
      <c r="I125" s="6" t="s">
        <v>1358</v>
      </c>
      <c r="J125" s="6">
        <v>2</v>
      </c>
      <c r="K125" s="6" t="s">
        <v>19</v>
      </c>
      <c r="L125" s="10">
        <v>29.542213181250013</v>
      </c>
      <c r="M125" s="6" t="s">
        <v>33</v>
      </c>
      <c r="N125" s="10">
        <f>Tabla12[[#This Row],[Price]]*Tabla12[[#This Row],[QTY Adjusted]]</f>
        <v>59.084426362500025</v>
      </c>
      <c r="O125" s="10">
        <v>59.084426362500025</v>
      </c>
      <c r="P125" s="10" t="s">
        <v>4225</v>
      </c>
      <c r="Q125" s="6">
        <v>0</v>
      </c>
    </row>
    <row r="126" spans="1:17" ht="42" customHeight="1" x14ac:dyDescent="0.3">
      <c r="A126" s="6">
        <v>1100</v>
      </c>
      <c r="B126" s="6" t="s">
        <v>1731</v>
      </c>
      <c r="C126" s="6" t="s">
        <v>237</v>
      </c>
      <c r="D126" s="6" t="s">
        <v>93</v>
      </c>
      <c r="E126" s="6" t="s">
        <v>1944</v>
      </c>
      <c r="F126" s="6" t="s">
        <v>4059</v>
      </c>
      <c r="G126" s="6" t="s">
        <v>341</v>
      </c>
      <c r="H126" s="6" t="s">
        <v>337</v>
      </c>
      <c r="I126" s="6" t="s">
        <v>342</v>
      </c>
      <c r="J126" s="6">
        <v>3</v>
      </c>
      <c r="K126" s="6" t="s">
        <v>19</v>
      </c>
      <c r="L126" s="10">
        <v>16.690000000000001</v>
      </c>
      <c r="M126" s="6" t="s">
        <v>33</v>
      </c>
      <c r="N126" s="10">
        <f>Tabla12[[#This Row],[Price]]*Tabla12[[#This Row],[QTY Adjusted]]</f>
        <v>50.070000000000007</v>
      </c>
      <c r="O126" s="10">
        <v>50.070000000000007</v>
      </c>
      <c r="P126" s="10" t="s">
        <v>4225</v>
      </c>
      <c r="Q126" s="6">
        <v>0</v>
      </c>
    </row>
    <row r="127" spans="1:17" ht="42" customHeight="1" x14ac:dyDescent="0.3">
      <c r="A127" s="6">
        <v>1094</v>
      </c>
      <c r="B127" s="6" t="s">
        <v>1731</v>
      </c>
      <c r="C127" s="6" t="s">
        <v>321</v>
      </c>
      <c r="D127" s="6" t="s">
        <v>199</v>
      </c>
      <c r="E127" s="6" t="s">
        <v>1944</v>
      </c>
      <c r="F127" s="6" t="s">
        <v>4059</v>
      </c>
      <c r="G127" s="6" t="s">
        <v>322</v>
      </c>
      <c r="H127" s="6" t="s">
        <v>323</v>
      </c>
      <c r="I127" s="6" t="s">
        <v>324</v>
      </c>
      <c r="J127" s="6">
        <v>2</v>
      </c>
      <c r="K127" s="6" t="s">
        <v>19</v>
      </c>
      <c r="L127" s="10">
        <v>20.500824093750008</v>
      </c>
      <c r="M127" s="6" t="s">
        <v>33</v>
      </c>
      <c r="N127" s="10">
        <f>Tabla12[[#This Row],[Price]]*Tabla12[[#This Row],[QTY Adjusted]]</f>
        <v>41.001648187500017</v>
      </c>
      <c r="O127" s="10">
        <v>41.001648187500017</v>
      </c>
      <c r="P127" s="10" t="s">
        <v>4225</v>
      </c>
      <c r="Q127" s="6">
        <v>0</v>
      </c>
    </row>
    <row r="128" spans="1:17" ht="42" customHeight="1" x14ac:dyDescent="0.3">
      <c r="A128" s="6">
        <v>1085</v>
      </c>
      <c r="B128" s="6" t="s">
        <v>1731</v>
      </c>
      <c r="C128" s="6" t="s">
        <v>321</v>
      </c>
      <c r="D128" s="6" t="s">
        <v>199</v>
      </c>
      <c r="E128" s="6" t="s">
        <v>1944</v>
      </c>
      <c r="F128" s="6" t="s">
        <v>4059</v>
      </c>
      <c r="G128" s="6" t="s">
        <v>1363</v>
      </c>
      <c r="H128" s="6" t="s">
        <v>292</v>
      </c>
      <c r="I128" s="6" t="s">
        <v>1364</v>
      </c>
      <c r="J128" s="6">
        <v>2</v>
      </c>
      <c r="K128" s="6" t="s">
        <v>19</v>
      </c>
      <c r="L128" s="10">
        <v>19.975161937500005</v>
      </c>
      <c r="M128" s="6" t="s">
        <v>33</v>
      </c>
      <c r="N128" s="10">
        <f>Tabla12[[#This Row],[Price]]*Tabla12[[#This Row],[QTY Adjusted]]</f>
        <v>39.950323875000009</v>
      </c>
      <c r="O128" s="10">
        <v>39.950323875000009</v>
      </c>
      <c r="P128" s="10" t="s">
        <v>4225</v>
      </c>
      <c r="Q128" s="6">
        <v>0</v>
      </c>
    </row>
    <row r="129" spans="1:17" ht="42" customHeight="1" x14ac:dyDescent="0.3">
      <c r="A129" s="6">
        <v>1105</v>
      </c>
      <c r="B129" s="6" t="s">
        <v>1731</v>
      </c>
      <c r="C129" s="6" t="s">
        <v>272</v>
      </c>
      <c r="D129" s="6" t="str">
        <f>Tabla12[[#This Row],[Vendor]]</f>
        <v>Spill-Stop</v>
      </c>
      <c r="E129" s="6" t="s">
        <v>1944</v>
      </c>
      <c r="F129" s="6" t="s">
        <v>4059</v>
      </c>
      <c r="G129" s="6" t="s">
        <v>355</v>
      </c>
      <c r="H129" s="6" t="s">
        <v>347</v>
      </c>
      <c r="I129" s="6" t="s">
        <v>356</v>
      </c>
      <c r="J129" s="6">
        <v>4</v>
      </c>
      <c r="K129" s="6" t="s">
        <v>19</v>
      </c>
      <c r="L129" s="10">
        <v>9.08</v>
      </c>
      <c r="M129" s="6" t="s">
        <v>33</v>
      </c>
      <c r="N129" s="10">
        <f>Tabla12[[#This Row],[Price]]*Tabla12[[#This Row],[QTY Adjusted]]</f>
        <v>36.32</v>
      </c>
      <c r="O129" s="10">
        <v>36.32</v>
      </c>
      <c r="P129" s="10" t="s">
        <v>4230</v>
      </c>
      <c r="Q129" s="6">
        <v>0</v>
      </c>
    </row>
    <row r="130" spans="1:17" ht="42" customHeight="1" x14ac:dyDescent="0.3">
      <c r="A130" s="6">
        <v>1098</v>
      </c>
      <c r="B130" s="6" t="s">
        <v>1731</v>
      </c>
      <c r="C130" s="6" t="s">
        <v>237</v>
      </c>
      <c r="D130" s="6" t="s">
        <v>93</v>
      </c>
      <c r="E130" s="6" t="s">
        <v>1944</v>
      </c>
      <c r="F130" s="6" t="s">
        <v>4059</v>
      </c>
      <c r="G130" s="6" t="s">
        <v>336</v>
      </c>
      <c r="H130" s="6" t="s">
        <v>337</v>
      </c>
      <c r="I130" s="6" t="s">
        <v>338</v>
      </c>
      <c r="J130" s="6">
        <v>3</v>
      </c>
      <c r="K130" s="6" t="s">
        <v>19</v>
      </c>
      <c r="L130" s="10">
        <v>11.86</v>
      </c>
      <c r="M130" s="6" t="s">
        <v>33</v>
      </c>
      <c r="N130" s="10">
        <f>Tabla12[[#This Row],[Price]]*Tabla12[[#This Row],[QTY Adjusted]]</f>
        <v>35.58</v>
      </c>
      <c r="O130" s="10">
        <v>35.58</v>
      </c>
      <c r="P130" s="10" t="s">
        <v>4225</v>
      </c>
      <c r="Q130" s="6">
        <v>0</v>
      </c>
    </row>
    <row r="131" spans="1:17" ht="42" customHeight="1" x14ac:dyDescent="0.3">
      <c r="A131" s="6">
        <v>1078</v>
      </c>
      <c r="B131" s="6" t="s">
        <v>1731</v>
      </c>
      <c r="C131" s="6" t="s">
        <v>266</v>
      </c>
      <c r="D131" s="6" t="s">
        <v>44</v>
      </c>
      <c r="E131" s="6" t="s">
        <v>1944</v>
      </c>
      <c r="F131" s="6" t="s">
        <v>4059</v>
      </c>
      <c r="G131" s="6" t="s">
        <v>270</v>
      </c>
      <c r="H131" s="6" t="s">
        <v>268</v>
      </c>
      <c r="I131" s="6" t="s">
        <v>271</v>
      </c>
      <c r="J131" s="6">
        <v>3</v>
      </c>
      <c r="K131" s="6" t="s">
        <v>19</v>
      </c>
      <c r="L131" s="10">
        <v>9.984</v>
      </c>
      <c r="M131" s="6" t="s">
        <v>33</v>
      </c>
      <c r="N131" s="10">
        <f>Tabla12[[#This Row],[Price]]*Tabla12[[#This Row],[QTY Adjusted]]</f>
        <v>29.951999999999998</v>
      </c>
      <c r="O131" s="10">
        <v>29.951999999999998</v>
      </c>
      <c r="P131" s="10" t="s">
        <v>4225</v>
      </c>
      <c r="Q131" s="6">
        <v>0</v>
      </c>
    </row>
    <row r="132" spans="1:17" ht="42" customHeight="1" x14ac:dyDescent="0.3">
      <c r="A132" s="6">
        <v>1077</v>
      </c>
      <c r="B132" s="6" t="s">
        <v>1731</v>
      </c>
      <c r="C132" s="6" t="s">
        <v>266</v>
      </c>
      <c r="D132" s="6" t="s">
        <v>44</v>
      </c>
      <c r="E132" s="6" t="s">
        <v>1944</v>
      </c>
      <c r="F132" s="6" t="s">
        <v>4059</v>
      </c>
      <c r="G132" s="6" t="s">
        <v>267</v>
      </c>
      <c r="H132" s="6" t="s">
        <v>268</v>
      </c>
      <c r="I132" s="6" t="s">
        <v>269</v>
      </c>
      <c r="J132" s="6">
        <v>3</v>
      </c>
      <c r="K132" s="6" t="s">
        <v>19</v>
      </c>
      <c r="L132" s="10">
        <v>9.98</v>
      </c>
      <c r="M132" s="6" t="s">
        <v>33</v>
      </c>
      <c r="N132" s="10">
        <f>Tabla12[[#This Row],[Price]]*Tabla12[[#This Row],[QTY Adjusted]]</f>
        <v>29.94</v>
      </c>
      <c r="O132" s="10">
        <v>29.94</v>
      </c>
      <c r="P132" s="10" t="s">
        <v>4225</v>
      </c>
      <c r="Q132" s="6">
        <v>0</v>
      </c>
    </row>
    <row r="133" spans="1:17" ht="42" customHeight="1" x14ac:dyDescent="0.3">
      <c r="A133" s="6">
        <v>1079</v>
      </c>
      <c r="B133" s="6" t="s">
        <v>1731</v>
      </c>
      <c r="C133" s="6" t="s">
        <v>272</v>
      </c>
      <c r="D133" s="6" t="str">
        <f>Tabla12[[#This Row],[Vendor]]</f>
        <v>Spill-Stop</v>
      </c>
      <c r="E133" s="6" t="s">
        <v>1944</v>
      </c>
      <c r="F133" s="6" t="s">
        <v>4059</v>
      </c>
      <c r="G133" s="6" t="s">
        <v>273</v>
      </c>
      <c r="H133" s="6" t="s">
        <v>274</v>
      </c>
      <c r="I133" s="6" t="s">
        <v>275</v>
      </c>
      <c r="J133" s="6">
        <v>1</v>
      </c>
      <c r="K133" s="6" t="s">
        <v>748</v>
      </c>
      <c r="L133" s="10">
        <v>28.8</v>
      </c>
      <c r="M133" s="6" t="s">
        <v>33</v>
      </c>
      <c r="N133" s="10">
        <f>Tabla12[[#This Row],[Price]]*Tabla12[[#This Row],[QTY Adjusted]]</f>
        <v>28.8</v>
      </c>
      <c r="O133" s="10">
        <v>28.8</v>
      </c>
      <c r="P133" s="10" t="s">
        <v>4230</v>
      </c>
      <c r="Q133" s="6">
        <v>0</v>
      </c>
    </row>
    <row r="134" spans="1:17" ht="42" customHeight="1" x14ac:dyDescent="0.3">
      <c r="A134" s="6">
        <v>1101</v>
      </c>
      <c r="B134" s="6" t="s">
        <v>1731</v>
      </c>
      <c r="C134" s="6" t="s">
        <v>321</v>
      </c>
      <c r="D134" s="6" t="s">
        <v>199</v>
      </c>
      <c r="E134" s="6" t="s">
        <v>1944</v>
      </c>
      <c r="F134" s="6" t="s">
        <v>4059</v>
      </c>
      <c r="G134" s="6" t="s">
        <v>343</v>
      </c>
      <c r="H134" s="6" t="s">
        <v>344</v>
      </c>
      <c r="I134" s="6" t="s">
        <v>345</v>
      </c>
      <c r="J134" s="6">
        <v>1</v>
      </c>
      <c r="K134" s="6" t="s">
        <v>19</v>
      </c>
      <c r="L134" s="10">
        <v>24.180459187500002</v>
      </c>
      <c r="M134" s="6" t="s">
        <v>33</v>
      </c>
      <c r="N134" s="10">
        <f>Tabla12[[#This Row],[Price]]*Tabla12[[#This Row],[QTY Adjusted]]</f>
        <v>24.180459187500002</v>
      </c>
      <c r="O134" s="10">
        <v>24.180459187500002</v>
      </c>
      <c r="P134" s="10" t="s">
        <v>4225</v>
      </c>
      <c r="Q134" s="6">
        <v>0</v>
      </c>
    </row>
    <row r="135" spans="1:17" ht="42" customHeight="1" x14ac:dyDescent="0.3">
      <c r="A135" s="6">
        <v>1114</v>
      </c>
      <c r="B135" s="6" t="s">
        <v>1731</v>
      </c>
      <c r="C135" s="6" t="s">
        <v>329</v>
      </c>
      <c r="D135" s="6" t="s">
        <v>199</v>
      </c>
      <c r="E135" s="6" t="s">
        <v>1944</v>
      </c>
      <c r="F135" s="6" t="s">
        <v>4059</v>
      </c>
      <c r="G135" s="6" t="s">
        <v>382</v>
      </c>
      <c r="H135" s="6" t="s">
        <v>383</v>
      </c>
      <c r="I135" s="6" t="s">
        <v>384</v>
      </c>
      <c r="J135" s="6">
        <v>1</v>
      </c>
      <c r="K135" s="6" t="s">
        <v>19</v>
      </c>
      <c r="L135" s="10">
        <v>22.307670000000002</v>
      </c>
      <c r="M135" s="6" t="s">
        <v>33</v>
      </c>
      <c r="N135" s="10">
        <f>Tabla12[[#This Row],[Price]]*Tabla12[[#This Row],[QTY Adjusted]]</f>
        <v>22.307670000000002</v>
      </c>
      <c r="O135" s="10">
        <v>22.307670000000002</v>
      </c>
      <c r="P135" s="10" t="s">
        <v>4225</v>
      </c>
      <c r="Q135" s="6">
        <v>0</v>
      </c>
    </row>
    <row r="136" spans="1:17" ht="42" customHeight="1" x14ac:dyDescent="0.3">
      <c r="A136" s="6">
        <v>1108</v>
      </c>
      <c r="B136" s="6" t="s">
        <v>1731</v>
      </c>
      <c r="C136" s="6" t="s">
        <v>329</v>
      </c>
      <c r="D136" s="6" t="s">
        <v>199</v>
      </c>
      <c r="E136" s="6" t="s">
        <v>1944</v>
      </c>
      <c r="F136" s="6" t="s">
        <v>4059</v>
      </c>
      <c r="G136" s="6" t="s">
        <v>366</v>
      </c>
      <c r="H136" s="6" t="s">
        <v>367</v>
      </c>
      <c r="I136" s="6" t="s">
        <v>368</v>
      </c>
      <c r="J136" s="6">
        <v>3</v>
      </c>
      <c r="K136" s="6" t="s">
        <v>19</v>
      </c>
      <c r="L136" s="10">
        <v>7.3993499999999992</v>
      </c>
      <c r="M136" s="6" t="s">
        <v>33</v>
      </c>
      <c r="N136" s="10">
        <f>Tabla12[[#This Row],[Price]]*Tabla12[[#This Row],[QTY Adjusted]]</f>
        <v>22.198049999999999</v>
      </c>
      <c r="O136" s="10">
        <v>22.198049999999999</v>
      </c>
      <c r="P136" s="10" t="s">
        <v>4225</v>
      </c>
      <c r="Q136" s="6">
        <v>0</v>
      </c>
    </row>
    <row r="137" spans="1:17" ht="42" customHeight="1" x14ac:dyDescent="0.3">
      <c r="A137" s="6">
        <v>1103</v>
      </c>
      <c r="B137" s="6" t="s">
        <v>1731</v>
      </c>
      <c r="C137" s="6" t="s">
        <v>228</v>
      </c>
      <c r="D137" s="6" t="s">
        <v>44</v>
      </c>
      <c r="E137" s="6" t="s">
        <v>1944</v>
      </c>
      <c r="F137" s="6" t="s">
        <v>4059</v>
      </c>
      <c r="G137" s="6" t="s">
        <v>349</v>
      </c>
      <c r="H137" s="6" t="s">
        <v>350</v>
      </c>
      <c r="I137" s="20" t="s">
        <v>351</v>
      </c>
      <c r="J137" s="6">
        <v>2</v>
      </c>
      <c r="K137" s="6" t="s">
        <v>19</v>
      </c>
      <c r="L137" s="10">
        <v>9.8800000000000008</v>
      </c>
      <c r="M137" s="6" t="s">
        <v>33</v>
      </c>
      <c r="N137" s="10">
        <f>Tabla12[[#This Row],[Price]]*Tabla12[[#This Row],[QTY Adjusted]]</f>
        <v>19.760000000000002</v>
      </c>
      <c r="O137" s="10">
        <v>19.760000000000002</v>
      </c>
      <c r="P137" s="10" t="s">
        <v>4218</v>
      </c>
      <c r="Q137" s="6" t="s">
        <v>4245</v>
      </c>
    </row>
    <row r="138" spans="1:17" ht="42" customHeight="1" x14ac:dyDescent="0.3">
      <c r="A138" s="6">
        <v>1112</v>
      </c>
      <c r="B138" s="6" t="s">
        <v>1731</v>
      </c>
      <c r="C138" s="6" t="s">
        <v>92</v>
      </c>
      <c r="D138" s="6" t="s">
        <v>93</v>
      </c>
      <c r="E138" s="6" t="s">
        <v>1944</v>
      </c>
      <c r="F138" s="6" t="s">
        <v>4059</v>
      </c>
      <c r="G138" s="6" t="s">
        <v>377</v>
      </c>
      <c r="H138" s="6" t="s">
        <v>373</v>
      </c>
      <c r="I138" s="20" t="s">
        <v>378</v>
      </c>
      <c r="J138" s="6">
        <v>2</v>
      </c>
      <c r="K138" s="6" t="s">
        <v>19</v>
      </c>
      <c r="L138" s="10">
        <v>9.2200000000000006</v>
      </c>
      <c r="M138" s="6" t="s">
        <v>33</v>
      </c>
      <c r="N138" s="10">
        <f>Tabla12[[#This Row],[Price]]*Tabla12[[#This Row],[QTY Adjusted]]</f>
        <v>18.440000000000001</v>
      </c>
      <c r="O138" s="10">
        <v>18.440000000000001</v>
      </c>
      <c r="P138" s="10" t="s">
        <v>4228</v>
      </c>
      <c r="Q138" s="6" t="s">
        <v>4245</v>
      </c>
    </row>
    <row r="139" spans="1:17" ht="42" customHeight="1" x14ac:dyDescent="0.3">
      <c r="A139" s="6">
        <v>1087</v>
      </c>
      <c r="B139" s="6" t="s">
        <v>1731</v>
      </c>
      <c r="C139" s="6" t="s">
        <v>228</v>
      </c>
      <c r="D139" s="6" t="s">
        <v>44</v>
      </c>
      <c r="E139" s="6" t="s">
        <v>1944</v>
      </c>
      <c r="F139" s="6" t="s">
        <v>4059</v>
      </c>
      <c r="G139" s="6" t="s">
        <v>297</v>
      </c>
      <c r="H139" s="6" t="s">
        <v>298</v>
      </c>
      <c r="I139" s="6" t="s">
        <v>299</v>
      </c>
      <c r="J139" s="6">
        <v>2</v>
      </c>
      <c r="K139" s="6" t="s">
        <v>19</v>
      </c>
      <c r="L139" s="10">
        <v>9.07</v>
      </c>
      <c r="M139" s="6" t="s">
        <v>33</v>
      </c>
      <c r="N139" s="10">
        <f>Tabla12[[#This Row],[Price]]*Tabla12[[#This Row],[QTY Adjusted]]</f>
        <v>18.14</v>
      </c>
      <c r="O139" s="10">
        <v>18.14</v>
      </c>
      <c r="P139" s="22" t="s">
        <v>4225</v>
      </c>
      <c r="Q139" s="6">
        <v>0</v>
      </c>
    </row>
    <row r="140" spans="1:17" ht="42" customHeight="1" x14ac:dyDescent="0.3">
      <c r="A140" s="6">
        <v>1088</v>
      </c>
      <c r="B140" s="6" t="s">
        <v>1731</v>
      </c>
      <c r="C140" s="6" t="s">
        <v>228</v>
      </c>
      <c r="D140" s="6" t="s">
        <v>44</v>
      </c>
      <c r="E140" s="6" t="s">
        <v>1944</v>
      </c>
      <c r="F140" s="6" t="s">
        <v>4059</v>
      </c>
      <c r="G140" s="6" t="s">
        <v>300</v>
      </c>
      <c r="H140" s="6" t="s">
        <v>301</v>
      </c>
      <c r="I140" s="6" t="s">
        <v>302</v>
      </c>
      <c r="J140" s="6">
        <v>4</v>
      </c>
      <c r="K140" s="6" t="s">
        <v>19</v>
      </c>
      <c r="L140" s="10">
        <v>3.99</v>
      </c>
      <c r="M140" s="6" t="s">
        <v>33</v>
      </c>
      <c r="N140" s="10">
        <f>Tabla12[[#This Row],[Price]]*Tabla12[[#This Row],[QTY Adjusted]]</f>
        <v>15.96</v>
      </c>
      <c r="O140" s="10">
        <v>15.96</v>
      </c>
      <c r="P140" s="22" t="s">
        <v>4225</v>
      </c>
      <c r="Q140" s="6">
        <v>0</v>
      </c>
    </row>
    <row r="141" spans="1:17" ht="42" customHeight="1" x14ac:dyDescent="0.3">
      <c r="A141" s="6">
        <v>1104</v>
      </c>
      <c r="B141" s="6" t="s">
        <v>1731</v>
      </c>
      <c r="C141" s="6" t="s">
        <v>329</v>
      </c>
      <c r="D141" s="6" t="s">
        <v>199</v>
      </c>
      <c r="E141" s="6" t="s">
        <v>1944</v>
      </c>
      <c r="F141" s="6" t="s">
        <v>4059</v>
      </c>
      <c r="G141" s="6" t="s">
        <v>352</v>
      </c>
      <c r="H141" s="6" t="s">
        <v>353</v>
      </c>
      <c r="I141" s="6" t="s">
        <v>354</v>
      </c>
      <c r="J141" s="6">
        <v>1</v>
      </c>
      <c r="K141" s="6" t="s">
        <v>19</v>
      </c>
      <c r="L141" s="10">
        <v>14.935724999999998</v>
      </c>
      <c r="M141" s="6" t="s">
        <v>33</v>
      </c>
      <c r="N141" s="10">
        <f>Tabla12[[#This Row],[Price]]*Tabla12[[#This Row],[QTY Adjusted]]</f>
        <v>14.935724999999998</v>
      </c>
      <c r="O141" s="10">
        <v>14.935724999999998</v>
      </c>
      <c r="P141" s="10" t="s">
        <v>4225</v>
      </c>
      <c r="Q141" s="6">
        <v>0</v>
      </c>
    </row>
    <row r="142" spans="1:17" ht="42" customHeight="1" x14ac:dyDescent="0.3">
      <c r="A142" s="6">
        <v>1110</v>
      </c>
      <c r="B142" s="6" t="s">
        <v>1731</v>
      </c>
      <c r="C142" s="6" t="s">
        <v>371</v>
      </c>
      <c r="D142" s="6" t="str">
        <f>Tabla12[[#This Row],[Vendor]]</f>
        <v>Franmara</v>
      </c>
      <c r="E142" s="6" t="s">
        <v>1944</v>
      </c>
      <c r="F142" s="6" t="s">
        <v>4059</v>
      </c>
      <c r="G142" s="6" t="s">
        <v>372</v>
      </c>
      <c r="H142" s="6" t="s">
        <v>373</v>
      </c>
      <c r="I142" s="6" t="s">
        <v>374</v>
      </c>
      <c r="J142" s="6">
        <v>2</v>
      </c>
      <c r="K142" s="6" t="s">
        <v>19</v>
      </c>
      <c r="L142" s="10">
        <v>6.5</v>
      </c>
      <c r="M142" s="6" t="s">
        <v>33</v>
      </c>
      <c r="N142" s="10">
        <f>Tabla12[[#This Row],[Price]]*Tabla12[[#This Row],[QTY Adjusted]]</f>
        <v>13</v>
      </c>
      <c r="O142" s="10">
        <v>13</v>
      </c>
      <c r="P142" s="10" t="s">
        <v>4239</v>
      </c>
      <c r="Q142" s="6">
        <v>0</v>
      </c>
    </row>
    <row r="143" spans="1:17" ht="42" customHeight="1" x14ac:dyDescent="0.3">
      <c r="A143" s="6">
        <v>1106</v>
      </c>
      <c r="B143" s="6" t="s">
        <v>1731</v>
      </c>
      <c r="C143" s="6" t="s">
        <v>357</v>
      </c>
      <c r="D143" s="6" t="s">
        <v>93</v>
      </c>
      <c r="E143" s="6" t="s">
        <v>1944</v>
      </c>
      <c r="F143" s="6" t="s">
        <v>4059</v>
      </c>
      <c r="G143" s="6" t="s">
        <v>358</v>
      </c>
      <c r="H143" s="6" t="s">
        <v>359</v>
      </c>
      <c r="I143" s="6" t="s">
        <v>360</v>
      </c>
      <c r="J143" s="6">
        <v>1</v>
      </c>
      <c r="K143" s="6" t="s">
        <v>19</v>
      </c>
      <c r="L143" s="10">
        <v>9.5299999999999994</v>
      </c>
      <c r="M143" s="6" t="s">
        <v>33</v>
      </c>
      <c r="N143" s="10">
        <f>Tabla12[[#This Row],[Price]]*Tabla12[[#This Row],[QTY Adjusted]]</f>
        <v>9.5299999999999994</v>
      </c>
      <c r="O143" s="10">
        <v>9.5299999999999994</v>
      </c>
      <c r="P143" s="10" t="s">
        <v>4225</v>
      </c>
      <c r="Q143" s="6">
        <v>0</v>
      </c>
    </row>
    <row r="144" spans="1:17" ht="42" customHeight="1" x14ac:dyDescent="0.3">
      <c r="A144" s="6">
        <v>1064</v>
      </c>
      <c r="B144" s="6" t="s">
        <v>1731</v>
      </c>
      <c r="C144" s="6" t="s">
        <v>232</v>
      </c>
      <c r="D144" s="6" t="s">
        <v>233</v>
      </c>
      <c r="E144" s="6" t="s">
        <v>1944</v>
      </c>
      <c r="F144" s="6" t="s">
        <v>4059</v>
      </c>
      <c r="G144" s="6" t="s">
        <v>234</v>
      </c>
      <c r="H144" s="6" t="s">
        <v>742</v>
      </c>
      <c r="I144" s="6" t="s">
        <v>236</v>
      </c>
      <c r="J144" s="6">
        <v>2</v>
      </c>
      <c r="K144" s="6" t="s">
        <v>19</v>
      </c>
      <c r="L144" s="10">
        <v>4.71</v>
      </c>
      <c r="M144" s="6" t="s">
        <v>33</v>
      </c>
      <c r="N144" s="10">
        <f>Tabla12[[#This Row],[Price]]*Tabla12[[#This Row],[QTY Adjusted]]</f>
        <v>9.42</v>
      </c>
      <c r="O144" s="10">
        <v>9.42</v>
      </c>
      <c r="P144" s="10" t="s">
        <v>4239</v>
      </c>
      <c r="Q144" s="6">
        <v>0</v>
      </c>
    </row>
    <row r="145" spans="1:17" ht="42" customHeight="1" x14ac:dyDescent="0.3">
      <c r="A145" s="6">
        <v>1113</v>
      </c>
      <c r="B145" s="6" t="s">
        <v>1731</v>
      </c>
      <c r="C145" s="6" t="s">
        <v>314</v>
      </c>
      <c r="D145" s="6" t="s">
        <v>93</v>
      </c>
      <c r="E145" s="6" t="s">
        <v>1944</v>
      </c>
      <c r="F145" s="6" t="s">
        <v>4059</v>
      </c>
      <c r="G145" s="6" t="s">
        <v>379</v>
      </c>
      <c r="H145" s="6" t="s">
        <v>380</v>
      </c>
      <c r="I145" s="20" t="s">
        <v>381</v>
      </c>
      <c r="J145" s="6">
        <v>2</v>
      </c>
      <c r="K145" s="6" t="s">
        <v>19</v>
      </c>
      <c r="L145" s="10">
        <v>4.4000000000000004</v>
      </c>
      <c r="M145" s="6" t="s">
        <v>33</v>
      </c>
      <c r="N145" s="10">
        <f>Tabla12[[#This Row],[Price]]*Tabla12[[#This Row],[QTY Adjusted]]</f>
        <v>8.8000000000000007</v>
      </c>
      <c r="O145" s="10">
        <v>8.8000000000000007</v>
      </c>
      <c r="P145" s="10" t="s">
        <v>4228</v>
      </c>
      <c r="Q145" s="6" t="s">
        <v>4245</v>
      </c>
    </row>
    <row r="146" spans="1:17" ht="42" customHeight="1" x14ac:dyDescent="0.3">
      <c r="A146" s="6">
        <v>1111</v>
      </c>
      <c r="B146" s="6" t="s">
        <v>1731</v>
      </c>
      <c r="C146" s="6" t="s">
        <v>371</v>
      </c>
      <c r="D146" s="6" t="str">
        <f>Tabla12[[#This Row],[Vendor]]</f>
        <v>Franmara</v>
      </c>
      <c r="E146" s="6" t="s">
        <v>1944</v>
      </c>
      <c r="F146" s="6" t="s">
        <v>4059</v>
      </c>
      <c r="G146" s="6" t="s">
        <v>375</v>
      </c>
      <c r="H146" s="6" t="s">
        <v>373</v>
      </c>
      <c r="I146" s="6" t="s">
        <v>376</v>
      </c>
      <c r="J146" s="6">
        <v>2</v>
      </c>
      <c r="K146" s="6" t="s">
        <v>19</v>
      </c>
      <c r="L146" s="10">
        <v>3</v>
      </c>
      <c r="M146" s="6" t="s">
        <v>33</v>
      </c>
      <c r="N146" s="10">
        <f>Tabla12[[#This Row],[Price]]*Tabla12[[#This Row],[QTY Adjusted]]</f>
        <v>6</v>
      </c>
      <c r="O146" s="10">
        <v>6</v>
      </c>
      <c r="P146" s="10" t="s">
        <v>4239</v>
      </c>
      <c r="Q146" s="6">
        <v>0</v>
      </c>
    </row>
    <row r="147" spans="1:17" ht="42" customHeight="1" x14ac:dyDescent="0.3">
      <c r="A147" s="6">
        <v>1115</v>
      </c>
      <c r="B147" s="6" t="s">
        <v>1731</v>
      </c>
      <c r="C147" s="6" t="s">
        <v>92</v>
      </c>
      <c r="D147" s="6" t="s">
        <v>93</v>
      </c>
      <c r="E147" s="6" t="s">
        <v>1944</v>
      </c>
      <c r="F147" s="6" t="s">
        <v>4059</v>
      </c>
      <c r="G147" s="6" t="s">
        <v>385</v>
      </c>
      <c r="H147" s="6" t="s">
        <v>386</v>
      </c>
      <c r="I147" s="20" t="s">
        <v>387</v>
      </c>
      <c r="J147" s="6">
        <v>2</v>
      </c>
      <c r="K147" s="6" t="s">
        <v>19</v>
      </c>
      <c r="L147" s="10">
        <v>2.85</v>
      </c>
      <c r="M147" s="6" t="s">
        <v>33</v>
      </c>
      <c r="N147" s="10">
        <f>Tabla12[[#This Row],[Price]]*Tabla12[[#This Row],[QTY Adjusted]]</f>
        <v>5.7</v>
      </c>
      <c r="O147" s="10">
        <v>5.7</v>
      </c>
      <c r="P147" s="10" t="s">
        <v>4228</v>
      </c>
      <c r="Q147" s="6" t="s">
        <v>4245</v>
      </c>
    </row>
    <row r="148" spans="1:17" ht="42" customHeight="1" x14ac:dyDescent="0.3">
      <c r="A148" s="6">
        <v>1093</v>
      </c>
      <c r="B148" s="6" t="s">
        <v>1731</v>
      </c>
      <c r="C148" s="6" t="s">
        <v>314</v>
      </c>
      <c r="D148" s="6" t="s">
        <v>93</v>
      </c>
      <c r="E148" s="6" t="s">
        <v>1944</v>
      </c>
      <c r="F148" s="6" t="s">
        <v>4059</v>
      </c>
      <c r="G148" s="6" t="s">
        <v>318</v>
      </c>
      <c r="H148" s="6" t="s">
        <v>319</v>
      </c>
      <c r="I148" s="20" t="s">
        <v>320</v>
      </c>
      <c r="J148" s="6">
        <v>3</v>
      </c>
      <c r="K148" s="6" t="s">
        <v>19</v>
      </c>
      <c r="L148" s="10">
        <v>1.63</v>
      </c>
      <c r="M148" s="6" t="s">
        <v>33</v>
      </c>
      <c r="N148" s="10">
        <f>Tabla12[[#This Row],[Price]]*Tabla12[[#This Row],[QTY Adjusted]]</f>
        <v>4.8899999999999997</v>
      </c>
      <c r="O148" s="10">
        <v>4.8899999999999997</v>
      </c>
      <c r="P148" s="10" t="s">
        <v>4228</v>
      </c>
      <c r="Q148" s="6" t="s">
        <v>4245</v>
      </c>
    </row>
    <row r="149" spans="1:17" ht="42" customHeight="1" x14ac:dyDescent="0.3">
      <c r="A149" s="6">
        <v>1096</v>
      </c>
      <c r="B149" s="6" t="s">
        <v>1731</v>
      </c>
      <c r="C149" s="6" t="s">
        <v>329</v>
      </c>
      <c r="D149" s="6" t="s">
        <v>199</v>
      </c>
      <c r="E149" s="6" t="s">
        <v>1944</v>
      </c>
      <c r="F149" s="6" t="s">
        <v>4059</v>
      </c>
      <c r="G149" s="6" t="s">
        <v>330</v>
      </c>
      <c r="H149" s="6" t="s">
        <v>331</v>
      </c>
      <c r="I149" s="6" t="s">
        <v>332</v>
      </c>
      <c r="J149" s="6">
        <v>1</v>
      </c>
      <c r="K149" s="6" t="s">
        <v>19</v>
      </c>
      <c r="L149" s="10">
        <v>3.34341</v>
      </c>
      <c r="M149" s="6" t="s">
        <v>33</v>
      </c>
      <c r="N149" s="10">
        <f>Tabla12[[#This Row],[Price]]*Tabla12[[#This Row],[QTY Adjusted]]</f>
        <v>3.34341</v>
      </c>
      <c r="O149" s="10">
        <v>3.34341</v>
      </c>
      <c r="P149" s="10" t="s">
        <v>4225</v>
      </c>
      <c r="Q149" s="6">
        <v>0</v>
      </c>
    </row>
    <row r="150" spans="1:17" ht="42" customHeight="1" x14ac:dyDescent="0.3">
      <c r="A150" s="6">
        <v>977</v>
      </c>
      <c r="B150" s="6" t="s">
        <v>1731</v>
      </c>
      <c r="C150" s="6" t="s">
        <v>1750</v>
      </c>
      <c r="D150" s="6" t="str">
        <f>Tabla12[[#This Row],[Vendor]]</f>
        <v>FOH</v>
      </c>
      <c r="E150" s="6" t="s">
        <v>1731</v>
      </c>
      <c r="F150" s="6" t="s">
        <v>4063</v>
      </c>
      <c r="G150" s="6" t="s">
        <v>1751</v>
      </c>
      <c r="H150" s="6" t="s">
        <v>1752</v>
      </c>
      <c r="I150" s="20" t="s">
        <v>1753</v>
      </c>
      <c r="J150" s="6">
        <v>72</v>
      </c>
      <c r="K150" s="6" t="s">
        <v>19</v>
      </c>
      <c r="L150" s="10"/>
      <c r="M150" s="6"/>
      <c r="N150" s="10">
        <f>Tabla12[[#This Row],[Price]]*Tabla12[[#This Row],[QTY Adjusted]]</f>
        <v>0</v>
      </c>
      <c r="O150" s="10">
        <v>0</v>
      </c>
      <c r="P150" s="10" t="s">
        <v>4218</v>
      </c>
      <c r="Q150" s="6" t="s">
        <v>4246</v>
      </c>
    </row>
    <row r="151" spans="1:17" ht="42" customHeight="1" x14ac:dyDescent="0.3">
      <c r="A151" s="6">
        <v>978</v>
      </c>
      <c r="B151" s="6" t="s">
        <v>1731</v>
      </c>
      <c r="C151" s="6" t="s">
        <v>1750</v>
      </c>
      <c r="D151" s="6" t="str">
        <f>Tabla12[[#This Row],[Vendor]]</f>
        <v>FOH</v>
      </c>
      <c r="E151" s="6" t="s">
        <v>1731</v>
      </c>
      <c r="F151" s="6" t="s">
        <v>4063</v>
      </c>
      <c r="G151" s="6" t="s">
        <v>1754</v>
      </c>
      <c r="H151" s="6" t="s">
        <v>1755</v>
      </c>
      <c r="I151" s="20" t="s">
        <v>1756</v>
      </c>
      <c r="J151" s="6">
        <v>36</v>
      </c>
      <c r="K151" s="6" t="s">
        <v>19</v>
      </c>
      <c r="L151" s="10"/>
      <c r="M151" s="6"/>
      <c r="N151" s="10">
        <f>Tabla12[[#This Row],[Price]]*Tabla12[[#This Row],[QTY Adjusted]]</f>
        <v>0</v>
      </c>
      <c r="O151" s="10">
        <v>0</v>
      </c>
      <c r="P151" s="10" t="s">
        <v>4218</v>
      </c>
      <c r="Q151" s="6" t="s">
        <v>4246</v>
      </c>
    </row>
    <row r="152" spans="1:17" ht="42" customHeight="1" x14ac:dyDescent="0.3">
      <c r="A152" s="6">
        <v>1015</v>
      </c>
      <c r="B152" s="6" t="s">
        <v>1731</v>
      </c>
      <c r="C152" s="6" t="s">
        <v>1848</v>
      </c>
      <c r="D152" s="6" t="str">
        <f>Tabla12[[#This Row],[Vendor]]</f>
        <v>Bredemeijer</v>
      </c>
      <c r="E152" s="6" t="s">
        <v>1731</v>
      </c>
      <c r="F152" s="6" t="s">
        <v>4060</v>
      </c>
      <c r="G152" s="6" t="s">
        <v>1849</v>
      </c>
      <c r="H152" s="6" t="s">
        <v>1850</v>
      </c>
      <c r="I152" s="20" t="s">
        <v>1851</v>
      </c>
      <c r="J152" s="6">
        <v>6</v>
      </c>
      <c r="K152" s="6" t="s">
        <v>19</v>
      </c>
      <c r="L152" s="10"/>
      <c r="M152" s="6"/>
      <c r="N152" s="10">
        <f>Tabla12[[#This Row],[Price]]*Tabla12[[#This Row],[QTY Adjusted]]</f>
        <v>0</v>
      </c>
      <c r="O152" s="10">
        <v>0</v>
      </c>
      <c r="P152" s="10" t="s">
        <v>4218</v>
      </c>
      <c r="Q152" s="6" t="s">
        <v>4245</v>
      </c>
    </row>
    <row r="153" spans="1:17" ht="42" customHeight="1" x14ac:dyDescent="0.3">
      <c r="A153" s="6">
        <v>1016</v>
      </c>
      <c r="B153" s="6" t="s">
        <v>1731</v>
      </c>
      <c r="C153" s="6" t="s">
        <v>1848</v>
      </c>
      <c r="D153" s="6" t="str">
        <f>Tabla12[[#This Row],[Vendor]]</f>
        <v>Bredemeijer</v>
      </c>
      <c r="E153" s="6" t="s">
        <v>1731</v>
      </c>
      <c r="F153" s="6" t="s">
        <v>4060</v>
      </c>
      <c r="G153" s="6" t="s">
        <v>1852</v>
      </c>
      <c r="H153" s="6" t="s">
        <v>1853</v>
      </c>
      <c r="I153" s="20" t="s">
        <v>1854</v>
      </c>
      <c r="J153" s="6">
        <v>6</v>
      </c>
      <c r="K153" s="6" t="s">
        <v>19</v>
      </c>
      <c r="L153" s="10"/>
      <c r="M153" s="6"/>
      <c r="N153" s="10">
        <f>Tabla12[[#This Row],[Price]]*Tabla12[[#This Row],[QTY Adjusted]]</f>
        <v>0</v>
      </c>
      <c r="O153" s="10">
        <v>0</v>
      </c>
      <c r="P153" s="10" t="s">
        <v>4218</v>
      </c>
      <c r="Q153" s="6" t="s">
        <v>4245</v>
      </c>
    </row>
    <row r="154" spans="1:17" ht="42" customHeight="1" x14ac:dyDescent="0.3">
      <c r="A154" s="6">
        <v>1017</v>
      </c>
      <c r="B154" s="6" t="s">
        <v>1731</v>
      </c>
      <c r="C154" s="6" t="s">
        <v>1848</v>
      </c>
      <c r="D154" s="6" t="str">
        <f>Tabla12[[#This Row],[Vendor]]</f>
        <v>Bredemeijer</v>
      </c>
      <c r="E154" s="6" t="s">
        <v>1731</v>
      </c>
      <c r="F154" s="6" t="s">
        <v>4060</v>
      </c>
      <c r="G154" s="6">
        <v>153096</v>
      </c>
      <c r="H154" s="6" t="s">
        <v>1855</v>
      </c>
      <c r="I154" s="20" t="s">
        <v>1856</v>
      </c>
      <c r="J154" s="6">
        <v>36</v>
      </c>
      <c r="K154" s="6" t="s">
        <v>19</v>
      </c>
      <c r="L154" s="10"/>
      <c r="M154" s="6"/>
      <c r="N154" s="10">
        <f>Tabla12[[#This Row],[Price]]*Tabla12[[#This Row],[QTY Adjusted]]</f>
        <v>0</v>
      </c>
      <c r="O154" s="10">
        <v>0</v>
      </c>
      <c r="P154" s="10" t="s">
        <v>4218</v>
      </c>
      <c r="Q154" s="6" t="s">
        <v>4246</v>
      </c>
    </row>
    <row r="155" spans="1:17" ht="42" customHeight="1" x14ac:dyDescent="0.3">
      <c r="A155" s="6">
        <v>1089</v>
      </c>
      <c r="B155" s="6" t="s">
        <v>1731</v>
      </c>
      <c r="C155" s="6" t="s">
        <v>195</v>
      </c>
      <c r="D155" s="6" t="str">
        <f>Tabla12[[#This Row],[Vendor]]</f>
        <v>Custom</v>
      </c>
      <c r="E155" s="6" t="s">
        <v>1944</v>
      </c>
      <c r="F155" s="6" t="s">
        <v>4059</v>
      </c>
      <c r="G155" s="6" t="s">
        <v>303</v>
      </c>
      <c r="H155" s="6" t="s">
        <v>304</v>
      </c>
      <c r="I155" s="20" t="s">
        <v>305</v>
      </c>
      <c r="J155" s="6">
        <v>1</v>
      </c>
      <c r="K155" s="6" t="s">
        <v>19</v>
      </c>
      <c r="L155" s="10"/>
      <c r="M155" s="6"/>
      <c r="N155" s="10">
        <f>Tabla12[[#This Row],[Price]]*Tabla12[[#This Row],[QTY Adjusted]]</f>
        <v>0</v>
      </c>
      <c r="O155" s="10">
        <v>0</v>
      </c>
      <c r="P155" s="10" t="s">
        <v>4218</v>
      </c>
      <c r="Q155" s="6" t="s">
        <v>4245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32FC-0EFB-4E24-9E4C-6F33C1D09FD9}">
  <dimension ref="A1:Q111"/>
  <sheetViews>
    <sheetView showGridLines="0" topLeftCell="H1" zoomScale="70" zoomScaleNormal="70" workbookViewId="0">
      <selection activeCell="P33" sqref="P33"/>
    </sheetView>
  </sheetViews>
  <sheetFormatPr baseColWidth="10" defaultColWidth="11.44140625" defaultRowHeight="14.4" outlineLevelRow="1" x14ac:dyDescent="0.3"/>
  <cols>
    <col min="2" max="3" width="11.5546875" customWidth="1"/>
    <col min="4" max="4" width="24.6640625" bestFit="1" customWidth="1"/>
    <col min="5" max="5" width="27.6640625" bestFit="1" customWidth="1"/>
    <col min="6" max="6" width="11.5546875" customWidth="1"/>
    <col min="7" max="7" width="40" customWidth="1"/>
    <col min="8" max="8" width="12.33203125" customWidth="1"/>
    <col min="9" max="9" width="13.6640625" customWidth="1"/>
    <col min="10" max="10" width="14.33203125" customWidth="1"/>
    <col min="11" max="13" width="11.5546875" customWidth="1"/>
    <col min="14" max="14" width="12.33203125" bestFit="1" customWidth="1"/>
    <col min="15" max="15" width="17" customWidth="1"/>
    <col min="16" max="16" width="83" bestFit="1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  <c r="Q2" t="s">
        <v>4247</v>
      </c>
    </row>
    <row r="3" spans="1:17" ht="41.4" customHeight="1" x14ac:dyDescent="0.3">
      <c r="A3" s="5">
        <v>1972</v>
      </c>
      <c r="B3" s="5" t="s">
        <v>3877</v>
      </c>
      <c r="C3" s="5" t="s">
        <v>3927</v>
      </c>
      <c r="D3" s="5" t="s">
        <v>44</v>
      </c>
      <c r="E3" s="5"/>
      <c r="F3" s="5" t="s">
        <v>4059</v>
      </c>
      <c r="G3" s="5" t="s">
        <v>3928</v>
      </c>
      <c r="H3" s="5" t="s">
        <v>3929</v>
      </c>
      <c r="I3" s="5" t="s">
        <v>3930</v>
      </c>
      <c r="J3" s="5">
        <v>36</v>
      </c>
      <c r="K3" s="5" t="s">
        <v>19</v>
      </c>
      <c r="L3" s="11">
        <v>445.5</v>
      </c>
      <c r="M3" s="5" t="s">
        <v>33</v>
      </c>
      <c r="N3" s="11">
        <f>Tabla13[[#This Row],[Price]]*Tabla13[[#This Row],[QTY Adjusted]]</f>
        <v>16038</v>
      </c>
      <c r="O3" s="11">
        <v>16038</v>
      </c>
      <c r="P3" s="22">
        <v>46122</v>
      </c>
      <c r="Q3" s="6">
        <v>0</v>
      </c>
    </row>
    <row r="4" spans="1:17" ht="41.4" customHeight="1" x14ac:dyDescent="0.3">
      <c r="A4" s="5">
        <v>1943</v>
      </c>
      <c r="B4" s="5" t="s">
        <v>3877</v>
      </c>
      <c r="C4" s="5" t="s">
        <v>488</v>
      </c>
      <c r="D4" s="5" t="s">
        <v>199</v>
      </c>
      <c r="E4" s="5"/>
      <c r="F4" s="5" t="s">
        <v>4059</v>
      </c>
      <c r="G4" s="5" t="s">
        <v>3880</v>
      </c>
      <c r="H4" s="5" t="s">
        <v>490</v>
      </c>
      <c r="I4" s="5" t="s">
        <v>3881</v>
      </c>
      <c r="J4" s="5">
        <v>36</v>
      </c>
      <c r="K4" s="5" t="s">
        <v>19</v>
      </c>
      <c r="L4" s="11">
        <v>137.02500000000001</v>
      </c>
      <c r="M4" s="5" t="s">
        <v>33</v>
      </c>
      <c r="N4" s="11">
        <f>Tabla13[[#This Row],[Price]]*Tabla13[[#This Row],[QTY Adjusted]]</f>
        <v>4932.9000000000005</v>
      </c>
      <c r="O4" s="11">
        <v>4932.9000000000005</v>
      </c>
      <c r="P4" s="10" t="s">
        <v>4228</v>
      </c>
      <c r="Q4" s="6" t="s">
        <v>4245</v>
      </c>
    </row>
    <row r="5" spans="1:17" ht="41.4" customHeight="1" x14ac:dyDescent="0.3">
      <c r="A5" s="5">
        <v>1973</v>
      </c>
      <c r="B5" s="5" t="s">
        <v>3877</v>
      </c>
      <c r="C5" s="5" t="s">
        <v>3927</v>
      </c>
      <c r="D5" s="5" t="s">
        <v>44</v>
      </c>
      <c r="E5" s="5"/>
      <c r="F5" s="5" t="s">
        <v>4059</v>
      </c>
      <c r="G5" s="5" t="s">
        <v>3931</v>
      </c>
      <c r="H5" s="5" t="s">
        <v>3932</v>
      </c>
      <c r="I5" s="5" t="s">
        <v>3933</v>
      </c>
      <c r="J5" s="5">
        <v>24</v>
      </c>
      <c r="K5" s="5" t="s">
        <v>19</v>
      </c>
      <c r="L5" s="11">
        <v>148.13999999999999</v>
      </c>
      <c r="M5" s="5" t="s">
        <v>33</v>
      </c>
      <c r="N5" s="11">
        <f>Tabla13[[#This Row],[Price]]*Tabla13[[#This Row],[QTY Adjusted]]</f>
        <v>3555.3599999999997</v>
      </c>
      <c r="O5" s="11">
        <v>3555.3599999999997</v>
      </c>
      <c r="P5" s="22">
        <v>46122</v>
      </c>
      <c r="Q5" s="6">
        <v>0</v>
      </c>
    </row>
    <row r="6" spans="1:17" ht="41.4" customHeight="1" x14ac:dyDescent="0.3">
      <c r="A6" s="5">
        <v>1944</v>
      </c>
      <c r="B6" s="5" t="s">
        <v>3877</v>
      </c>
      <c r="C6" s="5" t="s">
        <v>34</v>
      </c>
      <c r="D6" s="5" t="str">
        <f>Tabla13[[#This Row],[Vendor]]</f>
        <v>Casa Rovea</v>
      </c>
      <c r="E6" s="5"/>
      <c r="F6" s="5" t="s">
        <v>4061</v>
      </c>
      <c r="G6" s="5" t="s">
        <v>3882</v>
      </c>
      <c r="H6" s="5" t="s">
        <v>36</v>
      </c>
      <c r="I6" s="5" t="s">
        <v>3883</v>
      </c>
      <c r="J6" s="5">
        <v>548</v>
      </c>
      <c r="K6" s="5" t="s">
        <v>19</v>
      </c>
      <c r="L6" s="11">
        <v>4.58</v>
      </c>
      <c r="M6" s="5" t="s">
        <v>28</v>
      </c>
      <c r="N6" s="11">
        <f>Tabla13[[#This Row],[Price]]*Tabla13[[#This Row],[QTY Adjusted]]</f>
        <v>2509.84</v>
      </c>
      <c r="O6" s="11">
        <v>2911.4144000000001</v>
      </c>
      <c r="P6" s="10" t="s">
        <v>4224</v>
      </c>
      <c r="Q6" s="6">
        <v>0</v>
      </c>
    </row>
    <row r="7" spans="1:17" ht="41.4" customHeight="1" x14ac:dyDescent="0.3">
      <c r="A7" s="5">
        <v>1974</v>
      </c>
      <c r="B7" s="5" t="s">
        <v>3877</v>
      </c>
      <c r="C7" s="5" t="s">
        <v>3927</v>
      </c>
      <c r="D7" s="5" t="s">
        <v>44</v>
      </c>
      <c r="E7" s="5"/>
      <c r="F7" s="5" t="s">
        <v>4059</v>
      </c>
      <c r="G7" s="5" t="s">
        <v>3934</v>
      </c>
      <c r="H7" s="5" t="s">
        <v>3935</v>
      </c>
      <c r="I7" s="5" t="s">
        <v>3936</v>
      </c>
      <c r="J7" s="5">
        <v>24</v>
      </c>
      <c r="K7" s="5" t="s">
        <v>19</v>
      </c>
      <c r="L7" s="11">
        <v>133.02000000000001</v>
      </c>
      <c r="M7" s="5" t="s">
        <v>33</v>
      </c>
      <c r="N7" s="11">
        <f>Tabla13[[#This Row],[Price]]*Tabla13[[#This Row],[QTY Adjusted]]</f>
        <v>3192.4800000000005</v>
      </c>
      <c r="O7" s="11">
        <v>3192.4800000000005</v>
      </c>
      <c r="P7" s="22">
        <v>46122</v>
      </c>
      <c r="Q7" s="6">
        <v>0</v>
      </c>
    </row>
    <row r="8" spans="1:17" ht="41.4" customHeight="1" x14ac:dyDescent="0.3">
      <c r="A8" s="5">
        <v>1959</v>
      </c>
      <c r="B8" s="5" t="s">
        <v>3877</v>
      </c>
      <c r="C8" s="5" t="s">
        <v>1903</v>
      </c>
      <c r="D8" s="5" t="s">
        <v>44</v>
      </c>
      <c r="E8" s="5"/>
      <c r="F8" s="5" t="s">
        <v>4060</v>
      </c>
      <c r="G8" s="5" t="s">
        <v>3890</v>
      </c>
      <c r="H8" s="5" t="s">
        <v>3891</v>
      </c>
      <c r="I8" s="5" t="s">
        <v>3892</v>
      </c>
      <c r="J8" s="5">
        <v>90</v>
      </c>
      <c r="K8" s="5" t="s">
        <v>19</v>
      </c>
      <c r="L8" s="11">
        <v>30.111999999999998</v>
      </c>
      <c r="M8" s="5" t="s">
        <v>33</v>
      </c>
      <c r="N8" s="11">
        <f>Tabla13[[#This Row],[Price]]*Tabla13[[#This Row],[QTY Adjusted]]</f>
        <v>2710.08</v>
      </c>
      <c r="O8" s="11">
        <v>2710.08</v>
      </c>
      <c r="P8" s="22" t="s">
        <v>4225</v>
      </c>
      <c r="Q8" s="6">
        <v>0</v>
      </c>
    </row>
    <row r="9" spans="1:17" ht="41.4" customHeight="1" x14ac:dyDescent="0.3">
      <c r="A9" s="5">
        <v>1957</v>
      </c>
      <c r="B9" s="5" t="s">
        <v>3877</v>
      </c>
      <c r="C9" s="5" t="s">
        <v>1903</v>
      </c>
      <c r="D9" s="5" t="s">
        <v>44</v>
      </c>
      <c r="E9" s="5"/>
      <c r="F9" s="5" t="s">
        <v>4060</v>
      </c>
      <c r="G9" s="5" t="s">
        <v>3885</v>
      </c>
      <c r="H9" s="5" t="s">
        <v>1515</v>
      </c>
      <c r="I9" s="5" t="s">
        <v>3886</v>
      </c>
      <c r="J9" s="5">
        <v>184</v>
      </c>
      <c r="K9" s="5" t="s">
        <v>19</v>
      </c>
      <c r="L9" s="11">
        <v>13.952</v>
      </c>
      <c r="M9" s="5" t="s">
        <v>33</v>
      </c>
      <c r="N9" s="11">
        <f>Tabla13[[#This Row],[Price]]*Tabla13[[#This Row],[QTY Adjusted]]</f>
        <v>2567.1680000000001</v>
      </c>
      <c r="O9" s="11">
        <v>2567.1680000000001</v>
      </c>
      <c r="P9" s="10" t="s">
        <v>4225</v>
      </c>
      <c r="Q9" s="6">
        <v>0</v>
      </c>
    </row>
    <row r="10" spans="1:17" ht="41.4" customHeight="1" x14ac:dyDescent="0.3">
      <c r="A10" s="5">
        <v>1978</v>
      </c>
      <c r="B10" s="5" t="s">
        <v>3877</v>
      </c>
      <c r="C10" s="5" t="s">
        <v>1316</v>
      </c>
      <c r="D10" s="5" t="s">
        <v>718</v>
      </c>
      <c r="E10" s="5"/>
      <c r="F10" s="5" t="s">
        <v>4062</v>
      </c>
      <c r="G10" s="5" t="s">
        <v>1646</v>
      </c>
      <c r="H10" s="5" t="s">
        <v>132</v>
      </c>
      <c r="I10" s="5" t="s">
        <v>1647</v>
      </c>
      <c r="J10" s="5">
        <v>227</v>
      </c>
      <c r="K10" s="5" t="s">
        <v>19</v>
      </c>
      <c r="L10" s="11">
        <v>10.8</v>
      </c>
      <c r="M10" s="5" t="s">
        <v>33</v>
      </c>
      <c r="N10" s="11">
        <f>Tabla13[[#This Row],[Price]]*Tabla13[[#This Row],[QTY Adjusted]]</f>
        <v>2451.6000000000004</v>
      </c>
      <c r="O10" s="11">
        <v>2451.6000000000004</v>
      </c>
      <c r="P10" s="10" t="s">
        <v>4225</v>
      </c>
      <c r="Q10" s="6">
        <v>0</v>
      </c>
    </row>
    <row r="11" spans="1:17" ht="41.4" customHeight="1" x14ac:dyDescent="0.3">
      <c r="A11" s="5">
        <v>1958</v>
      </c>
      <c r="B11" s="5" t="s">
        <v>3877</v>
      </c>
      <c r="C11" s="5" t="s">
        <v>1903</v>
      </c>
      <c r="D11" s="5" t="s">
        <v>44</v>
      </c>
      <c r="E11" s="5"/>
      <c r="F11" s="5" t="s">
        <v>4060</v>
      </c>
      <c r="G11" s="5" t="s">
        <v>3887</v>
      </c>
      <c r="H11" s="5" t="s">
        <v>3888</v>
      </c>
      <c r="I11" s="5" t="s">
        <v>3889</v>
      </c>
      <c r="J11" s="5">
        <v>90</v>
      </c>
      <c r="K11" s="5" t="s">
        <v>19</v>
      </c>
      <c r="L11" s="11">
        <v>25.224</v>
      </c>
      <c r="M11" s="5" t="s">
        <v>33</v>
      </c>
      <c r="N11" s="11">
        <f>Tabla13[[#This Row],[Price]]*Tabla13[[#This Row],[QTY Adjusted]]</f>
        <v>2270.16</v>
      </c>
      <c r="O11" s="11">
        <v>2270.16</v>
      </c>
      <c r="P11" s="10" t="s">
        <v>4225</v>
      </c>
      <c r="Q11" s="6">
        <v>0</v>
      </c>
    </row>
    <row r="12" spans="1:17" ht="41.4" customHeight="1" x14ac:dyDescent="0.3">
      <c r="A12" s="5">
        <v>2044</v>
      </c>
      <c r="B12" s="5" t="s">
        <v>3960</v>
      </c>
      <c r="C12" s="5" t="s">
        <v>361</v>
      </c>
      <c r="D12" s="5" t="s">
        <v>362</v>
      </c>
      <c r="E12" s="5"/>
      <c r="F12" s="5" t="s">
        <v>4059</v>
      </c>
      <c r="G12" s="5" t="s">
        <v>369</v>
      </c>
      <c r="H12" s="5" t="s">
        <v>347</v>
      </c>
      <c r="I12" s="5" t="s">
        <v>370</v>
      </c>
      <c r="J12" s="5">
        <v>36</v>
      </c>
      <c r="K12" s="5" t="s">
        <v>19</v>
      </c>
      <c r="L12" s="11">
        <v>65.73294117647059</v>
      </c>
      <c r="M12" s="5" t="s">
        <v>33</v>
      </c>
      <c r="N12" s="11">
        <f>Tabla13[[#This Row],[Price]]*Tabla13[[#This Row],[QTY Adjusted]]</f>
        <v>2366.3858823529413</v>
      </c>
      <c r="O12" s="11">
        <v>2366.3858823529413</v>
      </c>
      <c r="P12" s="10" t="s">
        <v>4225</v>
      </c>
      <c r="Q12" s="6">
        <v>0</v>
      </c>
    </row>
    <row r="13" spans="1:17" ht="41.4" customHeight="1" x14ac:dyDescent="0.3">
      <c r="A13" s="5">
        <v>1960</v>
      </c>
      <c r="B13" s="5" t="s">
        <v>3877</v>
      </c>
      <c r="C13" s="5" t="s">
        <v>1903</v>
      </c>
      <c r="D13" s="5" t="s">
        <v>44</v>
      </c>
      <c r="E13" s="5"/>
      <c r="F13" s="5" t="s">
        <v>4060</v>
      </c>
      <c r="G13" s="5" t="s">
        <v>3893</v>
      </c>
      <c r="H13" s="5" t="s">
        <v>3894</v>
      </c>
      <c r="I13" s="5" t="s">
        <v>3895</v>
      </c>
      <c r="J13" s="5">
        <v>90</v>
      </c>
      <c r="K13" s="5" t="s">
        <v>19</v>
      </c>
      <c r="L13" s="11">
        <v>21.751999999999999</v>
      </c>
      <c r="M13" s="5" t="s">
        <v>33</v>
      </c>
      <c r="N13" s="11">
        <f>Tabla13[[#This Row],[Price]]*Tabla13[[#This Row],[QTY Adjusted]]</f>
        <v>1957.6799999999998</v>
      </c>
      <c r="O13" s="11">
        <v>1957.6799999999998</v>
      </c>
      <c r="P13" s="10" t="s">
        <v>4225</v>
      </c>
      <c r="Q13" s="6">
        <v>0</v>
      </c>
    </row>
    <row r="14" spans="1:17" ht="41.4" customHeight="1" x14ac:dyDescent="0.3">
      <c r="A14" s="5">
        <v>1985</v>
      </c>
      <c r="B14" s="5" t="s">
        <v>3877</v>
      </c>
      <c r="C14" s="5" t="s">
        <v>1316</v>
      </c>
      <c r="D14" s="5" t="s">
        <v>718</v>
      </c>
      <c r="E14" s="5"/>
      <c r="F14" s="5" t="s">
        <v>4062</v>
      </c>
      <c r="G14" s="5" t="s">
        <v>1332</v>
      </c>
      <c r="H14" s="5" t="s">
        <v>156</v>
      </c>
      <c r="I14" s="5" t="s">
        <v>1333</v>
      </c>
      <c r="J14" s="5">
        <v>137</v>
      </c>
      <c r="K14" s="5" t="s">
        <v>19</v>
      </c>
      <c r="L14" s="11">
        <v>12.1</v>
      </c>
      <c r="M14" s="5" t="s">
        <v>33</v>
      </c>
      <c r="N14" s="11">
        <f>Tabla13[[#This Row],[Price]]*Tabla13[[#This Row],[QTY Adjusted]]</f>
        <v>1657.7</v>
      </c>
      <c r="O14" s="11">
        <v>1657.7</v>
      </c>
      <c r="P14" s="10" t="s">
        <v>4225</v>
      </c>
      <c r="Q14" s="6">
        <v>0</v>
      </c>
    </row>
    <row r="15" spans="1:17" ht="41.4" customHeight="1" x14ac:dyDescent="0.3">
      <c r="A15" s="5">
        <v>1993</v>
      </c>
      <c r="B15" s="5" t="s">
        <v>3877</v>
      </c>
      <c r="C15" s="5" t="s">
        <v>681</v>
      </c>
      <c r="D15" s="5" t="s">
        <v>1490</v>
      </c>
      <c r="E15" s="5"/>
      <c r="F15" s="5" t="s">
        <v>4059</v>
      </c>
      <c r="G15" s="5" t="s">
        <v>3950</v>
      </c>
      <c r="H15" s="5" t="s">
        <v>3951</v>
      </c>
      <c r="I15" s="5" t="s">
        <v>3952</v>
      </c>
      <c r="J15" s="5">
        <v>18</v>
      </c>
      <c r="K15" s="5" t="s">
        <v>19</v>
      </c>
      <c r="L15" s="11">
        <v>95.28</v>
      </c>
      <c r="M15" s="5" t="s">
        <v>33</v>
      </c>
      <c r="N15" s="11">
        <f>Tabla13[[#This Row],[Price]]*Tabla13[[#This Row],[QTY Adjusted]]</f>
        <v>1715.04</v>
      </c>
      <c r="O15" s="11">
        <v>1715.04</v>
      </c>
      <c r="P15" s="10" t="s">
        <v>4225</v>
      </c>
      <c r="Q15" s="6">
        <v>0</v>
      </c>
    </row>
    <row r="16" spans="1:17" ht="41.4" customHeight="1" x14ac:dyDescent="0.3">
      <c r="A16" s="5">
        <v>1996</v>
      </c>
      <c r="B16" s="5" t="s">
        <v>3877</v>
      </c>
      <c r="C16" s="5" t="s">
        <v>561</v>
      </c>
      <c r="D16" s="5" t="s">
        <v>44</v>
      </c>
      <c r="E16" s="5"/>
      <c r="F16" s="5" t="s">
        <v>4059</v>
      </c>
      <c r="G16" s="5" t="s">
        <v>1087</v>
      </c>
      <c r="H16" s="5" t="s">
        <v>3956</v>
      </c>
      <c r="I16" s="5" t="s">
        <v>3957</v>
      </c>
      <c r="J16" s="5">
        <v>4</v>
      </c>
      <c r="K16" s="5" t="s">
        <v>19</v>
      </c>
      <c r="L16" s="11">
        <v>422.29250000000002</v>
      </c>
      <c r="M16" s="5" t="s">
        <v>33</v>
      </c>
      <c r="N16" s="11">
        <f>Tabla13[[#This Row],[Price]]*Tabla13[[#This Row],[QTY Adjusted]]</f>
        <v>1689.17</v>
      </c>
      <c r="O16" s="11">
        <v>1689.17</v>
      </c>
      <c r="P16" s="22">
        <v>46096</v>
      </c>
      <c r="Q16" s="6">
        <v>0</v>
      </c>
    </row>
    <row r="17" spans="1:17" ht="41.4" customHeight="1" x14ac:dyDescent="0.3">
      <c r="A17" s="5">
        <v>1975</v>
      </c>
      <c r="B17" s="5" t="s">
        <v>3877</v>
      </c>
      <c r="C17" s="5" t="s">
        <v>1660</v>
      </c>
      <c r="D17" s="5" t="str">
        <f>Tabla13[[#This Row],[Vendor]]</f>
        <v>Polarbox</v>
      </c>
      <c r="E17" s="5"/>
      <c r="F17" s="5" t="s">
        <v>4059</v>
      </c>
      <c r="G17" s="5" t="s">
        <v>205</v>
      </c>
      <c r="H17" s="5" t="s">
        <v>3937</v>
      </c>
      <c r="I17" s="5" t="s">
        <v>3938</v>
      </c>
      <c r="J17" s="5">
        <v>24</v>
      </c>
      <c r="K17" s="5" t="s">
        <v>19</v>
      </c>
      <c r="L17" s="11">
        <v>62.5</v>
      </c>
      <c r="M17" s="5" t="s">
        <v>33</v>
      </c>
      <c r="N17" s="11">
        <f>Tabla13[[#This Row],[Price]]*Tabla13[[#This Row],[QTY Adjusted]]</f>
        <v>1500</v>
      </c>
      <c r="O17" s="11">
        <v>1500</v>
      </c>
      <c r="P17" s="10" t="s">
        <v>4225</v>
      </c>
      <c r="Q17" s="6">
        <v>0</v>
      </c>
    </row>
    <row r="18" spans="1:17" ht="41.4" customHeight="1" x14ac:dyDescent="0.3">
      <c r="A18" s="5">
        <v>1995</v>
      </c>
      <c r="B18" s="5" t="s">
        <v>3877</v>
      </c>
      <c r="C18" s="5" t="s">
        <v>561</v>
      </c>
      <c r="D18" s="5" t="s">
        <v>44</v>
      </c>
      <c r="E18" s="5"/>
      <c r="F18" s="5" t="s">
        <v>4059</v>
      </c>
      <c r="G18" s="5" t="s">
        <v>1090</v>
      </c>
      <c r="H18" s="5" t="s">
        <v>3954</v>
      </c>
      <c r="I18" s="5" t="s">
        <v>3955</v>
      </c>
      <c r="J18" s="5">
        <v>4</v>
      </c>
      <c r="K18" s="5" t="s">
        <v>19</v>
      </c>
      <c r="L18" s="11">
        <v>370.09</v>
      </c>
      <c r="M18" s="5" t="s">
        <v>33</v>
      </c>
      <c r="N18" s="11">
        <f>Tabla13[[#This Row],[Price]]*Tabla13[[#This Row],[QTY Adjusted]]</f>
        <v>1480.36</v>
      </c>
      <c r="O18" s="11">
        <v>1480.36</v>
      </c>
      <c r="P18" s="22">
        <v>46096</v>
      </c>
      <c r="Q18" s="6">
        <v>0</v>
      </c>
    </row>
    <row r="19" spans="1:17" ht="41.4" customHeight="1" x14ac:dyDescent="0.3">
      <c r="A19" s="5">
        <v>1964</v>
      </c>
      <c r="B19" s="5" t="s">
        <v>3877</v>
      </c>
      <c r="C19" s="5" t="s">
        <v>1903</v>
      </c>
      <c r="D19" s="5" t="s">
        <v>44</v>
      </c>
      <c r="E19" s="5"/>
      <c r="F19" s="5" t="s">
        <v>4060</v>
      </c>
      <c r="G19" s="5" t="s">
        <v>3904</v>
      </c>
      <c r="H19" s="5" t="s">
        <v>3905</v>
      </c>
      <c r="I19" s="5" t="s">
        <v>3906</v>
      </c>
      <c r="J19" s="5">
        <v>90</v>
      </c>
      <c r="K19" s="5" t="s">
        <v>19</v>
      </c>
      <c r="L19" s="11">
        <v>13.423999999999999</v>
      </c>
      <c r="M19" s="5" t="s">
        <v>33</v>
      </c>
      <c r="N19" s="11">
        <f>Tabla13[[#This Row],[Price]]*Tabla13[[#This Row],[QTY Adjusted]]</f>
        <v>1208.1599999999999</v>
      </c>
      <c r="O19" s="11">
        <v>1208.1599999999999</v>
      </c>
      <c r="P19" s="22" t="s">
        <v>4225</v>
      </c>
      <c r="Q19" s="6">
        <v>0</v>
      </c>
    </row>
    <row r="20" spans="1:17" ht="41.4" customHeight="1" x14ac:dyDescent="0.3">
      <c r="A20" s="5">
        <v>1984</v>
      </c>
      <c r="B20" s="5" t="s">
        <v>3877</v>
      </c>
      <c r="C20" s="5" t="s">
        <v>1316</v>
      </c>
      <c r="D20" s="5" t="s">
        <v>718</v>
      </c>
      <c r="E20" s="5"/>
      <c r="F20" s="5" t="s">
        <v>4062</v>
      </c>
      <c r="G20" s="5" t="s">
        <v>1938</v>
      </c>
      <c r="H20" s="5" t="s">
        <v>1328</v>
      </c>
      <c r="I20" s="5" t="s">
        <v>1939</v>
      </c>
      <c r="J20" s="5">
        <v>90</v>
      </c>
      <c r="K20" s="5" t="s">
        <v>19</v>
      </c>
      <c r="L20" s="11">
        <v>13</v>
      </c>
      <c r="M20" s="5" t="s">
        <v>33</v>
      </c>
      <c r="N20" s="11">
        <f>Tabla13[[#This Row],[Price]]*Tabla13[[#This Row],[QTY Adjusted]]</f>
        <v>1170</v>
      </c>
      <c r="O20" s="11">
        <v>1170</v>
      </c>
      <c r="P20" s="10" t="s">
        <v>4225</v>
      </c>
      <c r="Q20" s="6">
        <v>0</v>
      </c>
    </row>
    <row r="21" spans="1:17" ht="41.4" customHeight="1" x14ac:dyDescent="0.3">
      <c r="A21" s="5">
        <v>1965</v>
      </c>
      <c r="B21" s="5" t="s">
        <v>3877</v>
      </c>
      <c r="C21" s="5" t="s">
        <v>1903</v>
      </c>
      <c r="D21" s="5" t="s">
        <v>44</v>
      </c>
      <c r="E21" s="5"/>
      <c r="F21" s="5" t="s">
        <v>4060</v>
      </c>
      <c r="G21" s="5" t="s">
        <v>3907</v>
      </c>
      <c r="H21" s="5" t="s">
        <v>3908</v>
      </c>
      <c r="I21" s="5" t="s">
        <v>3909</v>
      </c>
      <c r="J21" s="5">
        <v>90</v>
      </c>
      <c r="K21" s="5" t="s">
        <v>19</v>
      </c>
      <c r="L21" s="11">
        <v>12.672000000000001</v>
      </c>
      <c r="M21" s="5" t="s">
        <v>33</v>
      </c>
      <c r="N21" s="11">
        <f>Tabla13[[#This Row],[Price]]*Tabla13[[#This Row],[QTY Adjusted]]</f>
        <v>1140.48</v>
      </c>
      <c r="O21" s="11">
        <v>1140.48</v>
      </c>
      <c r="P21" s="10" t="s">
        <v>4225</v>
      </c>
      <c r="Q21" s="6">
        <v>0</v>
      </c>
    </row>
    <row r="22" spans="1:17" ht="41.4" customHeight="1" x14ac:dyDescent="0.3">
      <c r="A22" s="5">
        <v>1982</v>
      </c>
      <c r="B22" s="5" t="s">
        <v>3877</v>
      </c>
      <c r="C22" s="5" t="s">
        <v>1316</v>
      </c>
      <c r="D22" s="5" t="s">
        <v>718</v>
      </c>
      <c r="E22" s="5"/>
      <c r="F22" s="5" t="s">
        <v>4062</v>
      </c>
      <c r="G22" s="5" t="s">
        <v>1324</v>
      </c>
      <c r="H22" s="5" t="s">
        <v>1325</v>
      </c>
      <c r="I22" s="5" t="s">
        <v>1326</v>
      </c>
      <c r="J22" s="5">
        <v>90</v>
      </c>
      <c r="K22" s="5" t="s">
        <v>19</v>
      </c>
      <c r="L22" s="11">
        <v>12.6</v>
      </c>
      <c r="M22" s="5" t="s">
        <v>33</v>
      </c>
      <c r="N22" s="11">
        <f>Tabla13[[#This Row],[Price]]*Tabla13[[#This Row],[QTY Adjusted]]</f>
        <v>1134</v>
      </c>
      <c r="O22" s="11">
        <v>1134</v>
      </c>
      <c r="P22" s="10" t="s">
        <v>4225</v>
      </c>
      <c r="Q22" s="6">
        <v>0</v>
      </c>
    </row>
    <row r="23" spans="1:17" ht="41.4" customHeight="1" x14ac:dyDescent="0.3">
      <c r="A23" s="5">
        <v>1962</v>
      </c>
      <c r="B23" s="5" t="s">
        <v>3877</v>
      </c>
      <c r="C23" s="5" t="s">
        <v>1903</v>
      </c>
      <c r="D23" s="5" t="s">
        <v>44</v>
      </c>
      <c r="E23" s="5"/>
      <c r="F23" s="5" t="s">
        <v>4060</v>
      </c>
      <c r="G23" s="5" t="s">
        <v>3898</v>
      </c>
      <c r="H23" s="5" t="s">
        <v>3899</v>
      </c>
      <c r="I23" s="5" t="s">
        <v>3900</v>
      </c>
      <c r="J23" s="5">
        <v>90</v>
      </c>
      <c r="K23" s="5" t="s">
        <v>19</v>
      </c>
      <c r="L23" s="11">
        <v>12.311999999999999</v>
      </c>
      <c r="M23" s="5" t="s">
        <v>33</v>
      </c>
      <c r="N23" s="11">
        <f>Tabla13[[#This Row],[Price]]*Tabla13[[#This Row],[QTY Adjusted]]</f>
        <v>1108.08</v>
      </c>
      <c r="O23" s="11">
        <v>1108.08</v>
      </c>
      <c r="P23" s="10" t="s">
        <v>4225</v>
      </c>
      <c r="Q23" s="6">
        <v>0</v>
      </c>
    </row>
    <row r="24" spans="1:17" ht="41.4" customHeight="1" x14ac:dyDescent="0.3">
      <c r="A24" s="5">
        <v>1968</v>
      </c>
      <c r="B24" s="5" t="s">
        <v>3877</v>
      </c>
      <c r="C24" s="5" t="s">
        <v>92</v>
      </c>
      <c r="D24" s="5" t="s">
        <v>93</v>
      </c>
      <c r="E24" s="5"/>
      <c r="F24" s="5" t="s">
        <v>4060</v>
      </c>
      <c r="G24" s="5" t="s">
        <v>3916</v>
      </c>
      <c r="H24" s="5" t="s">
        <v>3917</v>
      </c>
      <c r="I24" s="5" t="s">
        <v>3918</v>
      </c>
      <c r="J24" s="5">
        <v>36</v>
      </c>
      <c r="K24" s="5" t="s">
        <v>19</v>
      </c>
      <c r="L24" s="11">
        <v>35.520000000000003</v>
      </c>
      <c r="M24" s="5" t="s">
        <v>33</v>
      </c>
      <c r="N24" s="11">
        <f>Tabla13[[#This Row],[Price]]*Tabla13[[#This Row],[QTY Adjusted]]</f>
        <v>1278.72</v>
      </c>
      <c r="O24" s="11">
        <v>1278.72</v>
      </c>
      <c r="P24" s="10" t="s">
        <v>4225</v>
      </c>
      <c r="Q24" s="6">
        <v>0</v>
      </c>
    </row>
    <row r="25" spans="1:17" ht="41.4" customHeight="1" x14ac:dyDescent="0.3">
      <c r="A25" s="5">
        <v>1997</v>
      </c>
      <c r="B25" s="5" t="s">
        <v>3877</v>
      </c>
      <c r="C25" s="5" t="s">
        <v>130</v>
      </c>
      <c r="D25" s="5" t="s">
        <v>130</v>
      </c>
      <c r="E25" s="5"/>
      <c r="F25" s="5" t="s">
        <v>4059</v>
      </c>
      <c r="G25" s="5" t="s">
        <v>3958</v>
      </c>
      <c r="H25" s="5" t="s">
        <v>1955</v>
      </c>
      <c r="I25" s="5" t="s">
        <v>3959</v>
      </c>
      <c r="J25" s="5">
        <v>4</v>
      </c>
      <c r="K25" s="5" t="s">
        <v>19</v>
      </c>
      <c r="L25" s="11">
        <v>319.57902178840573</v>
      </c>
      <c r="M25" s="5" t="s">
        <v>33</v>
      </c>
      <c r="N25" s="11">
        <f>Tabla13[[#This Row],[Price]]*Tabla13[[#This Row],[QTY Adjusted]]</f>
        <v>1278.3160871536229</v>
      </c>
      <c r="O25" s="11">
        <v>1278.3160871536229</v>
      </c>
      <c r="P25" s="10" t="s">
        <v>4225</v>
      </c>
      <c r="Q25" s="6">
        <v>0</v>
      </c>
    </row>
    <row r="26" spans="1:17" ht="41.4" customHeight="1" x14ac:dyDescent="0.3">
      <c r="A26" s="5">
        <v>1983</v>
      </c>
      <c r="B26" s="5" t="s">
        <v>3877</v>
      </c>
      <c r="C26" s="5" t="s">
        <v>1316</v>
      </c>
      <c r="D26" s="5" t="s">
        <v>718</v>
      </c>
      <c r="E26" s="5"/>
      <c r="F26" s="5" t="s">
        <v>4062</v>
      </c>
      <c r="G26" s="5" t="s">
        <v>1936</v>
      </c>
      <c r="H26" s="5" t="s">
        <v>954</v>
      </c>
      <c r="I26" s="5" t="s">
        <v>1937</v>
      </c>
      <c r="J26" s="5">
        <v>90</v>
      </c>
      <c r="K26" s="5" t="s">
        <v>19</v>
      </c>
      <c r="L26" s="11">
        <v>11.1</v>
      </c>
      <c r="M26" s="5" t="s">
        <v>33</v>
      </c>
      <c r="N26" s="11">
        <f>Tabla13[[#This Row],[Price]]*Tabla13[[#This Row],[QTY Adjusted]]</f>
        <v>999</v>
      </c>
      <c r="O26" s="11">
        <v>999</v>
      </c>
      <c r="P26" s="10" t="s">
        <v>4225</v>
      </c>
      <c r="Q26" s="6">
        <v>0</v>
      </c>
    </row>
    <row r="27" spans="1:17" ht="41.4" customHeight="1" x14ac:dyDescent="0.3">
      <c r="A27" s="5">
        <v>1963</v>
      </c>
      <c r="B27" s="5" t="s">
        <v>3877</v>
      </c>
      <c r="C27" s="5" t="s">
        <v>1903</v>
      </c>
      <c r="D27" s="5" t="s">
        <v>44</v>
      </c>
      <c r="E27" s="5"/>
      <c r="F27" s="5" t="s">
        <v>4060</v>
      </c>
      <c r="G27" s="5" t="s">
        <v>3901</v>
      </c>
      <c r="H27" s="5" t="s">
        <v>3902</v>
      </c>
      <c r="I27" s="5" t="s">
        <v>3903</v>
      </c>
      <c r="J27" s="5">
        <v>90</v>
      </c>
      <c r="K27" s="5" t="s">
        <v>19</v>
      </c>
      <c r="L27" s="11">
        <v>10.92</v>
      </c>
      <c r="M27" s="5" t="s">
        <v>33</v>
      </c>
      <c r="N27" s="11">
        <f>Tabla13[[#This Row],[Price]]*Tabla13[[#This Row],[QTY Adjusted]]</f>
        <v>982.8</v>
      </c>
      <c r="O27" s="11">
        <v>982.8</v>
      </c>
      <c r="P27" s="10" t="s">
        <v>4225</v>
      </c>
      <c r="Q27" s="6">
        <v>0</v>
      </c>
    </row>
    <row r="28" spans="1:17" ht="41.4" customHeight="1" x14ac:dyDescent="0.3">
      <c r="A28" s="5">
        <v>1961</v>
      </c>
      <c r="B28" s="5" t="s">
        <v>3877</v>
      </c>
      <c r="C28" s="5" t="s">
        <v>1903</v>
      </c>
      <c r="D28" s="5" t="s">
        <v>44</v>
      </c>
      <c r="E28" s="5"/>
      <c r="F28" s="5" t="s">
        <v>4060</v>
      </c>
      <c r="G28" s="5" t="s">
        <v>3896</v>
      </c>
      <c r="H28" s="5" t="s">
        <v>1309</v>
      </c>
      <c r="I28" s="5" t="s">
        <v>3897</v>
      </c>
      <c r="J28" s="5">
        <v>90</v>
      </c>
      <c r="K28" s="5" t="s">
        <v>19</v>
      </c>
      <c r="L28" s="11">
        <v>10.88</v>
      </c>
      <c r="M28" s="5" t="s">
        <v>33</v>
      </c>
      <c r="N28" s="11">
        <f>Tabla13[[#This Row],[Price]]*Tabla13[[#This Row],[QTY Adjusted]]</f>
        <v>979.2</v>
      </c>
      <c r="O28" s="11">
        <v>979.2</v>
      </c>
      <c r="P28" s="10" t="s">
        <v>4225</v>
      </c>
      <c r="Q28" s="6">
        <v>0</v>
      </c>
    </row>
    <row r="29" spans="1:17" ht="41.4" customHeight="1" x14ac:dyDescent="0.3">
      <c r="A29" s="5">
        <v>1969</v>
      </c>
      <c r="B29" s="5" t="s">
        <v>3877</v>
      </c>
      <c r="C29" s="5" t="s">
        <v>92</v>
      </c>
      <c r="D29" s="5" t="s">
        <v>93</v>
      </c>
      <c r="E29" s="5"/>
      <c r="F29" s="5" t="s">
        <v>4060</v>
      </c>
      <c r="G29" s="5" t="s">
        <v>3919</v>
      </c>
      <c r="H29" s="5" t="s">
        <v>3920</v>
      </c>
      <c r="I29" s="5" t="s">
        <v>3921</v>
      </c>
      <c r="J29" s="5">
        <v>24</v>
      </c>
      <c r="K29" s="5" t="s">
        <v>19</v>
      </c>
      <c r="L29" s="11">
        <v>47.18</v>
      </c>
      <c r="M29" s="5" t="s">
        <v>33</v>
      </c>
      <c r="N29" s="11">
        <f>Tabla13[[#This Row],[Price]]*Tabla13[[#This Row],[QTY Adjusted]]</f>
        <v>1132.32</v>
      </c>
      <c r="O29" s="11">
        <v>1132.32</v>
      </c>
      <c r="P29" s="10" t="s">
        <v>4225</v>
      </c>
      <c r="Q29" s="6">
        <v>0</v>
      </c>
    </row>
    <row r="30" spans="1:17" ht="41.4" customHeight="1" x14ac:dyDescent="0.3">
      <c r="A30" s="5">
        <v>1954</v>
      </c>
      <c r="B30" s="5" t="s">
        <v>3877</v>
      </c>
      <c r="C30" s="5" t="s">
        <v>717</v>
      </c>
      <c r="D30" s="5" t="s">
        <v>718</v>
      </c>
      <c r="E30" s="5"/>
      <c r="F30" s="5" t="s">
        <v>4063</v>
      </c>
      <c r="G30" s="5" t="s">
        <v>3804</v>
      </c>
      <c r="H30" s="5" t="s">
        <v>70</v>
      </c>
      <c r="I30" s="5" t="s">
        <v>3805</v>
      </c>
      <c r="J30" s="5">
        <v>137</v>
      </c>
      <c r="K30" s="5" t="s">
        <v>19</v>
      </c>
      <c r="L30" s="11">
        <v>6.8</v>
      </c>
      <c r="M30" s="5" t="s">
        <v>33</v>
      </c>
      <c r="N30" s="11">
        <f>Tabla13[[#This Row],[Price]]*Tabla13[[#This Row],[QTY Adjusted]]</f>
        <v>931.6</v>
      </c>
      <c r="O30" s="11">
        <v>931.6</v>
      </c>
      <c r="P30" s="10" t="s">
        <v>4225</v>
      </c>
      <c r="Q30" s="6">
        <v>0</v>
      </c>
    </row>
    <row r="31" spans="1:17" ht="41.4" customHeight="1" x14ac:dyDescent="0.3">
      <c r="A31" s="5">
        <v>1994</v>
      </c>
      <c r="B31" s="5" t="s">
        <v>3877</v>
      </c>
      <c r="C31" s="5" t="s">
        <v>1148</v>
      </c>
      <c r="D31" s="5" t="s">
        <v>1490</v>
      </c>
      <c r="E31" s="5"/>
      <c r="F31" s="5" t="s">
        <v>4059</v>
      </c>
      <c r="G31" s="5" t="s">
        <v>1150</v>
      </c>
      <c r="H31" s="5" t="s">
        <v>3953</v>
      </c>
      <c r="I31" s="5" t="s">
        <v>1151</v>
      </c>
      <c r="J31" s="5">
        <v>8</v>
      </c>
      <c r="K31" s="5" t="s">
        <v>19</v>
      </c>
      <c r="L31" s="11">
        <v>128.57</v>
      </c>
      <c r="M31" s="5" t="s">
        <v>33</v>
      </c>
      <c r="N31" s="11">
        <f>Tabla13[[#This Row],[Price]]*Tabla13[[#This Row],[QTY Adjusted]]</f>
        <v>1028.56</v>
      </c>
      <c r="O31" s="11">
        <v>1028.56</v>
      </c>
      <c r="P31" s="10" t="s">
        <v>4225</v>
      </c>
      <c r="Q31" s="6">
        <v>0</v>
      </c>
    </row>
    <row r="32" spans="1:17" ht="41.4" customHeight="1" x14ac:dyDescent="0.3">
      <c r="A32" s="5">
        <v>1990</v>
      </c>
      <c r="B32" s="5" t="s">
        <v>3877</v>
      </c>
      <c r="C32" s="5" t="s">
        <v>232</v>
      </c>
      <c r="D32" s="5" t="s">
        <v>233</v>
      </c>
      <c r="E32" s="5"/>
      <c r="F32" s="5" t="s">
        <v>4059</v>
      </c>
      <c r="G32" s="5" t="s">
        <v>3946</v>
      </c>
      <c r="H32" s="5" t="s">
        <v>674</v>
      </c>
      <c r="I32" s="5" t="s">
        <v>3947</v>
      </c>
      <c r="J32" s="5">
        <v>10</v>
      </c>
      <c r="K32" s="5" t="s">
        <v>19</v>
      </c>
      <c r="L32" s="11">
        <v>102.06</v>
      </c>
      <c r="M32" s="5" t="s">
        <v>33</v>
      </c>
      <c r="N32" s="11">
        <f>Tabla13[[#This Row],[Price]]*Tabla13[[#This Row],[QTY Adjusted]]</f>
        <v>1020.6</v>
      </c>
      <c r="O32" s="11">
        <v>1020.6</v>
      </c>
      <c r="P32" s="10" t="s">
        <v>4239</v>
      </c>
      <c r="Q32" s="6">
        <v>0</v>
      </c>
    </row>
    <row r="33" spans="1:17" ht="41.4" customHeight="1" x14ac:dyDescent="0.3">
      <c r="A33" s="5">
        <v>1991</v>
      </c>
      <c r="B33" s="5" t="s">
        <v>3877</v>
      </c>
      <c r="C33" s="5" t="s">
        <v>232</v>
      </c>
      <c r="D33" s="5" t="s">
        <v>233</v>
      </c>
      <c r="E33" s="5"/>
      <c r="F33" s="5" t="s">
        <v>4059</v>
      </c>
      <c r="G33" s="5" t="s">
        <v>3946</v>
      </c>
      <c r="H33" s="5" t="s">
        <v>677</v>
      </c>
      <c r="I33" s="5" t="s">
        <v>3948</v>
      </c>
      <c r="J33" s="5">
        <v>10</v>
      </c>
      <c r="K33" s="5" t="s">
        <v>19</v>
      </c>
      <c r="L33" s="11">
        <v>102.06</v>
      </c>
      <c r="M33" s="5" t="s">
        <v>33</v>
      </c>
      <c r="N33" s="11">
        <f>Tabla13[[#This Row],[Price]]*Tabla13[[#This Row],[QTY Adjusted]]</f>
        <v>1020.6</v>
      </c>
      <c r="O33" s="11">
        <v>1020.6</v>
      </c>
      <c r="P33" s="10" t="s">
        <v>4219</v>
      </c>
      <c r="Q33" s="6">
        <v>0</v>
      </c>
    </row>
    <row r="34" spans="1:17" ht="41.4" customHeight="1" x14ac:dyDescent="0.3">
      <c r="A34" s="5">
        <v>2030</v>
      </c>
      <c r="B34" s="5" t="s">
        <v>3960</v>
      </c>
      <c r="C34" s="5" t="s">
        <v>325</v>
      </c>
      <c r="D34" s="5" t="str">
        <f>Tabla13[[#This Row],[Vendor]]</f>
        <v>John Boos</v>
      </c>
      <c r="E34" s="5"/>
      <c r="F34" s="5" t="s">
        <v>4059</v>
      </c>
      <c r="G34" s="5" t="s">
        <v>326</v>
      </c>
      <c r="H34" s="5" t="s">
        <v>327</v>
      </c>
      <c r="I34" s="5" t="s">
        <v>328</v>
      </c>
      <c r="J34" s="5">
        <v>4</v>
      </c>
      <c r="K34" s="5" t="s">
        <v>19</v>
      </c>
      <c r="L34" s="11">
        <v>250</v>
      </c>
      <c r="M34" s="5" t="s">
        <v>33</v>
      </c>
      <c r="N34" s="11">
        <f>Tabla13[[#This Row],[Price]]*Tabla13[[#This Row],[QTY Adjusted]]</f>
        <v>1000</v>
      </c>
      <c r="O34" s="11">
        <v>1000</v>
      </c>
      <c r="P34" s="10" t="s">
        <v>4218</v>
      </c>
      <c r="Q34" s="6" t="s">
        <v>4245</v>
      </c>
    </row>
    <row r="35" spans="1:17" ht="41.4" customHeight="1" x14ac:dyDescent="0.3">
      <c r="A35" s="5">
        <v>1952</v>
      </c>
      <c r="B35" s="5" t="s">
        <v>3877</v>
      </c>
      <c r="C35" s="5" t="s">
        <v>717</v>
      </c>
      <c r="D35" s="5" t="s">
        <v>718</v>
      </c>
      <c r="E35" s="5"/>
      <c r="F35" s="5" t="s">
        <v>4063</v>
      </c>
      <c r="G35" s="5" t="s">
        <v>3799</v>
      </c>
      <c r="H35" s="5" t="s">
        <v>3800</v>
      </c>
      <c r="I35" s="5" t="s">
        <v>3801</v>
      </c>
      <c r="J35" s="5">
        <v>137</v>
      </c>
      <c r="K35" s="5" t="s">
        <v>19</v>
      </c>
      <c r="L35" s="11">
        <v>5.9</v>
      </c>
      <c r="M35" s="5" t="s">
        <v>33</v>
      </c>
      <c r="N35" s="11">
        <f>Tabla13[[#This Row],[Price]]*Tabla13[[#This Row],[QTY Adjusted]]</f>
        <v>808.30000000000007</v>
      </c>
      <c r="O35" s="11">
        <v>808.30000000000007</v>
      </c>
      <c r="P35" s="10" t="s">
        <v>4225</v>
      </c>
      <c r="Q35" s="6">
        <v>0</v>
      </c>
    </row>
    <row r="36" spans="1:17" ht="41.4" customHeight="1" x14ac:dyDescent="0.3">
      <c r="A36" s="5">
        <v>1953</v>
      </c>
      <c r="B36" s="5" t="s">
        <v>3877</v>
      </c>
      <c r="C36" s="5" t="s">
        <v>717</v>
      </c>
      <c r="D36" s="5" t="s">
        <v>718</v>
      </c>
      <c r="E36" s="5"/>
      <c r="F36" s="5" t="s">
        <v>4063</v>
      </c>
      <c r="G36" s="5" t="s">
        <v>3802</v>
      </c>
      <c r="H36" s="5" t="s">
        <v>67</v>
      </c>
      <c r="I36" s="5" t="s">
        <v>3803</v>
      </c>
      <c r="J36" s="5">
        <v>137</v>
      </c>
      <c r="K36" s="5" t="s">
        <v>19</v>
      </c>
      <c r="L36" s="11">
        <v>5.9</v>
      </c>
      <c r="M36" s="5" t="s">
        <v>33</v>
      </c>
      <c r="N36" s="11">
        <f>Tabla13[[#This Row],[Price]]*Tabla13[[#This Row],[QTY Adjusted]]</f>
        <v>808.30000000000007</v>
      </c>
      <c r="O36" s="11">
        <v>808.30000000000007</v>
      </c>
      <c r="P36" s="10" t="s">
        <v>4225</v>
      </c>
      <c r="Q36" s="6">
        <v>0</v>
      </c>
    </row>
    <row r="37" spans="1:17" ht="41.4" customHeight="1" x14ac:dyDescent="0.3">
      <c r="A37" s="5">
        <v>1948</v>
      </c>
      <c r="B37" s="5" t="s">
        <v>3877</v>
      </c>
      <c r="C37" s="5" t="s">
        <v>717</v>
      </c>
      <c r="D37" s="5" t="s">
        <v>718</v>
      </c>
      <c r="E37" s="5"/>
      <c r="F37" s="5" t="s">
        <v>4063</v>
      </c>
      <c r="G37" s="5" t="s">
        <v>3791</v>
      </c>
      <c r="H37" s="5" t="s">
        <v>501</v>
      </c>
      <c r="I37" s="5" t="s">
        <v>3792</v>
      </c>
      <c r="J37" s="5">
        <v>137</v>
      </c>
      <c r="K37" s="5" t="s">
        <v>19</v>
      </c>
      <c r="L37" s="11">
        <v>5.8</v>
      </c>
      <c r="M37" s="5" t="s">
        <v>33</v>
      </c>
      <c r="N37" s="11">
        <f>Tabla13[[#This Row],[Price]]*Tabla13[[#This Row],[QTY Adjusted]]</f>
        <v>794.6</v>
      </c>
      <c r="O37" s="11">
        <v>794.6</v>
      </c>
      <c r="P37" s="10" t="s">
        <v>4225</v>
      </c>
      <c r="Q37" s="6">
        <v>0</v>
      </c>
    </row>
    <row r="38" spans="1:17" ht="41.4" customHeight="1" x14ac:dyDescent="0.3">
      <c r="A38" s="5">
        <v>1950</v>
      </c>
      <c r="B38" s="5" t="s">
        <v>3877</v>
      </c>
      <c r="C38" s="5" t="s">
        <v>717</v>
      </c>
      <c r="D38" s="5" t="s">
        <v>718</v>
      </c>
      <c r="E38" s="5"/>
      <c r="F38" s="5" t="s">
        <v>4063</v>
      </c>
      <c r="G38" s="5" t="s">
        <v>3795</v>
      </c>
      <c r="H38" s="5" t="s">
        <v>2421</v>
      </c>
      <c r="I38" s="5" t="s">
        <v>3796</v>
      </c>
      <c r="J38" s="5">
        <v>227</v>
      </c>
      <c r="K38" s="5" t="s">
        <v>19</v>
      </c>
      <c r="L38" s="11">
        <v>3.4</v>
      </c>
      <c r="M38" s="5" t="s">
        <v>33</v>
      </c>
      <c r="N38" s="11">
        <f>Tabla13[[#This Row],[Price]]*Tabla13[[#This Row],[QTY Adjusted]]</f>
        <v>771.8</v>
      </c>
      <c r="O38" s="11">
        <v>771.8</v>
      </c>
      <c r="P38" s="10" t="s">
        <v>4225</v>
      </c>
      <c r="Q38" s="6">
        <v>0</v>
      </c>
    </row>
    <row r="39" spans="1:17" ht="41.4" customHeight="1" x14ac:dyDescent="0.3">
      <c r="A39" s="6">
        <v>1979</v>
      </c>
      <c r="B39" s="6" t="s">
        <v>3877</v>
      </c>
      <c r="C39" s="6" t="s">
        <v>1316</v>
      </c>
      <c r="D39" s="6" t="s">
        <v>718</v>
      </c>
      <c r="E39" s="6"/>
      <c r="F39" s="6" t="s">
        <v>4062</v>
      </c>
      <c r="G39" s="6" t="s">
        <v>1686</v>
      </c>
      <c r="H39" s="6" t="s">
        <v>3944</v>
      </c>
      <c r="I39" s="6" t="s">
        <v>1687</v>
      </c>
      <c r="J39" s="6">
        <v>90</v>
      </c>
      <c r="K39" s="6" t="s">
        <v>19</v>
      </c>
      <c r="L39" s="10">
        <v>8.16</v>
      </c>
      <c r="M39" s="6" t="s">
        <v>33</v>
      </c>
      <c r="N39" s="10">
        <f>Tabla13[[#This Row],[Price]]*Tabla13[[#This Row],[QTY Adjusted]]</f>
        <v>734.4</v>
      </c>
      <c r="O39" s="10">
        <v>734.4</v>
      </c>
      <c r="P39" s="10" t="s">
        <v>4225</v>
      </c>
      <c r="Q39" s="6">
        <v>0</v>
      </c>
    </row>
    <row r="40" spans="1:17" ht="41.4" customHeight="1" x14ac:dyDescent="0.3">
      <c r="A40" s="6">
        <v>1980</v>
      </c>
      <c r="B40" s="6" t="s">
        <v>3877</v>
      </c>
      <c r="C40" s="6" t="s">
        <v>1316</v>
      </c>
      <c r="D40" s="6" t="s">
        <v>718</v>
      </c>
      <c r="E40" s="6"/>
      <c r="F40" s="6" t="s">
        <v>4062</v>
      </c>
      <c r="G40" s="6" t="s">
        <v>1688</v>
      </c>
      <c r="H40" s="6" t="s">
        <v>142</v>
      </c>
      <c r="I40" s="6" t="s">
        <v>1689</v>
      </c>
      <c r="J40" s="6">
        <v>90</v>
      </c>
      <c r="K40" s="6" t="s">
        <v>19</v>
      </c>
      <c r="L40" s="10">
        <v>7.84</v>
      </c>
      <c r="M40" s="6" t="s">
        <v>33</v>
      </c>
      <c r="N40" s="10">
        <f>Tabla13[[#This Row],[Price]]*Tabla13[[#This Row],[QTY Adjusted]]</f>
        <v>705.6</v>
      </c>
      <c r="O40" s="10">
        <v>705.6</v>
      </c>
      <c r="P40" s="10" t="s">
        <v>4225</v>
      </c>
      <c r="Q40" s="6">
        <v>0</v>
      </c>
    </row>
    <row r="41" spans="1:17" ht="41.4" customHeight="1" x14ac:dyDescent="0.3">
      <c r="A41" s="6">
        <v>1947</v>
      </c>
      <c r="B41" s="6" t="s">
        <v>3877</v>
      </c>
      <c r="C41" s="6" t="s">
        <v>717</v>
      </c>
      <c r="D41" s="6" t="s">
        <v>718</v>
      </c>
      <c r="E41" s="6"/>
      <c r="F41" s="6" t="s">
        <v>4063</v>
      </c>
      <c r="G41" s="6" t="s">
        <v>3789</v>
      </c>
      <c r="H41" s="6" t="s">
        <v>49</v>
      </c>
      <c r="I41" s="6" t="s">
        <v>3790</v>
      </c>
      <c r="J41" s="6">
        <v>137</v>
      </c>
      <c r="K41" s="6" t="s">
        <v>19</v>
      </c>
      <c r="L41" s="10">
        <v>5</v>
      </c>
      <c r="M41" s="6" t="s">
        <v>33</v>
      </c>
      <c r="N41" s="10">
        <f>Tabla13[[#This Row],[Price]]*Tabla13[[#This Row],[QTY Adjusted]]</f>
        <v>685</v>
      </c>
      <c r="O41" s="10">
        <v>685</v>
      </c>
      <c r="P41" s="10" t="s">
        <v>4225</v>
      </c>
      <c r="Q41" s="6">
        <v>0</v>
      </c>
    </row>
    <row r="42" spans="1:17" ht="41.4" customHeight="1" x14ac:dyDescent="0.3">
      <c r="A42" s="6">
        <v>1949</v>
      </c>
      <c r="B42" s="6" t="s">
        <v>3877</v>
      </c>
      <c r="C42" s="6" t="s">
        <v>717</v>
      </c>
      <c r="D42" s="6" t="s">
        <v>718</v>
      </c>
      <c r="E42" s="6"/>
      <c r="F42" s="6" t="s">
        <v>4063</v>
      </c>
      <c r="G42" s="6" t="s">
        <v>3793</v>
      </c>
      <c r="H42" s="6" t="s">
        <v>1385</v>
      </c>
      <c r="I42" s="6" t="s">
        <v>3794</v>
      </c>
      <c r="J42" s="6">
        <v>137</v>
      </c>
      <c r="K42" s="6" t="s">
        <v>19</v>
      </c>
      <c r="L42" s="10">
        <v>5</v>
      </c>
      <c r="M42" s="6" t="s">
        <v>33</v>
      </c>
      <c r="N42" s="10">
        <f>Tabla13[[#This Row],[Price]]*Tabla13[[#This Row],[QTY Adjusted]]</f>
        <v>685</v>
      </c>
      <c r="O42" s="10">
        <v>685</v>
      </c>
      <c r="P42" s="10" t="s">
        <v>4225</v>
      </c>
      <c r="Q42" s="6">
        <v>0</v>
      </c>
    </row>
    <row r="43" spans="1:17" ht="41.4" customHeight="1" outlineLevel="1" x14ac:dyDescent="0.3">
      <c r="A43" s="6">
        <v>2003</v>
      </c>
      <c r="B43" s="6" t="s">
        <v>3960</v>
      </c>
      <c r="C43" s="6" t="s">
        <v>228</v>
      </c>
      <c r="D43" s="6" t="s">
        <v>44</v>
      </c>
      <c r="E43" s="6"/>
      <c r="F43" s="6" t="s">
        <v>4059</v>
      </c>
      <c r="G43" s="6" t="s">
        <v>247</v>
      </c>
      <c r="H43" s="6" t="s">
        <v>248</v>
      </c>
      <c r="I43" s="6" t="s">
        <v>249</v>
      </c>
      <c r="J43" s="6">
        <v>0</v>
      </c>
      <c r="K43" s="6" t="s">
        <v>748</v>
      </c>
      <c r="L43" s="10">
        <v>364.5</v>
      </c>
      <c r="M43" s="6" t="s">
        <v>33</v>
      </c>
      <c r="N43" s="10">
        <f>Tabla13[[#This Row],[Price]]*Tabla13[[#This Row],[QTY Adjusted]]</f>
        <v>0</v>
      </c>
      <c r="O43" s="10">
        <v>0</v>
      </c>
      <c r="P43" s="10" t="s">
        <v>4240</v>
      </c>
      <c r="Q43" s="6" t="s">
        <v>4245</v>
      </c>
    </row>
    <row r="44" spans="1:17" ht="41.4" customHeight="1" outlineLevel="1" x14ac:dyDescent="0.3">
      <c r="A44" s="6">
        <v>2004</v>
      </c>
      <c r="B44" s="6" t="s">
        <v>3960</v>
      </c>
      <c r="C44" s="6" t="s">
        <v>228</v>
      </c>
      <c r="D44" s="6" t="s">
        <v>44</v>
      </c>
      <c r="E44" s="6"/>
      <c r="F44" s="6" t="s">
        <v>4059</v>
      </c>
      <c r="G44" s="6" t="s">
        <v>250</v>
      </c>
      <c r="H44" s="6" t="s">
        <v>248</v>
      </c>
      <c r="I44" s="6" t="s">
        <v>251</v>
      </c>
      <c r="J44" s="6">
        <v>0</v>
      </c>
      <c r="K44" s="6" t="s">
        <v>748</v>
      </c>
      <c r="L44" s="10">
        <v>364.5</v>
      </c>
      <c r="M44" s="6" t="s">
        <v>33</v>
      </c>
      <c r="N44" s="10">
        <f>Tabla13[[#This Row],[Price]]*Tabla13[[#This Row],[QTY Adjusted]]</f>
        <v>0</v>
      </c>
      <c r="O44" s="10">
        <v>0</v>
      </c>
      <c r="P44" s="10" t="s">
        <v>4240</v>
      </c>
      <c r="Q44" s="6" t="s">
        <v>4245</v>
      </c>
    </row>
    <row r="45" spans="1:17" ht="41.4" customHeight="1" outlineLevel="1" x14ac:dyDescent="0.3">
      <c r="A45" s="6">
        <v>2005</v>
      </c>
      <c r="B45" s="6" t="s">
        <v>3960</v>
      </c>
      <c r="C45" s="6" t="s">
        <v>228</v>
      </c>
      <c r="D45" s="6" t="s">
        <v>44</v>
      </c>
      <c r="E45" s="6"/>
      <c r="F45" s="6" t="s">
        <v>4059</v>
      </c>
      <c r="G45" s="6" t="s">
        <v>252</v>
      </c>
      <c r="H45" s="6" t="s">
        <v>248</v>
      </c>
      <c r="I45" s="6" t="s">
        <v>253</v>
      </c>
      <c r="J45" s="6">
        <v>0</v>
      </c>
      <c r="K45" s="6" t="s">
        <v>748</v>
      </c>
      <c r="L45" s="10">
        <v>364.5</v>
      </c>
      <c r="M45" s="6" t="s">
        <v>33</v>
      </c>
      <c r="N45" s="10">
        <f>Tabla13[[#This Row],[Price]]*Tabla13[[#This Row],[QTY Adjusted]]</f>
        <v>0</v>
      </c>
      <c r="O45" s="10">
        <v>0</v>
      </c>
      <c r="P45" s="10" t="s">
        <v>4240</v>
      </c>
      <c r="Q45" s="6" t="s">
        <v>4245</v>
      </c>
    </row>
    <row r="46" spans="1:17" ht="41.4" customHeight="1" outlineLevel="1" x14ac:dyDescent="0.3">
      <c r="A46" s="6">
        <v>2006</v>
      </c>
      <c r="B46" s="6" t="s">
        <v>3960</v>
      </c>
      <c r="C46" s="6" t="s">
        <v>228</v>
      </c>
      <c r="D46" s="6" t="s">
        <v>44</v>
      </c>
      <c r="E46" s="6"/>
      <c r="F46" s="6" t="s">
        <v>4059</v>
      </c>
      <c r="G46" s="6" t="s">
        <v>254</v>
      </c>
      <c r="H46" s="6" t="s">
        <v>248</v>
      </c>
      <c r="I46" s="6" t="s">
        <v>255</v>
      </c>
      <c r="J46" s="6">
        <v>0</v>
      </c>
      <c r="K46" s="6" t="s">
        <v>748</v>
      </c>
      <c r="L46" s="10">
        <v>364.5</v>
      </c>
      <c r="M46" s="6" t="s">
        <v>33</v>
      </c>
      <c r="N46" s="10">
        <f>Tabla13[[#This Row],[Price]]*Tabla13[[#This Row],[QTY Adjusted]]</f>
        <v>0</v>
      </c>
      <c r="O46" s="10">
        <v>0</v>
      </c>
      <c r="P46" s="10" t="s">
        <v>4240</v>
      </c>
      <c r="Q46" s="6" t="s">
        <v>4245</v>
      </c>
    </row>
    <row r="47" spans="1:17" ht="41.4" customHeight="1" outlineLevel="1" x14ac:dyDescent="0.3">
      <c r="A47" s="6">
        <v>2007</v>
      </c>
      <c r="B47" s="6" t="s">
        <v>3960</v>
      </c>
      <c r="C47" s="6" t="s">
        <v>228</v>
      </c>
      <c r="D47" s="6" t="s">
        <v>44</v>
      </c>
      <c r="E47" s="6"/>
      <c r="F47" s="6" t="s">
        <v>4059</v>
      </c>
      <c r="G47" s="6" t="s">
        <v>256</v>
      </c>
      <c r="H47" s="6" t="s">
        <v>248</v>
      </c>
      <c r="I47" s="6" t="s">
        <v>257</v>
      </c>
      <c r="J47" s="6">
        <v>0</v>
      </c>
      <c r="K47" s="6" t="s">
        <v>748</v>
      </c>
      <c r="L47" s="10">
        <v>364.5</v>
      </c>
      <c r="M47" s="6" t="s">
        <v>33</v>
      </c>
      <c r="N47" s="10">
        <f>Tabla13[[#This Row],[Price]]*Tabla13[[#This Row],[QTY Adjusted]]</f>
        <v>0</v>
      </c>
      <c r="O47" s="10">
        <v>0</v>
      </c>
      <c r="P47" s="10" t="s">
        <v>4240</v>
      </c>
      <c r="Q47" s="6" t="s">
        <v>4245</v>
      </c>
    </row>
    <row r="48" spans="1:17" ht="41.4" customHeight="1" outlineLevel="1" x14ac:dyDescent="0.3">
      <c r="A48" s="6">
        <v>2008</v>
      </c>
      <c r="B48" s="6" t="s">
        <v>3960</v>
      </c>
      <c r="C48" s="6" t="s">
        <v>228</v>
      </c>
      <c r="D48" s="6" t="s">
        <v>44</v>
      </c>
      <c r="E48" s="6"/>
      <c r="F48" s="6" t="s">
        <v>4059</v>
      </c>
      <c r="G48" s="6" t="s">
        <v>258</v>
      </c>
      <c r="H48" s="6" t="s">
        <v>248</v>
      </c>
      <c r="I48" s="6" t="s">
        <v>259</v>
      </c>
      <c r="J48" s="6">
        <v>0</v>
      </c>
      <c r="K48" s="6" t="s">
        <v>748</v>
      </c>
      <c r="L48" s="10">
        <v>364.5</v>
      </c>
      <c r="M48" s="6" t="s">
        <v>33</v>
      </c>
      <c r="N48" s="10">
        <f>Tabla13[[#This Row],[Price]]*Tabla13[[#This Row],[QTY Adjusted]]</f>
        <v>0</v>
      </c>
      <c r="O48" s="10">
        <v>0</v>
      </c>
      <c r="P48" s="10" t="s">
        <v>4240</v>
      </c>
      <c r="Q48" s="6" t="s">
        <v>4245</v>
      </c>
    </row>
    <row r="49" spans="1:17" ht="41.4" customHeight="1" outlineLevel="1" x14ac:dyDescent="0.3">
      <c r="A49" s="6">
        <v>2009</v>
      </c>
      <c r="B49" s="6" t="s">
        <v>3960</v>
      </c>
      <c r="C49" s="6" t="s">
        <v>228</v>
      </c>
      <c r="D49" s="6" t="s">
        <v>44</v>
      </c>
      <c r="E49" s="6"/>
      <c r="F49" s="6" t="s">
        <v>4059</v>
      </c>
      <c r="G49" s="6" t="s">
        <v>260</v>
      </c>
      <c r="H49" s="6" t="s">
        <v>248</v>
      </c>
      <c r="I49" s="6" t="s">
        <v>261</v>
      </c>
      <c r="J49" s="6">
        <v>0</v>
      </c>
      <c r="K49" s="6" t="s">
        <v>748</v>
      </c>
      <c r="L49" s="10">
        <v>364.5</v>
      </c>
      <c r="M49" s="6" t="s">
        <v>33</v>
      </c>
      <c r="N49" s="10">
        <f>Tabla13[[#This Row],[Price]]*Tabla13[[#This Row],[QTY Adjusted]]</f>
        <v>0</v>
      </c>
      <c r="O49" s="10">
        <v>0</v>
      </c>
      <c r="P49" s="10" t="s">
        <v>4240</v>
      </c>
      <c r="Q49" s="6" t="s">
        <v>4245</v>
      </c>
    </row>
    <row r="50" spans="1:17" ht="41.4" customHeight="1" outlineLevel="1" x14ac:dyDescent="0.3">
      <c r="A50" s="6">
        <v>2010</v>
      </c>
      <c r="B50" s="6" t="s">
        <v>3960</v>
      </c>
      <c r="C50" s="6" t="s">
        <v>228</v>
      </c>
      <c r="D50" s="6" t="s">
        <v>44</v>
      </c>
      <c r="E50" s="6"/>
      <c r="F50" s="6" t="s">
        <v>4059</v>
      </c>
      <c r="G50" s="6" t="s">
        <v>262</v>
      </c>
      <c r="H50" s="6" t="s">
        <v>248</v>
      </c>
      <c r="I50" s="6" t="s">
        <v>263</v>
      </c>
      <c r="J50" s="6">
        <v>0</v>
      </c>
      <c r="K50" s="6" t="s">
        <v>748</v>
      </c>
      <c r="L50" s="10">
        <v>364.5</v>
      </c>
      <c r="M50" s="6" t="s">
        <v>33</v>
      </c>
      <c r="N50" s="10">
        <f>Tabla13[[#This Row],[Price]]*Tabla13[[#This Row],[QTY Adjusted]]</f>
        <v>0</v>
      </c>
      <c r="O50" s="10">
        <v>0</v>
      </c>
      <c r="P50" s="10" t="s">
        <v>4240</v>
      </c>
      <c r="Q50" s="6" t="s">
        <v>4245</v>
      </c>
    </row>
    <row r="51" spans="1:17" ht="41.4" customHeight="1" outlineLevel="1" x14ac:dyDescent="0.3">
      <c r="A51" s="6">
        <v>2011</v>
      </c>
      <c r="B51" s="6" t="s">
        <v>3960</v>
      </c>
      <c r="C51" s="6" t="s">
        <v>228</v>
      </c>
      <c r="D51" s="6" t="s">
        <v>44</v>
      </c>
      <c r="E51" s="6"/>
      <c r="F51" s="6" t="s">
        <v>4059</v>
      </c>
      <c r="G51" s="6" t="s">
        <v>264</v>
      </c>
      <c r="H51" s="6" t="s">
        <v>248</v>
      </c>
      <c r="I51" s="6" t="s">
        <v>265</v>
      </c>
      <c r="J51" s="6">
        <v>0</v>
      </c>
      <c r="K51" s="6" t="s">
        <v>748</v>
      </c>
      <c r="L51" s="10">
        <v>364.5</v>
      </c>
      <c r="M51" s="6" t="s">
        <v>33</v>
      </c>
      <c r="N51" s="10">
        <f>Tabla13[[#This Row],[Price]]*Tabla13[[#This Row],[QTY Adjusted]]</f>
        <v>0</v>
      </c>
      <c r="O51" s="10">
        <v>0</v>
      </c>
      <c r="P51" s="10" t="s">
        <v>4240</v>
      </c>
      <c r="Q51" s="6" t="s">
        <v>4245</v>
      </c>
    </row>
    <row r="52" spans="1:17" ht="41.4" customHeight="1" x14ac:dyDescent="0.3">
      <c r="A52" s="6">
        <v>1976</v>
      </c>
      <c r="B52" s="6" t="s">
        <v>3877</v>
      </c>
      <c r="C52" s="6" t="s">
        <v>124</v>
      </c>
      <c r="D52" s="6" t="str">
        <f>Tabla13[[#This Row],[Vendor]]</f>
        <v>Impulse</v>
      </c>
      <c r="E52" s="6"/>
      <c r="F52" s="6" t="s">
        <v>4059</v>
      </c>
      <c r="G52" s="6" t="s">
        <v>3939</v>
      </c>
      <c r="H52" s="6" t="s">
        <v>125</v>
      </c>
      <c r="I52" s="6" t="s">
        <v>3940</v>
      </c>
      <c r="J52" s="6">
        <v>12</v>
      </c>
      <c r="K52" s="6" t="s">
        <v>19</v>
      </c>
      <c r="L52" s="10">
        <v>59</v>
      </c>
      <c r="M52" s="6" t="s">
        <v>33</v>
      </c>
      <c r="N52" s="10">
        <f>Tabla13[[#This Row],[Price]]*Tabla13[[#This Row],[QTY Adjusted]]</f>
        <v>708</v>
      </c>
      <c r="O52" s="10">
        <v>708</v>
      </c>
      <c r="P52" s="10" t="s">
        <v>4224</v>
      </c>
      <c r="Q52" s="6">
        <v>0</v>
      </c>
    </row>
    <row r="53" spans="1:17" ht="41.4" customHeight="1" x14ac:dyDescent="0.3">
      <c r="A53" s="6">
        <v>1992</v>
      </c>
      <c r="B53" s="6" t="s">
        <v>3877</v>
      </c>
      <c r="C53" s="6" t="s">
        <v>684</v>
      </c>
      <c r="D53" s="6" t="str">
        <f>Tabla13[[#This Row],[Vendor]]</f>
        <v>Pantheon</v>
      </c>
      <c r="E53" s="6"/>
      <c r="F53" s="6" t="s">
        <v>4059</v>
      </c>
      <c r="G53" s="6" t="s">
        <v>178</v>
      </c>
      <c r="H53" s="6" t="s">
        <v>686</v>
      </c>
      <c r="I53" s="6" t="s">
        <v>3949</v>
      </c>
      <c r="J53" s="6">
        <v>6</v>
      </c>
      <c r="K53" s="6" t="s">
        <v>19</v>
      </c>
      <c r="L53" s="10">
        <v>110.07</v>
      </c>
      <c r="M53" s="6" t="s">
        <v>33</v>
      </c>
      <c r="N53" s="10">
        <f>Tabla13[[#This Row],[Price]]*Tabla13[[#This Row],[QTY Adjusted]]</f>
        <v>660.42</v>
      </c>
      <c r="O53" s="10">
        <v>660.42</v>
      </c>
      <c r="P53" s="10" t="s">
        <v>4234</v>
      </c>
      <c r="Q53" s="6" t="s">
        <v>4246</v>
      </c>
    </row>
    <row r="54" spans="1:17" ht="41.4" customHeight="1" x14ac:dyDescent="0.3">
      <c r="A54" s="6">
        <v>1970</v>
      </c>
      <c r="B54" s="6" t="s">
        <v>3877</v>
      </c>
      <c r="C54" s="6" t="s">
        <v>1903</v>
      </c>
      <c r="D54" s="6" t="s">
        <v>44</v>
      </c>
      <c r="E54" s="6"/>
      <c r="F54" s="6" t="s">
        <v>4059</v>
      </c>
      <c r="G54" s="6" t="s">
        <v>3922</v>
      </c>
      <c r="H54" s="6" t="s">
        <v>3917</v>
      </c>
      <c r="I54" s="6" t="s">
        <v>3923</v>
      </c>
      <c r="J54" s="6">
        <v>24</v>
      </c>
      <c r="K54" s="6" t="s">
        <v>19</v>
      </c>
      <c r="L54" s="10">
        <v>24.135999999999999</v>
      </c>
      <c r="M54" s="6" t="s">
        <v>33</v>
      </c>
      <c r="N54" s="10">
        <f>Tabla13[[#This Row],[Price]]*Tabla13[[#This Row],[QTY Adjusted]]</f>
        <v>579.26400000000001</v>
      </c>
      <c r="O54" s="10">
        <v>579.26400000000001</v>
      </c>
      <c r="P54" s="22" t="s">
        <v>4225</v>
      </c>
      <c r="Q54" s="6">
        <v>0</v>
      </c>
    </row>
    <row r="55" spans="1:17" ht="41.4" customHeight="1" x14ac:dyDescent="0.3">
      <c r="A55" s="6">
        <v>1989</v>
      </c>
      <c r="B55" s="6" t="s">
        <v>3877</v>
      </c>
      <c r="C55" s="6" t="s">
        <v>1316</v>
      </c>
      <c r="D55" s="6" t="s">
        <v>718</v>
      </c>
      <c r="E55" s="6"/>
      <c r="F55" s="6" t="s">
        <v>4062</v>
      </c>
      <c r="G55" s="6" t="s">
        <v>1690</v>
      </c>
      <c r="H55" s="6" t="s">
        <v>3945</v>
      </c>
      <c r="I55" s="6" t="s">
        <v>1691</v>
      </c>
      <c r="J55" s="6">
        <v>24</v>
      </c>
      <c r="K55" s="6" t="s">
        <v>19</v>
      </c>
      <c r="L55" s="10">
        <v>22.32</v>
      </c>
      <c r="M55" s="6" t="s">
        <v>33</v>
      </c>
      <c r="N55" s="10">
        <f>Tabla13[[#This Row],[Price]]*Tabla13[[#This Row],[QTY Adjusted]]</f>
        <v>535.68000000000006</v>
      </c>
      <c r="O55" s="10">
        <v>535.68000000000006</v>
      </c>
      <c r="P55" s="10" t="s">
        <v>4225</v>
      </c>
      <c r="Q55" s="6">
        <v>0</v>
      </c>
    </row>
    <row r="56" spans="1:17" ht="41.4" customHeight="1" x14ac:dyDescent="0.3">
      <c r="A56" s="6">
        <v>1966</v>
      </c>
      <c r="B56" s="6" t="s">
        <v>3877</v>
      </c>
      <c r="C56" s="6" t="s">
        <v>228</v>
      </c>
      <c r="D56" s="6" t="s">
        <v>44</v>
      </c>
      <c r="E56" s="6"/>
      <c r="F56" s="6" t="s">
        <v>4059</v>
      </c>
      <c r="G56" s="6" t="s">
        <v>3910</v>
      </c>
      <c r="H56" s="6" t="s">
        <v>3911</v>
      </c>
      <c r="I56" s="6" t="s">
        <v>3912</v>
      </c>
      <c r="J56" s="6">
        <v>24</v>
      </c>
      <c r="K56" s="6" t="s">
        <v>19</v>
      </c>
      <c r="L56" s="10">
        <v>21.32</v>
      </c>
      <c r="M56" s="6" t="s">
        <v>33</v>
      </c>
      <c r="N56" s="10">
        <f>Tabla13[[#This Row],[Price]]*Tabla13[[#This Row],[QTY Adjusted]]</f>
        <v>511.68</v>
      </c>
      <c r="O56" s="10">
        <v>511.68</v>
      </c>
      <c r="P56" s="22" t="s">
        <v>4225</v>
      </c>
      <c r="Q56" s="6">
        <v>0</v>
      </c>
    </row>
    <row r="57" spans="1:17" ht="41.4" customHeight="1" x14ac:dyDescent="0.3">
      <c r="A57" s="6">
        <v>1987</v>
      </c>
      <c r="B57" s="6" t="s">
        <v>3877</v>
      </c>
      <c r="C57" s="6" t="s">
        <v>1316</v>
      </c>
      <c r="D57" s="6" t="s">
        <v>718</v>
      </c>
      <c r="E57" s="6"/>
      <c r="F57" s="6" t="s">
        <v>4062</v>
      </c>
      <c r="G57" s="6" t="s">
        <v>1650</v>
      </c>
      <c r="H57" s="6" t="s">
        <v>154</v>
      </c>
      <c r="I57" s="6" t="s">
        <v>1651</v>
      </c>
      <c r="J57" s="6">
        <v>47</v>
      </c>
      <c r="K57" s="6" t="s">
        <v>19</v>
      </c>
      <c r="L57" s="10">
        <v>9.3000000000000007</v>
      </c>
      <c r="M57" s="6" t="s">
        <v>33</v>
      </c>
      <c r="N57" s="10">
        <f>Tabla13[[#This Row],[Price]]*Tabla13[[#This Row],[QTY Adjusted]]</f>
        <v>437.1</v>
      </c>
      <c r="O57" s="10">
        <v>437.1</v>
      </c>
      <c r="P57" s="10" t="s">
        <v>4225</v>
      </c>
      <c r="Q57" s="6">
        <v>0</v>
      </c>
    </row>
    <row r="58" spans="1:17" ht="41.4" customHeight="1" x14ac:dyDescent="0.3">
      <c r="A58" s="6">
        <v>1986</v>
      </c>
      <c r="B58" s="6" t="s">
        <v>3877</v>
      </c>
      <c r="C58" s="6" t="s">
        <v>1316</v>
      </c>
      <c r="D58" s="6" t="s">
        <v>718</v>
      </c>
      <c r="E58" s="6"/>
      <c r="F58" s="6" t="s">
        <v>4062</v>
      </c>
      <c r="G58" s="6" t="s">
        <v>1648</v>
      </c>
      <c r="H58" s="6" t="s">
        <v>159</v>
      </c>
      <c r="I58" s="6" t="s">
        <v>1649</v>
      </c>
      <c r="J58" s="6">
        <v>47</v>
      </c>
      <c r="K58" s="6" t="s">
        <v>19</v>
      </c>
      <c r="L58" s="10">
        <v>9</v>
      </c>
      <c r="M58" s="6" t="s">
        <v>33</v>
      </c>
      <c r="N58" s="10">
        <f>Tabla13[[#This Row],[Price]]*Tabla13[[#This Row],[QTY Adjusted]]</f>
        <v>423</v>
      </c>
      <c r="O58" s="10">
        <v>423</v>
      </c>
      <c r="P58" s="10" t="s">
        <v>4225</v>
      </c>
      <c r="Q58" s="6">
        <v>0</v>
      </c>
    </row>
    <row r="59" spans="1:17" ht="41.4" customHeight="1" x14ac:dyDescent="0.3">
      <c r="A59" s="6">
        <v>1981</v>
      </c>
      <c r="B59" s="6" t="s">
        <v>3877</v>
      </c>
      <c r="C59" s="6" t="s">
        <v>1316</v>
      </c>
      <c r="D59" s="6" t="s">
        <v>718</v>
      </c>
      <c r="E59" s="6"/>
      <c r="F59" s="6" t="s">
        <v>4062</v>
      </c>
      <c r="G59" s="6" t="s">
        <v>1322</v>
      </c>
      <c r="H59" s="6" t="s">
        <v>706</v>
      </c>
      <c r="I59" s="6" t="s">
        <v>1323</v>
      </c>
      <c r="J59" s="6">
        <v>47</v>
      </c>
      <c r="K59" s="6" t="s">
        <v>19</v>
      </c>
      <c r="L59" s="10">
        <v>8</v>
      </c>
      <c r="M59" s="6" t="s">
        <v>33</v>
      </c>
      <c r="N59" s="10">
        <f>Tabla13[[#This Row],[Price]]*Tabla13[[#This Row],[QTY Adjusted]]</f>
        <v>376</v>
      </c>
      <c r="O59" s="10">
        <v>376</v>
      </c>
      <c r="P59" s="10" t="s">
        <v>4225</v>
      </c>
      <c r="Q59" s="6">
        <v>0</v>
      </c>
    </row>
    <row r="60" spans="1:17" ht="41.4" customHeight="1" x14ac:dyDescent="0.3">
      <c r="A60" s="6">
        <v>2000</v>
      </c>
      <c r="B60" s="6" t="s">
        <v>3960</v>
      </c>
      <c r="C60" s="6" t="s">
        <v>237</v>
      </c>
      <c r="D60" s="6" t="s">
        <v>93</v>
      </c>
      <c r="E60" s="6"/>
      <c r="F60" s="6" t="s">
        <v>4059</v>
      </c>
      <c r="G60" s="6" t="s">
        <v>238</v>
      </c>
      <c r="H60" s="6" t="s">
        <v>239</v>
      </c>
      <c r="I60" s="6" t="s">
        <v>240</v>
      </c>
      <c r="J60" s="6">
        <v>4</v>
      </c>
      <c r="K60" s="6" t="s">
        <v>19</v>
      </c>
      <c r="L60" s="10">
        <v>93.27</v>
      </c>
      <c r="M60" s="6" t="s">
        <v>33</v>
      </c>
      <c r="N60" s="10">
        <f>Tabla13[[#This Row],[Price]]*Tabla13[[#This Row],[QTY Adjusted]]</f>
        <v>373.08</v>
      </c>
      <c r="O60" s="10">
        <v>373.08</v>
      </c>
      <c r="P60" s="10" t="s">
        <v>4225</v>
      </c>
      <c r="Q60" s="6">
        <v>0</v>
      </c>
    </row>
    <row r="61" spans="1:17" ht="41.4" customHeight="1" x14ac:dyDescent="0.3">
      <c r="A61" s="6">
        <v>2027</v>
      </c>
      <c r="B61" s="6" t="s">
        <v>3960</v>
      </c>
      <c r="C61" s="6" t="s">
        <v>314</v>
      </c>
      <c r="D61" s="6" t="s">
        <v>93</v>
      </c>
      <c r="E61" s="6"/>
      <c r="F61" s="6" t="s">
        <v>4059</v>
      </c>
      <c r="G61" s="6" t="s">
        <v>315</v>
      </c>
      <c r="H61" s="6" t="s">
        <v>316</v>
      </c>
      <c r="I61" s="6" t="s">
        <v>317</v>
      </c>
      <c r="J61" s="6">
        <v>2</v>
      </c>
      <c r="K61" s="6" t="s">
        <v>19</v>
      </c>
      <c r="L61" s="10">
        <v>175.87</v>
      </c>
      <c r="M61" s="6" t="s">
        <v>33</v>
      </c>
      <c r="N61" s="10">
        <f>Tabla13[[#This Row],[Price]]*Tabla13[[#This Row],[QTY Adjusted]]</f>
        <v>351.74</v>
      </c>
      <c r="O61" s="10">
        <v>351.74</v>
      </c>
      <c r="P61" s="10" t="s">
        <v>4225</v>
      </c>
      <c r="Q61" s="6">
        <v>0</v>
      </c>
    </row>
    <row r="62" spans="1:17" ht="41.4" customHeight="1" x14ac:dyDescent="0.3">
      <c r="A62" s="6">
        <v>1967</v>
      </c>
      <c r="B62" s="6" t="s">
        <v>3877</v>
      </c>
      <c r="C62" s="6" t="s">
        <v>228</v>
      </c>
      <c r="D62" s="6" t="s">
        <v>44</v>
      </c>
      <c r="E62" s="6"/>
      <c r="F62" s="6" t="s">
        <v>4059</v>
      </c>
      <c r="G62" s="6" t="s">
        <v>3913</v>
      </c>
      <c r="H62" s="6" t="s">
        <v>3914</v>
      </c>
      <c r="I62" s="6" t="s">
        <v>3915</v>
      </c>
      <c r="J62" s="6">
        <v>48</v>
      </c>
      <c r="K62" s="6" t="s">
        <v>19</v>
      </c>
      <c r="L62" s="10">
        <v>6.1</v>
      </c>
      <c r="M62" s="6" t="s">
        <v>33</v>
      </c>
      <c r="N62" s="10">
        <f>Tabla13[[#This Row],[Price]]*Tabla13[[#This Row],[QTY Adjusted]]</f>
        <v>292.79999999999995</v>
      </c>
      <c r="O62" s="10">
        <v>292.79999999999995</v>
      </c>
      <c r="P62" s="22" t="s">
        <v>4225</v>
      </c>
      <c r="Q62" s="6">
        <v>0</v>
      </c>
    </row>
    <row r="63" spans="1:17" ht="41.4" customHeight="1" x14ac:dyDescent="0.3">
      <c r="A63" s="6">
        <v>2042</v>
      </c>
      <c r="B63" s="6" t="s">
        <v>3960</v>
      </c>
      <c r="C63" s="6" t="s">
        <v>361</v>
      </c>
      <c r="D63" s="6" t="s">
        <v>362</v>
      </c>
      <c r="E63" s="6"/>
      <c r="F63" s="6" t="s">
        <v>4059</v>
      </c>
      <c r="G63" s="6" t="s">
        <v>363</v>
      </c>
      <c r="H63" s="6" t="s">
        <v>364</v>
      </c>
      <c r="I63" s="6" t="s">
        <v>365</v>
      </c>
      <c r="J63" s="6">
        <v>6</v>
      </c>
      <c r="K63" s="6" t="s">
        <v>19</v>
      </c>
      <c r="L63" s="10">
        <v>44.937176470588234</v>
      </c>
      <c r="M63" s="6" t="s">
        <v>33</v>
      </c>
      <c r="N63" s="10">
        <f>Tabla13[[#This Row],[Price]]*Tabla13[[#This Row],[QTY Adjusted]]</f>
        <v>269.62305882352939</v>
      </c>
      <c r="O63" s="10">
        <v>269.62305882352939</v>
      </c>
      <c r="P63" s="10" t="s">
        <v>4225</v>
      </c>
      <c r="Q63" s="6">
        <v>0</v>
      </c>
    </row>
    <row r="64" spans="1:17" ht="41.4" customHeight="1" x14ac:dyDescent="0.3">
      <c r="A64" s="6">
        <v>1956</v>
      </c>
      <c r="B64" s="6" t="s">
        <v>3877</v>
      </c>
      <c r="C64" s="6" t="s">
        <v>717</v>
      </c>
      <c r="D64" s="6" t="s">
        <v>718</v>
      </c>
      <c r="E64" s="6"/>
      <c r="F64" s="6" t="s">
        <v>4063</v>
      </c>
      <c r="G64" s="6" t="s">
        <v>3806</v>
      </c>
      <c r="H64" s="6" t="s">
        <v>3807</v>
      </c>
      <c r="I64" s="6" t="s">
        <v>3808</v>
      </c>
      <c r="J64" s="6">
        <v>47</v>
      </c>
      <c r="K64" s="6" t="s">
        <v>19</v>
      </c>
      <c r="L64" s="10">
        <v>4.9000000000000004</v>
      </c>
      <c r="M64" s="6" t="s">
        <v>33</v>
      </c>
      <c r="N64" s="10">
        <f>Tabla13[[#This Row],[Price]]*Tabla13[[#This Row],[QTY Adjusted]]</f>
        <v>230.3</v>
      </c>
      <c r="O64" s="10">
        <v>230.3</v>
      </c>
      <c r="P64" s="10" t="s">
        <v>4228</v>
      </c>
      <c r="Q64" s="6" t="s">
        <v>4246</v>
      </c>
    </row>
    <row r="65" spans="1:17" ht="41.4" customHeight="1" x14ac:dyDescent="0.3">
      <c r="A65" s="6">
        <v>1955</v>
      </c>
      <c r="B65" s="6" t="s">
        <v>3877</v>
      </c>
      <c r="C65" s="6" t="s">
        <v>130</v>
      </c>
      <c r="D65" s="6" t="s">
        <v>130</v>
      </c>
      <c r="E65" s="6"/>
      <c r="F65" s="6" t="s">
        <v>4063</v>
      </c>
      <c r="G65" s="6" t="s">
        <v>588</v>
      </c>
      <c r="H65" s="6" t="s">
        <v>589</v>
      </c>
      <c r="I65" s="6" t="s">
        <v>590</v>
      </c>
      <c r="J65" s="6">
        <v>47</v>
      </c>
      <c r="K65" s="6" t="s">
        <v>19</v>
      </c>
      <c r="L65" s="10">
        <v>4.7358324507447564</v>
      </c>
      <c r="M65" s="6" t="s">
        <v>33</v>
      </c>
      <c r="N65" s="10">
        <f>Tabla13[[#This Row],[Price]]*Tabla13[[#This Row],[QTY Adjusted]]</f>
        <v>222.58412518500356</v>
      </c>
      <c r="O65" s="10">
        <v>222.58412518500356</v>
      </c>
      <c r="P65" s="10" t="s">
        <v>4225</v>
      </c>
      <c r="Q65" s="6">
        <v>0</v>
      </c>
    </row>
    <row r="66" spans="1:17" ht="41.4" customHeight="1" x14ac:dyDescent="0.3">
      <c r="A66" s="6">
        <v>2034</v>
      </c>
      <c r="B66" s="6" t="s">
        <v>3960</v>
      </c>
      <c r="C66" s="6" t="s">
        <v>237</v>
      </c>
      <c r="D66" s="6" t="s">
        <v>93</v>
      </c>
      <c r="E66" s="6"/>
      <c r="F66" s="6" t="s">
        <v>4059</v>
      </c>
      <c r="G66" s="6" t="s">
        <v>339</v>
      </c>
      <c r="H66" s="6" t="s">
        <v>334</v>
      </c>
      <c r="I66" s="6" t="s">
        <v>340</v>
      </c>
      <c r="J66" s="6">
        <v>6</v>
      </c>
      <c r="K66" s="6" t="s">
        <v>19</v>
      </c>
      <c r="L66" s="10">
        <v>41.19</v>
      </c>
      <c r="M66" s="6" t="s">
        <v>33</v>
      </c>
      <c r="N66" s="10">
        <f>Tabla13[[#This Row],[Price]]*Tabla13[[#This Row],[QTY Adjusted]]</f>
        <v>247.14</v>
      </c>
      <c r="O66" s="10">
        <v>247.14</v>
      </c>
      <c r="P66" s="10" t="s">
        <v>4225</v>
      </c>
      <c r="Q66" s="6">
        <v>0</v>
      </c>
    </row>
    <row r="67" spans="1:17" ht="41.4" customHeight="1" x14ac:dyDescent="0.3">
      <c r="A67" s="6">
        <v>1988</v>
      </c>
      <c r="B67" s="6" t="s">
        <v>3877</v>
      </c>
      <c r="C67" s="6" t="s">
        <v>1316</v>
      </c>
      <c r="D67" s="6" t="s">
        <v>718</v>
      </c>
      <c r="E67" s="6"/>
      <c r="F67" s="6" t="s">
        <v>4062</v>
      </c>
      <c r="G67" s="6" t="s">
        <v>1652</v>
      </c>
      <c r="H67" s="6" t="s">
        <v>416</v>
      </c>
      <c r="I67" s="6" t="s">
        <v>1653</v>
      </c>
      <c r="J67" s="6">
        <v>52</v>
      </c>
      <c r="K67" s="6" t="s">
        <v>19</v>
      </c>
      <c r="L67" s="10">
        <v>3.7</v>
      </c>
      <c r="M67" s="6" t="s">
        <v>33</v>
      </c>
      <c r="N67" s="10">
        <f>Tabla13[[#This Row],[Price]]*Tabla13[[#This Row],[QTY Adjusted]]</f>
        <v>192.4</v>
      </c>
      <c r="O67" s="10">
        <v>192.4</v>
      </c>
      <c r="P67" s="10" t="s">
        <v>4225</v>
      </c>
      <c r="Q67" s="6">
        <v>0</v>
      </c>
    </row>
    <row r="68" spans="1:17" ht="41.4" customHeight="1" x14ac:dyDescent="0.3">
      <c r="A68" s="6">
        <v>1977</v>
      </c>
      <c r="B68" s="6" t="s">
        <v>3877</v>
      </c>
      <c r="C68" s="6" t="s">
        <v>124</v>
      </c>
      <c r="D68" s="6" t="str">
        <f>Tabla13[[#This Row],[Vendor]]</f>
        <v>Impulse</v>
      </c>
      <c r="E68" s="6"/>
      <c r="F68" s="6" t="s">
        <v>4059</v>
      </c>
      <c r="G68" s="6" t="s">
        <v>3941</v>
      </c>
      <c r="H68" s="6" t="s">
        <v>3942</v>
      </c>
      <c r="I68" s="6" t="s">
        <v>3943</v>
      </c>
      <c r="J68" s="6">
        <v>24</v>
      </c>
      <c r="K68" s="6" t="s">
        <v>19</v>
      </c>
      <c r="L68" s="10">
        <v>9.25</v>
      </c>
      <c r="M68" s="6" t="s">
        <v>33</v>
      </c>
      <c r="N68" s="10">
        <f>Tabla13[[#This Row],[Price]]*Tabla13[[#This Row],[QTY Adjusted]]</f>
        <v>222</v>
      </c>
      <c r="O68" s="10">
        <v>222</v>
      </c>
      <c r="P68" s="10" t="s">
        <v>4224</v>
      </c>
      <c r="Q68" s="6">
        <v>0</v>
      </c>
    </row>
    <row r="69" spans="1:17" ht="41.4" customHeight="1" x14ac:dyDescent="0.3">
      <c r="A69" s="6">
        <v>2032</v>
      </c>
      <c r="B69" s="6" t="s">
        <v>3960</v>
      </c>
      <c r="C69" s="6" t="s">
        <v>237</v>
      </c>
      <c r="D69" s="6" t="s">
        <v>93</v>
      </c>
      <c r="E69" s="6"/>
      <c r="F69" s="6" t="s">
        <v>4059</v>
      </c>
      <c r="G69" s="6" t="s">
        <v>333</v>
      </c>
      <c r="H69" s="6" t="s">
        <v>334</v>
      </c>
      <c r="I69" s="6" t="s">
        <v>335</v>
      </c>
      <c r="J69" s="6">
        <v>6</v>
      </c>
      <c r="K69" s="6" t="s">
        <v>19</v>
      </c>
      <c r="L69" s="10">
        <v>28.36</v>
      </c>
      <c r="M69" s="6" t="s">
        <v>33</v>
      </c>
      <c r="N69" s="10">
        <f>Tabla13[[#This Row],[Price]]*Tabla13[[#This Row],[QTY Adjusted]]</f>
        <v>170.16</v>
      </c>
      <c r="O69" s="10">
        <v>170.16</v>
      </c>
      <c r="P69" s="10" t="s">
        <v>4225</v>
      </c>
      <c r="Q69" s="6">
        <v>0</v>
      </c>
    </row>
    <row r="70" spans="1:17" ht="41.4" customHeight="1" x14ac:dyDescent="0.3">
      <c r="A70" s="6">
        <v>2002</v>
      </c>
      <c r="B70" s="6" t="s">
        <v>3960</v>
      </c>
      <c r="C70" s="6" t="s">
        <v>237</v>
      </c>
      <c r="D70" s="6" t="s">
        <v>93</v>
      </c>
      <c r="E70" s="6"/>
      <c r="F70" s="6" t="s">
        <v>4059</v>
      </c>
      <c r="G70" s="6" t="s">
        <v>1962</v>
      </c>
      <c r="H70" s="6" t="s">
        <v>245</v>
      </c>
      <c r="I70" s="6" t="s">
        <v>1681</v>
      </c>
      <c r="J70" s="6">
        <v>2</v>
      </c>
      <c r="K70" s="6" t="s">
        <v>19</v>
      </c>
      <c r="L70" s="10">
        <v>83.54</v>
      </c>
      <c r="M70" s="6" t="s">
        <v>33</v>
      </c>
      <c r="N70" s="10">
        <f>Tabla13[[#This Row],[Price]]*Tabla13[[#This Row],[QTY Adjusted]]</f>
        <v>167.08</v>
      </c>
      <c r="O70" s="10">
        <v>167.08</v>
      </c>
      <c r="P70" s="10" t="s">
        <v>4225</v>
      </c>
      <c r="Q70" s="6">
        <v>0</v>
      </c>
    </row>
    <row r="71" spans="1:17" ht="41.4" customHeight="1" x14ac:dyDescent="0.3">
      <c r="A71" s="6">
        <v>2025</v>
      </c>
      <c r="B71" s="6" t="s">
        <v>3960</v>
      </c>
      <c r="C71" s="6" t="s">
        <v>272</v>
      </c>
      <c r="D71" s="6" t="str">
        <f>Tabla13[[#This Row],[Vendor]]</f>
        <v>Spill-Stop</v>
      </c>
      <c r="E71" s="6"/>
      <c r="F71" s="6" t="s">
        <v>4059</v>
      </c>
      <c r="G71" s="6" t="s">
        <v>306</v>
      </c>
      <c r="H71" s="6" t="s">
        <v>307</v>
      </c>
      <c r="I71" s="6" t="s">
        <v>308</v>
      </c>
      <c r="J71" s="6">
        <v>58</v>
      </c>
      <c r="K71" s="6" t="s">
        <v>19</v>
      </c>
      <c r="L71" s="10">
        <v>2.2799999999999998</v>
      </c>
      <c r="M71" s="6" t="s">
        <v>33</v>
      </c>
      <c r="N71" s="10">
        <f>Tabla13[[#This Row],[Price]]*Tabla13[[#This Row],[QTY Adjusted]]</f>
        <v>132.23999999999998</v>
      </c>
      <c r="O71" s="10">
        <v>132.23999999999998</v>
      </c>
      <c r="P71" s="10" t="s">
        <v>4230</v>
      </c>
      <c r="Q71" s="6">
        <v>0</v>
      </c>
    </row>
    <row r="72" spans="1:17" ht="41.4" customHeight="1" x14ac:dyDescent="0.3">
      <c r="A72" s="6">
        <v>2001</v>
      </c>
      <c r="B72" s="6" t="s">
        <v>3960</v>
      </c>
      <c r="C72" s="6" t="s">
        <v>237</v>
      </c>
      <c r="D72" s="6" t="s">
        <v>93</v>
      </c>
      <c r="E72" s="6"/>
      <c r="F72" s="6" t="s">
        <v>4059</v>
      </c>
      <c r="G72" s="6" t="s">
        <v>1960</v>
      </c>
      <c r="H72" s="6" t="s">
        <v>242</v>
      </c>
      <c r="I72" s="6" t="s">
        <v>1961</v>
      </c>
      <c r="J72" s="6">
        <v>2</v>
      </c>
      <c r="K72" s="6" t="s">
        <v>19</v>
      </c>
      <c r="L72" s="10">
        <v>70.900000000000006</v>
      </c>
      <c r="M72" s="6" t="s">
        <v>33</v>
      </c>
      <c r="N72" s="10">
        <f>Tabla13[[#This Row],[Price]]*Tabla13[[#This Row],[QTY Adjusted]]</f>
        <v>141.80000000000001</v>
      </c>
      <c r="O72" s="10">
        <v>141.80000000000001</v>
      </c>
      <c r="P72" s="10" t="s">
        <v>4225</v>
      </c>
      <c r="Q72" s="6">
        <v>0</v>
      </c>
    </row>
    <row r="73" spans="1:17" ht="41.4" customHeight="1" x14ac:dyDescent="0.3">
      <c r="A73" s="6">
        <v>1945</v>
      </c>
      <c r="B73" s="6" t="s">
        <v>3877</v>
      </c>
      <c r="C73" s="6" t="s">
        <v>38</v>
      </c>
      <c r="D73" s="6" t="str">
        <f>Tabla13[[#This Row],[Vendor]]</f>
        <v>Peugeot</v>
      </c>
      <c r="E73" s="6"/>
      <c r="F73" s="6" t="s">
        <v>4059</v>
      </c>
      <c r="G73" s="6">
        <v>38151</v>
      </c>
      <c r="H73" s="6" t="s">
        <v>39</v>
      </c>
      <c r="I73" s="6" t="s">
        <v>1200</v>
      </c>
      <c r="J73" s="6">
        <v>4</v>
      </c>
      <c r="K73" s="6" t="s">
        <v>19</v>
      </c>
      <c r="L73" s="10">
        <v>31.5</v>
      </c>
      <c r="M73" s="6" t="s">
        <v>33</v>
      </c>
      <c r="N73" s="10">
        <f>Tabla13[[#This Row],[Price]]*Tabla13[[#This Row],[QTY Adjusted]]</f>
        <v>126</v>
      </c>
      <c r="O73" s="10">
        <v>126</v>
      </c>
      <c r="P73" s="10" t="s">
        <v>4232</v>
      </c>
      <c r="Q73" s="6">
        <v>0</v>
      </c>
    </row>
    <row r="74" spans="1:17" ht="41.4" customHeight="1" x14ac:dyDescent="0.3">
      <c r="A74" s="6">
        <v>1946</v>
      </c>
      <c r="B74" s="6" t="s">
        <v>3877</v>
      </c>
      <c r="C74" s="6" t="s">
        <v>38</v>
      </c>
      <c r="D74" s="6" t="str">
        <f>Tabla13[[#This Row],[Vendor]]</f>
        <v>Peugeot</v>
      </c>
      <c r="E74" s="6"/>
      <c r="F74" s="6" t="s">
        <v>4059</v>
      </c>
      <c r="G74" s="6" t="s">
        <v>3884</v>
      </c>
      <c r="H74" s="6" t="s">
        <v>41</v>
      </c>
      <c r="I74" s="6" t="s">
        <v>1199</v>
      </c>
      <c r="J74" s="6">
        <v>4</v>
      </c>
      <c r="K74" s="6" t="s">
        <v>19</v>
      </c>
      <c r="L74" s="10">
        <v>31.5</v>
      </c>
      <c r="M74" s="6" t="s">
        <v>33</v>
      </c>
      <c r="N74" s="10">
        <f>Tabla13[[#This Row],[Price]]*Tabla13[[#This Row],[QTY Adjusted]]</f>
        <v>126</v>
      </c>
      <c r="O74" s="10">
        <v>126</v>
      </c>
      <c r="P74" s="10" t="s">
        <v>4232</v>
      </c>
      <c r="Q74" s="6">
        <v>0</v>
      </c>
    </row>
    <row r="75" spans="1:17" ht="41.4" customHeight="1" x14ac:dyDescent="0.3">
      <c r="A75" s="6">
        <v>1971</v>
      </c>
      <c r="B75" s="6" t="s">
        <v>3877</v>
      </c>
      <c r="C75" s="6" t="s">
        <v>371</v>
      </c>
      <c r="D75" s="6" t="str">
        <f>Tabla13[[#This Row],[Vendor]]</f>
        <v>Franmara</v>
      </c>
      <c r="E75" s="6"/>
      <c r="F75" s="6" t="s">
        <v>4059</v>
      </c>
      <c r="G75" s="6" t="s">
        <v>3924</v>
      </c>
      <c r="H75" s="6" t="s">
        <v>3925</v>
      </c>
      <c r="I75" s="6" t="s">
        <v>3926</v>
      </c>
      <c r="J75" s="6">
        <v>24</v>
      </c>
      <c r="K75" s="6" t="s">
        <v>19</v>
      </c>
      <c r="L75" s="10">
        <v>4.5</v>
      </c>
      <c r="M75" s="6" t="s">
        <v>33</v>
      </c>
      <c r="N75" s="10">
        <f>Tabla13[[#This Row],[Price]]*Tabla13[[#This Row],[QTY Adjusted]]</f>
        <v>108</v>
      </c>
      <c r="O75" s="10">
        <v>108</v>
      </c>
      <c r="P75" s="10" t="s">
        <v>4239</v>
      </c>
      <c r="Q75" s="6">
        <v>0</v>
      </c>
    </row>
    <row r="76" spans="1:17" ht="41.4" customHeight="1" x14ac:dyDescent="0.3">
      <c r="A76" s="6">
        <v>2035</v>
      </c>
      <c r="B76" s="6" t="s">
        <v>3960</v>
      </c>
      <c r="C76" s="6" t="s">
        <v>237</v>
      </c>
      <c r="D76" s="6" t="s">
        <v>93</v>
      </c>
      <c r="E76" s="6"/>
      <c r="F76" s="6" t="s">
        <v>4059</v>
      </c>
      <c r="G76" s="6" t="s">
        <v>341</v>
      </c>
      <c r="H76" s="6" t="s">
        <v>337</v>
      </c>
      <c r="I76" s="6" t="s">
        <v>342</v>
      </c>
      <c r="J76" s="6">
        <v>6</v>
      </c>
      <c r="K76" s="6" t="s">
        <v>19</v>
      </c>
      <c r="L76" s="10">
        <v>16.690000000000001</v>
      </c>
      <c r="M76" s="6" t="s">
        <v>33</v>
      </c>
      <c r="N76" s="10">
        <f>Tabla13[[#This Row],[Price]]*Tabla13[[#This Row],[QTY Adjusted]]</f>
        <v>100.14000000000001</v>
      </c>
      <c r="O76" s="10">
        <v>100.14000000000001</v>
      </c>
      <c r="P76" s="10" t="s">
        <v>4225</v>
      </c>
      <c r="Q76" s="6">
        <v>0</v>
      </c>
    </row>
    <row r="77" spans="1:17" ht="41.4" customHeight="1" x14ac:dyDescent="0.3">
      <c r="A77" s="6">
        <v>2037</v>
      </c>
      <c r="B77" s="6" t="s">
        <v>3960</v>
      </c>
      <c r="C77" s="6" t="s">
        <v>329</v>
      </c>
      <c r="D77" s="6" t="s">
        <v>93</v>
      </c>
      <c r="E77" s="6"/>
      <c r="F77" s="6" t="s">
        <v>4059</v>
      </c>
      <c r="G77" s="6" t="s">
        <v>346</v>
      </c>
      <c r="H77" s="6" t="s">
        <v>347</v>
      </c>
      <c r="I77" s="6" t="s">
        <v>348</v>
      </c>
      <c r="J77" s="6">
        <v>6</v>
      </c>
      <c r="K77" s="6" t="s">
        <v>19</v>
      </c>
      <c r="L77" s="10">
        <v>15.94</v>
      </c>
      <c r="M77" s="6" t="s">
        <v>33</v>
      </c>
      <c r="N77" s="10">
        <f>Tabla13[[#This Row],[Price]]*Tabla13[[#This Row],[QTY Adjusted]]</f>
        <v>95.64</v>
      </c>
      <c r="O77" s="10">
        <v>95.64</v>
      </c>
      <c r="P77" s="10" t="s">
        <v>4225</v>
      </c>
      <c r="Q77" s="6">
        <v>0</v>
      </c>
    </row>
    <row r="78" spans="1:17" ht="41.4" customHeight="1" x14ac:dyDescent="0.3">
      <c r="A78" s="6">
        <v>2021</v>
      </c>
      <c r="B78" s="6" t="s">
        <v>3960</v>
      </c>
      <c r="C78" s="6" t="s">
        <v>228</v>
      </c>
      <c r="D78" s="6" t="s">
        <v>44</v>
      </c>
      <c r="E78" s="6"/>
      <c r="F78" s="6" t="s">
        <v>4059</v>
      </c>
      <c r="G78" s="6" t="s">
        <v>294</v>
      </c>
      <c r="H78" s="6" t="s">
        <v>295</v>
      </c>
      <c r="I78" s="6" t="s">
        <v>296</v>
      </c>
      <c r="J78" s="6">
        <v>8</v>
      </c>
      <c r="K78" s="6" t="s">
        <v>19</v>
      </c>
      <c r="L78" s="10">
        <v>11.093</v>
      </c>
      <c r="M78" s="6" t="s">
        <v>33</v>
      </c>
      <c r="N78" s="10">
        <f>Tabla13[[#This Row],[Price]]*Tabla13[[#This Row],[QTY Adjusted]]</f>
        <v>88.744</v>
      </c>
      <c r="O78" s="10">
        <v>88.744</v>
      </c>
      <c r="P78" s="22" t="s">
        <v>4225</v>
      </c>
      <c r="Q78" s="6">
        <v>0</v>
      </c>
    </row>
    <row r="79" spans="1:17" ht="41.4" customHeight="1" x14ac:dyDescent="0.3">
      <c r="A79" s="6">
        <v>2029</v>
      </c>
      <c r="B79" s="6" t="s">
        <v>3960</v>
      </c>
      <c r="C79" s="6" t="s">
        <v>321</v>
      </c>
      <c r="D79" s="6" t="s">
        <v>199</v>
      </c>
      <c r="E79" s="6"/>
      <c r="F79" s="6" t="s">
        <v>4059</v>
      </c>
      <c r="G79" s="6" t="s">
        <v>322</v>
      </c>
      <c r="H79" s="6" t="s">
        <v>323</v>
      </c>
      <c r="I79" s="6" t="s">
        <v>324</v>
      </c>
      <c r="J79" s="6">
        <v>4</v>
      </c>
      <c r="K79" s="6" t="s">
        <v>19</v>
      </c>
      <c r="L79" s="10">
        <v>20.500824093750008</v>
      </c>
      <c r="M79" s="6" t="s">
        <v>33</v>
      </c>
      <c r="N79" s="10">
        <f>Tabla13[[#This Row],[Price]]*Tabla13[[#This Row],[QTY Adjusted]]</f>
        <v>82.003296375000033</v>
      </c>
      <c r="O79" s="10">
        <v>82.003296375000033</v>
      </c>
      <c r="P79" s="10" t="s">
        <v>4225</v>
      </c>
      <c r="Q79" s="6">
        <v>0</v>
      </c>
    </row>
    <row r="80" spans="1:17" ht="41.4" customHeight="1" x14ac:dyDescent="0.3">
      <c r="A80" s="6">
        <v>2015</v>
      </c>
      <c r="B80" s="6" t="s">
        <v>3960</v>
      </c>
      <c r="C80" s="6" t="s">
        <v>228</v>
      </c>
      <c r="D80" s="6" t="s">
        <v>44</v>
      </c>
      <c r="E80" s="6"/>
      <c r="F80" s="6" t="s">
        <v>4059</v>
      </c>
      <c r="G80" s="6" t="s">
        <v>276</v>
      </c>
      <c r="H80" s="6" t="s">
        <v>277</v>
      </c>
      <c r="I80" s="6" t="s">
        <v>278</v>
      </c>
      <c r="J80" s="6">
        <v>6</v>
      </c>
      <c r="K80" s="6" t="s">
        <v>19</v>
      </c>
      <c r="L80" s="10">
        <v>13.49</v>
      </c>
      <c r="M80" s="6" t="s">
        <v>33</v>
      </c>
      <c r="N80" s="10">
        <f>Tabla13[[#This Row],[Price]]*Tabla13[[#This Row],[QTY Adjusted]]</f>
        <v>80.94</v>
      </c>
      <c r="O80" s="10">
        <v>80.94</v>
      </c>
      <c r="P80" s="22" t="s">
        <v>4225</v>
      </c>
      <c r="Q80" s="6">
        <v>0</v>
      </c>
    </row>
    <row r="81" spans="1:17" ht="41.4" customHeight="1" x14ac:dyDescent="0.3">
      <c r="A81" s="6">
        <v>2016</v>
      </c>
      <c r="B81" s="6" t="s">
        <v>3960</v>
      </c>
      <c r="C81" s="6" t="s">
        <v>228</v>
      </c>
      <c r="D81" s="6" t="s">
        <v>44</v>
      </c>
      <c r="E81" s="6"/>
      <c r="F81" s="6" t="s">
        <v>4059</v>
      </c>
      <c r="G81" s="6" t="s">
        <v>279</v>
      </c>
      <c r="H81" s="6" t="s">
        <v>280</v>
      </c>
      <c r="I81" s="6" t="s">
        <v>281</v>
      </c>
      <c r="J81" s="6">
        <v>4</v>
      </c>
      <c r="K81" s="6" t="s">
        <v>19</v>
      </c>
      <c r="L81" s="10">
        <v>18.989999999999998</v>
      </c>
      <c r="M81" s="6" t="s">
        <v>33</v>
      </c>
      <c r="N81" s="10">
        <f>Tabla13[[#This Row],[Price]]*Tabla13[[#This Row],[QTY Adjusted]]</f>
        <v>75.959999999999994</v>
      </c>
      <c r="O81" s="10">
        <v>75.959999999999994</v>
      </c>
      <c r="P81" s="22" t="s">
        <v>4225</v>
      </c>
      <c r="Q81" s="6">
        <v>0</v>
      </c>
    </row>
    <row r="82" spans="1:17" ht="41.4" customHeight="1" x14ac:dyDescent="0.3">
      <c r="A82" s="6">
        <v>1951</v>
      </c>
      <c r="B82" s="6" t="s">
        <v>3877</v>
      </c>
      <c r="C82" s="6" t="s">
        <v>717</v>
      </c>
      <c r="D82" s="6" t="s">
        <v>718</v>
      </c>
      <c r="E82" s="6"/>
      <c r="F82" s="6" t="s">
        <v>4063</v>
      </c>
      <c r="G82" s="6" t="s">
        <v>3797</v>
      </c>
      <c r="H82" s="6" t="s">
        <v>61</v>
      </c>
      <c r="I82" s="6" t="s">
        <v>3798</v>
      </c>
      <c r="J82" s="6">
        <v>22</v>
      </c>
      <c r="K82" s="6" t="s">
        <v>19</v>
      </c>
      <c r="L82" s="10">
        <v>2.9</v>
      </c>
      <c r="M82" s="6" t="s">
        <v>33</v>
      </c>
      <c r="N82" s="10">
        <f>Tabla13[[#This Row],[Price]]*Tabla13[[#This Row],[QTY Adjusted]]</f>
        <v>63.8</v>
      </c>
      <c r="O82" s="10">
        <v>63.8</v>
      </c>
      <c r="P82" s="10" t="s">
        <v>4228</v>
      </c>
      <c r="Q82" s="6" t="s">
        <v>4246</v>
      </c>
    </row>
    <row r="83" spans="1:17" ht="41.4" customHeight="1" x14ac:dyDescent="0.3">
      <c r="A83" s="6">
        <v>2040</v>
      </c>
      <c r="B83" s="6" t="s">
        <v>3960</v>
      </c>
      <c r="C83" s="6" t="s">
        <v>272</v>
      </c>
      <c r="D83" s="6" t="str">
        <f>Tabla13[[#This Row],[Vendor]]</f>
        <v>Spill-Stop</v>
      </c>
      <c r="E83" s="6"/>
      <c r="F83" s="6" t="s">
        <v>4059</v>
      </c>
      <c r="G83" s="6" t="s">
        <v>355</v>
      </c>
      <c r="H83" s="6" t="s">
        <v>347</v>
      </c>
      <c r="I83" s="6" t="s">
        <v>356</v>
      </c>
      <c r="J83" s="6">
        <v>8</v>
      </c>
      <c r="K83" s="6" t="s">
        <v>19</v>
      </c>
      <c r="L83" s="10">
        <v>9.08</v>
      </c>
      <c r="M83" s="6" t="s">
        <v>33</v>
      </c>
      <c r="N83" s="10">
        <f>Tabla13[[#This Row],[Price]]*Tabla13[[#This Row],[QTY Adjusted]]</f>
        <v>72.64</v>
      </c>
      <c r="O83" s="10">
        <v>72.64</v>
      </c>
      <c r="P83" s="10" t="s">
        <v>4230</v>
      </c>
      <c r="Q83" s="6">
        <v>0</v>
      </c>
    </row>
    <row r="84" spans="1:17" ht="41.4" customHeight="1" x14ac:dyDescent="0.3">
      <c r="A84" s="6">
        <v>2033</v>
      </c>
      <c r="B84" s="6" t="s">
        <v>3960</v>
      </c>
      <c r="C84" s="6" t="s">
        <v>237</v>
      </c>
      <c r="D84" s="6" t="s">
        <v>93</v>
      </c>
      <c r="E84" s="6"/>
      <c r="F84" s="6" t="s">
        <v>4059</v>
      </c>
      <c r="G84" s="6" t="s">
        <v>336</v>
      </c>
      <c r="H84" s="6" t="s">
        <v>337</v>
      </c>
      <c r="I84" s="6" t="s">
        <v>338</v>
      </c>
      <c r="J84" s="6">
        <v>6</v>
      </c>
      <c r="K84" s="6" t="s">
        <v>19</v>
      </c>
      <c r="L84" s="10">
        <v>11.86</v>
      </c>
      <c r="M84" s="6" t="s">
        <v>33</v>
      </c>
      <c r="N84" s="10">
        <f>Tabla13[[#This Row],[Price]]*Tabla13[[#This Row],[QTY Adjusted]]</f>
        <v>71.16</v>
      </c>
      <c r="O84" s="10">
        <v>71.16</v>
      </c>
      <c r="P84" s="10" t="s">
        <v>4225</v>
      </c>
      <c r="Q84" s="6">
        <v>0</v>
      </c>
    </row>
    <row r="85" spans="1:17" ht="41.4" customHeight="1" x14ac:dyDescent="0.3">
      <c r="A85" s="6">
        <v>2017</v>
      </c>
      <c r="B85" s="6" t="s">
        <v>3960</v>
      </c>
      <c r="C85" s="6" t="s">
        <v>228</v>
      </c>
      <c r="D85" s="6" t="s">
        <v>44</v>
      </c>
      <c r="E85" s="6"/>
      <c r="F85" s="6" t="s">
        <v>4059</v>
      </c>
      <c r="G85" s="6" t="s">
        <v>282</v>
      </c>
      <c r="H85" s="6" t="s">
        <v>756</v>
      </c>
      <c r="I85" s="6" t="s">
        <v>284</v>
      </c>
      <c r="J85" s="6">
        <v>4</v>
      </c>
      <c r="K85" s="6" t="s">
        <v>19</v>
      </c>
      <c r="L85" s="10">
        <v>17.05</v>
      </c>
      <c r="M85" s="6" t="s">
        <v>33</v>
      </c>
      <c r="N85" s="10">
        <f>Tabla13[[#This Row],[Price]]*Tabla13[[#This Row],[QTY Adjusted]]</f>
        <v>68.2</v>
      </c>
      <c r="O85" s="10">
        <v>68.2</v>
      </c>
      <c r="P85" s="10" t="s">
        <v>4228</v>
      </c>
      <c r="Q85" s="6" t="s">
        <v>4246</v>
      </c>
    </row>
    <row r="86" spans="1:17" ht="41.4" customHeight="1" x14ac:dyDescent="0.3">
      <c r="A86" s="6">
        <v>2013</v>
      </c>
      <c r="B86" s="6" t="s">
        <v>3960</v>
      </c>
      <c r="C86" s="6" t="s">
        <v>266</v>
      </c>
      <c r="D86" s="6" t="s">
        <v>44</v>
      </c>
      <c r="E86" s="6"/>
      <c r="F86" s="6" t="s">
        <v>4059</v>
      </c>
      <c r="G86" s="6" t="s">
        <v>270</v>
      </c>
      <c r="H86" s="6" t="s">
        <v>268</v>
      </c>
      <c r="I86" s="6" t="s">
        <v>271</v>
      </c>
      <c r="J86" s="6">
        <v>6</v>
      </c>
      <c r="K86" s="6" t="s">
        <v>19</v>
      </c>
      <c r="L86" s="10">
        <v>9.984</v>
      </c>
      <c r="M86" s="6" t="s">
        <v>33</v>
      </c>
      <c r="N86" s="10">
        <f>Tabla13[[#This Row],[Price]]*Tabla13[[#This Row],[QTY Adjusted]]</f>
        <v>59.903999999999996</v>
      </c>
      <c r="O86" s="10">
        <v>59.903999999999996</v>
      </c>
      <c r="P86" s="10" t="s">
        <v>4225</v>
      </c>
      <c r="Q86" s="6">
        <v>0</v>
      </c>
    </row>
    <row r="87" spans="1:17" ht="41.4" customHeight="1" x14ac:dyDescent="0.3">
      <c r="A87" s="6">
        <v>2012</v>
      </c>
      <c r="B87" s="6" t="s">
        <v>3960</v>
      </c>
      <c r="C87" s="6" t="s">
        <v>266</v>
      </c>
      <c r="D87" s="6" t="s">
        <v>44</v>
      </c>
      <c r="E87" s="6"/>
      <c r="F87" s="6" t="s">
        <v>4059</v>
      </c>
      <c r="G87" s="6" t="s">
        <v>267</v>
      </c>
      <c r="H87" s="6" t="s">
        <v>268</v>
      </c>
      <c r="I87" s="6" t="s">
        <v>269</v>
      </c>
      <c r="J87" s="6">
        <v>6</v>
      </c>
      <c r="K87" s="6" t="s">
        <v>19</v>
      </c>
      <c r="L87" s="10">
        <v>9.98</v>
      </c>
      <c r="M87" s="6" t="s">
        <v>33</v>
      </c>
      <c r="N87" s="10">
        <f>Tabla13[[#This Row],[Price]]*Tabla13[[#This Row],[QTY Adjusted]]</f>
        <v>59.88</v>
      </c>
      <c r="O87" s="10">
        <v>59.88</v>
      </c>
      <c r="P87" s="10" t="s">
        <v>4225</v>
      </c>
      <c r="Q87" s="6">
        <v>0</v>
      </c>
    </row>
    <row r="88" spans="1:17" ht="41.4" customHeight="1" x14ac:dyDescent="0.3">
      <c r="A88" s="6">
        <v>2014</v>
      </c>
      <c r="B88" s="6" t="s">
        <v>3960</v>
      </c>
      <c r="C88" s="6" t="s">
        <v>272</v>
      </c>
      <c r="D88" s="6" t="str">
        <f>Tabla13[[#This Row],[Vendor]]</f>
        <v>Spill-Stop</v>
      </c>
      <c r="E88" s="6"/>
      <c r="F88" s="6" t="s">
        <v>4059</v>
      </c>
      <c r="G88" s="6" t="s">
        <v>273</v>
      </c>
      <c r="H88" s="6" t="s">
        <v>274</v>
      </c>
      <c r="I88" s="6" t="s">
        <v>275</v>
      </c>
      <c r="J88" s="6">
        <v>2</v>
      </c>
      <c r="K88" s="6" t="s">
        <v>748</v>
      </c>
      <c r="L88" s="10">
        <v>28.8</v>
      </c>
      <c r="M88" s="6" t="s">
        <v>33</v>
      </c>
      <c r="N88" s="10">
        <f>Tabla13[[#This Row],[Price]]*Tabla13[[#This Row],[QTY Adjusted]]</f>
        <v>57.6</v>
      </c>
      <c r="O88" s="10">
        <v>57.6</v>
      </c>
      <c r="P88" s="10" t="s">
        <v>4230</v>
      </c>
      <c r="Q88" s="6">
        <v>0</v>
      </c>
    </row>
    <row r="89" spans="1:17" ht="41.4" customHeight="1" x14ac:dyDescent="0.3">
      <c r="A89" s="6">
        <v>2018</v>
      </c>
      <c r="B89" s="6" t="s">
        <v>3960</v>
      </c>
      <c r="C89" s="6" t="s">
        <v>228</v>
      </c>
      <c r="D89" s="6" t="s">
        <v>44</v>
      </c>
      <c r="E89" s="6"/>
      <c r="F89" s="6" t="s">
        <v>4059</v>
      </c>
      <c r="G89" s="6" t="s">
        <v>285</v>
      </c>
      <c r="H89" s="6" t="s">
        <v>286</v>
      </c>
      <c r="I89" s="6" t="s">
        <v>287</v>
      </c>
      <c r="J89" s="6">
        <v>4</v>
      </c>
      <c r="K89" s="6" t="s">
        <v>19</v>
      </c>
      <c r="L89" s="10">
        <v>13.75</v>
      </c>
      <c r="M89" s="6" t="s">
        <v>33</v>
      </c>
      <c r="N89" s="10">
        <f>Tabla13[[#This Row],[Price]]*Tabla13[[#This Row],[QTY Adjusted]]</f>
        <v>55</v>
      </c>
      <c r="O89" s="10">
        <v>55</v>
      </c>
      <c r="P89" s="22" t="s">
        <v>4225</v>
      </c>
      <c r="Q89" s="6">
        <v>0</v>
      </c>
    </row>
    <row r="90" spans="1:17" ht="41.4" customHeight="1" x14ac:dyDescent="0.3">
      <c r="A90" s="6">
        <v>2036</v>
      </c>
      <c r="B90" s="6" t="s">
        <v>3960</v>
      </c>
      <c r="C90" s="6" t="s">
        <v>321</v>
      </c>
      <c r="D90" s="6" t="s">
        <v>199</v>
      </c>
      <c r="E90" s="6"/>
      <c r="F90" s="6" t="s">
        <v>4059</v>
      </c>
      <c r="G90" s="6" t="s">
        <v>343</v>
      </c>
      <c r="H90" s="6" t="s">
        <v>344</v>
      </c>
      <c r="I90" s="6" t="s">
        <v>345</v>
      </c>
      <c r="J90" s="6">
        <v>2</v>
      </c>
      <c r="K90" s="6" t="s">
        <v>19</v>
      </c>
      <c r="L90" s="10">
        <v>24.180459187500002</v>
      </c>
      <c r="M90" s="6" t="s">
        <v>33</v>
      </c>
      <c r="N90" s="10">
        <f>Tabla13[[#This Row],[Price]]*Tabla13[[#This Row],[QTY Adjusted]]</f>
        <v>48.360918375000004</v>
      </c>
      <c r="O90" s="10">
        <v>48.360918375000004</v>
      </c>
      <c r="P90" s="10" t="s">
        <v>4225</v>
      </c>
      <c r="Q90" s="6">
        <v>0</v>
      </c>
    </row>
    <row r="91" spans="1:17" ht="41.4" customHeight="1" x14ac:dyDescent="0.3">
      <c r="A91" s="6">
        <v>2020</v>
      </c>
      <c r="B91" s="6" t="s">
        <v>3960</v>
      </c>
      <c r="C91" s="6" t="s">
        <v>228</v>
      </c>
      <c r="D91" s="6" t="s">
        <v>44</v>
      </c>
      <c r="E91" s="6"/>
      <c r="F91" s="6" t="s">
        <v>4059</v>
      </c>
      <c r="G91" s="6" t="s">
        <v>291</v>
      </c>
      <c r="H91" s="6" t="s">
        <v>292</v>
      </c>
      <c r="I91" s="6" t="s">
        <v>293</v>
      </c>
      <c r="J91" s="6">
        <v>4</v>
      </c>
      <c r="K91" s="6" t="s">
        <v>19</v>
      </c>
      <c r="L91" s="10">
        <v>11.88</v>
      </c>
      <c r="M91" s="6" t="s">
        <v>33</v>
      </c>
      <c r="N91" s="10">
        <f>Tabla13[[#This Row],[Price]]*Tabla13[[#This Row],[QTY Adjusted]]</f>
        <v>47.52</v>
      </c>
      <c r="O91" s="10">
        <v>47.52</v>
      </c>
      <c r="P91" s="22" t="s">
        <v>4225</v>
      </c>
      <c r="Q91" s="6">
        <v>0</v>
      </c>
    </row>
    <row r="92" spans="1:17" ht="41.4" customHeight="1" x14ac:dyDescent="0.3">
      <c r="A92" s="6">
        <v>2019</v>
      </c>
      <c r="B92" s="6" t="s">
        <v>3960</v>
      </c>
      <c r="C92" s="6" t="s">
        <v>228</v>
      </c>
      <c r="D92" s="6" t="s">
        <v>44</v>
      </c>
      <c r="E92" s="6"/>
      <c r="F92" s="6" t="s">
        <v>4059</v>
      </c>
      <c r="G92" s="6" t="s">
        <v>288</v>
      </c>
      <c r="H92" s="6" t="s">
        <v>289</v>
      </c>
      <c r="I92" s="6" t="s">
        <v>290</v>
      </c>
      <c r="J92" s="6">
        <v>4</v>
      </c>
      <c r="K92" s="6" t="s">
        <v>19</v>
      </c>
      <c r="L92" s="10">
        <v>10.74</v>
      </c>
      <c r="M92" s="6" t="s">
        <v>33</v>
      </c>
      <c r="N92" s="10">
        <f>Tabla13[[#This Row],[Price]]*Tabla13[[#This Row],[QTY Adjusted]]</f>
        <v>42.96</v>
      </c>
      <c r="O92" s="10">
        <v>42.96</v>
      </c>
      <c r="P92" s="22" t="s">
        <v>4225</v>
      </c>
      <c r="Q92" s="6">
        <v>0</v>
      </c>
    </row>
    <row r="93" spans="1:17" ht="41.4" customHeight="1" x14ac:dyDescent="0.3">
      <c r="A93" s="6">
        <v>2038</v>
      </c>
      <c r="B93" s="6" t="s">
        <v>3960</v>
      </c>
      <c r="C93" s="6" t="s">
        <v>228</v>
      </c>
      <c r="D93" s="6" t="s">
        <v>44</v>
      </c>
      <c r="E93" s="6"/>
      <c r="F93" s="6" t="s">
        <v>4059</v>
      </c>
      <c r="G93" s="6" t="s">
        <v>349</v>
      </c>
      <c r="H93" s="6" t="s">
        <v>350</v>
      </c>
      <c r="I93" s="6" t="s">
        <v>351</v>
      </c>
      <c r="J93" s="6">
        <v>4</v>
      </c>
      <c r="K93" s="6" t="s">
        <v>19</v>
      </c>
      <c r="L93" s="10">
        <v>9.8800000000000008</v>
      </c>
      <c r="M93" s="6" t="s">
        <v>33</v>
      </c>
      <c r="N93" s="10">
        <f>Tabla13[[#This Row],[Price]]*Tabla13[[#This Row],[QTY Adjusted]]</f>
        <v>39.520000000000003</v>
      </c>
      <c r="O93" s="10">
        <v>39.520000000000003</v>
      </c>
      <c r="P93" s="10" t="s">
        <v>4218</v>
      </c>
      <c r="Q93" s="6" t="s">
        <v>4245</v>
      </c>
    </row>
    <row r="94" spans="1:17" ht="41.4" customHeight="1" x14ac:dyDescent="0.3">
      <c r="A94" s="6">
        <v>2047</v>
      </c>
      <c r="B94" s="6" t="s">
        <v>3960</v>
      </c>
      <c r="C94" s="6" t="s">
        <v>92</v>
      </c>
      <c r="D94" s="6" t="s">
        <v>93</v>
      </c>
      <c r="E94" s="6"/>
      <c r="F94" s="6" t="s">
        <v>4059</v>
      </c>
      <c r="G94" s="6" t="s">
        <v>377</v>
      </c>
      <c r="H94" s="6" t="s">
        <v>373</v>
      </c>
      <c r="I94" s="6" t="s">
        <v>378</v>
      </c>
      <c r="J94" s="6">
        <v>4</v>
      </c>
      <c r="K94" s="6" t="s">
        <v>19</v>
      </c>
      <c r="L94" s="10">
        <v>9.2200000000000006</v>
      </c>
      <c r="M94" s="6" t="s">
        <v>33</v>
      </c>
      <c r="N94" s="10">
        <f>Tabla13[[#This Row],[Price]]*Tabla13[[#This Row],[QTY Adjusted]]</f>
        <v>36.880000000000003</v>
      </c>
      <c r="O94" s="10">
        <v>36.880000000000003</v>
      </c>
      <c r="P94" s="10" t="s">
        <v>4228</v>
      </c>
      <c r="Q94" s="6" t="s">
        <v>4245</v>
      </c>
    </row>
    <row r="95" spans="1:17" ht="41.4" customHeight="1" x14ac:dyDescent="0.3">
      <c r="A95" s="6">
        <v>2022</v>
      </c>
      <c r="B95" s="6" t="s">
        <v>3960</v>
      </c>
      <c r="C95" s="6" t="s">
        <v>228</v>
      </c>
      <c r="D95" s="6" t="s">
        <v>44</v>
      </c>
      <c r="E95" s="6"/>
      <c r="F95" s="6" t="s">
        <v>4059</v>
      </c>
      <c r="G95" s="6" t="s">
        <v>297</v>
      </c>
      <c r="H95" s="6" t="s">
        <v>298</v>
      </c>
      <c r="I95" s="6" t="s">
        <v>299</v>
      </c>
      <c r="J95" s="6">
        <v>4</v>
      </c>
      <c r="K95" s="6" t="s">
        <v>19</v>
      </c>
      <c r="L95" s="10">
        <v>9.07</v>
      </c>
      <c r="M95" s="6" t="s">
        <v>33</v>
      </c>
      <c r="N95" s="10">
        <f>Tabla13[[#This Row],[Price]]*Tabla13[[#This Row],[QTY Adjusted]]</f>
        <v>36.28</v>
      </c>
      <c r="O95" s="10">
        <v>36.28</v>
      </c>
      <c r="P95" s="22" t="s">
        <v>4225</v>
      </c>
      <c r="Q95" s="6">
        <v>0</v>
      </c>
    </row>
    <row r="96" spans="1:17" ht="41.4" customHeight="1" x14ac:dyDescent="0.3">
      <c r="A96" s="6">
        <v>1998</v>
      </c>
      <c r="B96" s="6" t="s">
        <v>3960</v>
      </c>
      <c r="C96" s="6" t="s">
        <v>228</v>
      </c>
      <c r="D96" s="6" t="s">
        <v>44</v>
      </c>
      <c r="E96" s="6"/>
      <c r="F96" s="6" t="s">
        <v>4059</v>
      </c>
      <c r="G96" s="6" t="s">
        <v>229</v>
      </c>
      <c r="H96" s="6" t="s">
        <v>230</v>
      </c>
      <c r="I96" s="6" t="s">
        <v>231</v>
      </c>
      <c r="J96" s="6">
        <v>4</v>
      </c>
      <c r="K96" s="6" t="s">
        <v>19</v>
      </c>
      <c r="L96" s="10">
        <v>8.9600000000000009</v>
      </c>
      <c r="M96" s="6" t="s">
        <v>33</v>
      </c>
      <c r="N96" s="10">
        <f>Tabla13[[#This Row],[Price]]*Tabla13[[#This Row],[QTY Adjusted]]</f>
        <v>35.840000000000003</v>
      </c>
      <c r="O96" s="10">
        <v>35.840000000000003</v>
      </c>
      <c r="P96" s="22" t="s">
        <v>4225</v>
      </c>
      <c r="Q96" s="6">
        <v>0</v>
      </c>
    </row>
    <row r="97" spans="1:17" ht="41.4" customHeight="1" x14ac:dyDescent="0.3">
      <c r="A97" s="6">
        <v>2023</v>
      </c>
      <c r="B97" s="6" t="s">
        <v>3960</v>
      </c>
      <c r="C97" s="6" t="s">
        <v>228</v>
      </c>
      <c r="D97" s="6" t="s">
        <v>44</v>
      </c>
      <c r="E97" s="6"/>
      <c r="F97" s="6" t="s">
        <v>4059</v>
      </c>
      <c r="G97" s="6" t="s">
        <v>300</v>
      </c>
      <c r="H97" s="6" t="s">
        <v>301</v>
      </c>
      <c r="I97" s="6" t="s">
        <v>302</v>
      </c>
      <c r="J97" s="6">
        <v>8</v>
      </c>
      <c r="K97" s="6" t="s">
        <v>19</v>
      </c>
      <c r="L97" s="10">
        <v>3.99</v>
      </c>
      <c r="M97" s="6" t="s">
        <v>33</v>
      </c>
      <c r="N97" s="10">
        <f>Tabla13[[#This Row],[Price]]*Tabla13[[#This Row],[QTY Adjusted]]</f>
        <v>31.92</v>
      </c>
      <c r="O97" s="10">
        <v>31.92</v>
      </c>
      <c r="P97" s="22" t="s">
        <v>4225</v>
      </c>
      <c r="Q97" s="6">
        <v>0</v>
      </c>
    </row>
    <row r="98" spans="1:17" ht="41.4" customHeight="1" x14ac:dyDescent="0.3">
      <c r="A98" s="6">
        <v>2049</v>
      </c>
      <c r="B98" s="6" t="s">
        <v>3960</v>
      </c>
      <c r="C98" s="6" t="s">
        <v>329</v>
      </c>
      <c r="D98" s="6" t="s">
        <v>93</v>
      </c>
      <c r="E98" s="6"/>
      <c r="F98" s="6" t="s">
        <v>4059</v>
      </c>
      <c r="G98" s="6" t="s">
        <v>382</v>
      </c>
      <c r="H98" s="6" t="s">
        <v>383</v>
      </c>
      <c r="I98" s="6" t="s">
        <v>384</v>
      </c>
      <c r="J98" s="6">
        <v>2</v>
      </c>
      <c r="K98" s="6" t="s">
        <v>19</v>
      </c>
      <c r="L98" s="10">
        <v>13.11</v>
      </c>
      <c r="M98" s="6" t="s">
        <v>33</v>
      </c>
      <c r="N98" s="10">
        <f>Tabla13[[#This Row],[Price]]*Tabla13[[#This Row],[QTY Adjusted]]</f>
        <v>26.22</v>
      </c>
      <c r="O98" s="10">
        <v>26.22</v>
      </c>
      <c r="P98" s="10" t="s">
        <v>4225</v>
      </c>
      <c r="Q98" s="6">
        <v>0</v>
      </c>
    </row>
    <row r="99" spans="1:17" ht="41.4" customHeight="1" x14ac:dyDescent="0.3">
      <c r="A99" s="6">
        <v>2045</v>
      </c>
      <c r="B99" s="6" t="s">
        <v>3960</v>
      </c>
      <c r="C99" s="6" t="s">
        <v>371</v>
      </c>
      <c r="D99" s="6" t="str">
        <f>Tabla13[[#This Row],[Vendor]]</f>
        <v>Franmara</v>
      </c>
      <c r="E99" s="6"/>
      <c r="F99" s="6" t="s">
        <v>4059</v>
      </c>
      <c r="G99" s="6" t="s">
        <v>372</v>
      </c>
      <c r="H99" s="6" t="s">
        <v>373</v>
      </c>
      <c r="I99" s="6" t="s">
        <v>374</v>
      </c>
      <c r="J99" s="6">
        <v>4</v>
      </c>
      <c r="K99" s="6" t="s">
        <v>19</v>
      </c>
      <c r="L99" s="10">
        <v>6.5</v>
      </c>
      <c r="M99" s="6" t="s">
        <v>33</v>
      </c>
      <c r="N99" s="10">
        <f>Tabla13[[#This Row],[Price]]*Tabla13[[#This Row],[QTY Adjusted]]</f>
        <v>26</v>
      </c>
      <c r="O99" s="10">
        <v>26</v>
      </c>
      <c r="P99" s="10" t="s">
        <v>4239</v>
      </c>
      <c r="Q99" s="6">
        <v>0</v>
      </c>
    </row>
    <row r="100" spans="1:17" ht="41.4" customHeight="1" x14ac:dyDescent="0.3">
      <c r="A100" s="6">
        <v>2043</v>
      </c>
      <c r="B100" s="6" t="s">
        <v>3960</v>
      </c>
      <c r="C100" s="6" t="s">
        <v>329</v>
      </c>
      <c r="D100" s="6" t="s">
        <v>93</v>
      </c>
      <c r="E100" s="6"/>
      <c r="F100" s="6" t="s">
        <v>4059</v>
      </c>
      <c r="G100" s="6" t="s">
        <v>366</v>
      </c>
      <c r="H100" s="6" t="s">
        <v>367</v>
      </c>
      <c r="I100" s="6" t="s">
        <v>368</v>
      </c>
      <c r="J100" s="6">
        <v>6</v>
      </c>
      <c r="K100" s="6" t="s">
        <v>19</v>
      </c>
      <c r="L100" s="10">
        <v>4.28</v>
      </c>
      <c r="M100" s="6" t="s">
        <v>33</v>
      </c>
      <c r="N100" s="10">
        <f>Tabla13[[#This Row],[Price]]*Tabla13[[#This Row],[QTY Adjusted]]</f>
        <v>25.68</v>
      </c>
      <c r="O100" s="10">
        <v>25.68</v>
      </c>
      <c r="P100" s="10" t="s">
        <v>4228</v>
      </c>
      <c r="Q100" s="6" t="s">
        <v>4246</v>
      </c>
    </row>
    <row r="101" spans="1:17" ht="41.4" customHeight="1" x14ac:dyDescent="0.3">
      <c r="A101" s="6">
        <v>2041</v>
      </c>
      <c r="B101" s="6" t="s">
        <v>3960</v>
      </c>
      <c r="C101" s="6" t="s">
        <v>357</v>
      </c>
      <c r="D101" s="6" t="s">
        <v>93</v>
      </c>
      <c r="E101" s="6"/>
      <c r="F101" s="6" t="s">
        <v>4059</v>
      </c>
      <c r="G101" s="6" t="s">
        <v>358</v>
      </c>
      <c r="H101" s="6" t="s">
        <v>359</v>
      </c>
      <c r="I101" s="6" t="s">
        <v>360</v>
      </c>
      <c r="J101" s="6">
        <v>2</v>
      </c>
      <c r="K101" s="6" t="s">
        <v>19</v>
      </c>
      <c r="L101" s="10">
        <v>9.5299999999999994</v>
      </c>
      <c r="M101" s="6" t="s">
        <v>33</v>
      </c>
      <c r="N101" s="10">
        <f>Tabla13[[#This Row],[Price]]*Tabla13[[#This Row],[QTY Adjusted]]</f>
        <v>19.059999999999999</v>
      </c>
      <c r="O101" s="10">
        <v>19.059999999999999</v>
      </c>
      <c r="P101" s="10" t="s">
        <v>4225</v>
      </c>
      <c r="Q101" s="6">
        <v>0</v>
      </c>
    </row>
    <row r="102" spans="1:17" ht="41.4" customHeight="1" x14ac:dyDescent="0.3">
      <c r="A102" s="6">
        <v>1999</v>
      </c>
      <c r="B102" s="6" t="s">
        <v>3960</v>
      </c>
      <c r="C102" s="6" t="s">
        <v>232</v>
      </c>
      <c r="D102" s="6" t="s">
        <v>233</v>
      </c>
      <c r="E102" s="6"/>
      <c r="F102" s="6" t="s">
        <v>4059</v>
      </c>
      <c r="G102" s="6" t="s">
        <v>234</v>
      </c>
      <c r="H102" s="6" t="s">
        <v>742</v>
      </c>
      <c r="I102" s="6" t="s">
        <v>236</v>
      </c>
      <c r="J102" s="6">
        <v>4</v>
      </c>
      <c r="K102" s="6" t="s">
        <v>19</v>
      </c>
      <c r="L102" s="10">
        <v>4.71</v>
      </c>
      <c r="M102" s="6" t="s">
        <v>33</v>
      </c>
      <c r="N102" s="10">
        <f>Tabla13[[#This Row],[Price]]*Tabla13[[#This Row],[QTY Adjusted]]</f>
        <v>18.84</v>
      </c>
      <c r="O102" s="10">
        <v>18.84</v>
      </c>
      <c r="P102" s="10" t="s">
        <v>4218</v>
      </c>
      <c r="Q102" s="6" t="s">
        <v>4246</v>
      </c>
    </row>
    <row r="103" spans="1:17" ht="41.4" customHeight="1" x14ac:dyDescent="0.3">
      <c r="A103" s="6">
        <v>2039</v>
      </c>
      <c r="B103" s="6" t="s">
        <v>3960</v>
      </c>
      <c r="C103" s="6" t="s">
        <v>329</v>
      </c>
      <c r="D103" s="6" t="s">
        <v>93</v>
      </c>
      <c r="E103" s="6"/>
      <c r="F103" s="6" t="s">
        <v>4059</v>
      </c>
      <c r="G103" s="6" t="s">
        <v>352</v>
      </c>
      <c r="H103" s="6" t="s">
        <v>353</v>
      </c>
      <c r="I103" s="6" t="s">
        <v>354</v>
      </c>
      <c r="J103" s="6">
        <v>2</v>
      </c>
      <c r="K103" s="6" t="s">
        <v>19</v>
      </c>
      <c r="L103" s="10">
        <v>8.93</v>
      </c>
      <c r="M103" s="6" t="s">
        <v>33</v>
      </c>
      <c r="N103" s="10">
        <f>Tabla13[[#This Row],[Price]]*Tabla13[[#This Row],[QTY Adjusted]]</f>
        <v>17.86</v>
      </c>
      <c r="O103" s="10">
        <v>17.86</v>
      </c>
      <c r="P103" s="10" t="s">
        <v>4228</v>
      </c>
      <c r="Q103" s="6" t="s">
        <v>4245</v>
      </c>
    </row>
    <row r="104" spans="1:17" ht="41.4" customHeight="1" x14ac:dyDescent="0.3">
      <c r="A104" s="6">
        <v>2048</v>
      </c>
      <c r="B104" s="6" t="s">
        <v>3960</v>
      </c>
      <c r="C104" s="6" t="s">
        <v>314</v>
      </c>
      <c r="D104" s="6" t="s">
        <v>93</v>
      </c>
      <c r="E104" s="6"/>
      <c r="F104" s="6" t="s">
        <v>4059</v>
      </c>
      <c r="G104" s="6" t="s">
        <v>379</v>
      </c>
      <c r="H104" s="6" t="s">
        <v>380</v>
      </c>
      <c r="I104" s="6" t="s">
        <v>381</v>
      </c>
      <c r="J104" s="6">
        <v>4</v>
      </c>
      <c r="K104" s="6" t="s">
        <v>19</v>
      </c>
      <c r="L104" s="10">
        <v>4.4000000000000004</v>
      </c>
      <c r="M104" s="6" t="s">
        <v>33</v>
      </c>
      <c r="N104" s="10">
        <f>Tabla13[[#This Row],[Price]]*Tabla13[[#This Row],[QTY Adjusted]]</f>
        <v>17.600000000000001</v>
      </c>
      <c r="O104" s="10">
        <v>17.600000000000001</v>
      </c>
      <c r="P104" s="10" t="s">
        <v>4228</v>
      </c>
      <c r="Q104" s="6" t="s">
        <v>4245</v>
      </c>
    </row>
    <row r="105" spans="1:17" ht="41.4" customHeight="1" x14ac:dyDescent="0.3">
      <c r="A105" s="6">
        <v>2024</v>
      </c>
      <c r="B105" s="6" t="s">
        <v>3960</v>
      </c>
      <c r="C105" s="6" t="s">
        <v>321</v>
      </c>
      <c r="D105" s="6" t="s">
        <v>199</v>
      </c>
      <c r="E105" s="6"/>
      <c r="F105" s="6" t="s">
        <v>4059</v>
      </c>
      <c r="G105" s="6" t="s">
        <v>766</v>
      </c>
      <c r="H105" s="6" t="s">
        <v>304</v>
      </c>
      <c r="I105" s="6" t="s">
        <v>1367</v>
      </c>
      <c r="J105" s="6">
        <v>2</v>
      </c>
      <c r="K105" s="6" t="s">
        <v>19</v>
      </c>
      <c r="L105" s="10">
        <v>6.3079458750000006</v>
      </c>
      <c r="M105" s="6" t="s">
        <v>33</v>
      </c>
      <c r="N105" s="10">
        <f>Tabla13[[#This Row],[Price]]*Tabla13[[#This Row],[QTY Adjusted]]</f>
        <v>12.615891750000001</v>
      </c>
      <c r="O105" s="10">
        <v>12.615891750000001</v>
      </c>
      <c r="P105" s="10" t="s">
        <v>4225</v>
      </c>
      <c r="Q105" s="6">
        <v>0</v>
      </c>
    </row>
    <row r="106" spans="1:17" ht="41.4" customHeight="1" x14ac:dyDescent="0.3">
      <c r="A106" s="6">
        <v>2046</v>
      </c>
      <c r="B106" s="6" t="s">
        <v>3960</v>
      </c>
      <c r="C106" s="6" t="s">
        <v>371</v>
      </c>
      <c r="D106" s="6" t="str">
        <f>Tabla13[[#This Row],[Vendor]]</f>
        <v>Franmara</v>
      </c>
      <c r="E106" s="6"/>
      <c r="F106" s="6" t="s">
        <v>4059</v>
      </c>
      <c r="G106" s="6" t="s">
        <v>375</v>
      </c>
      <c r="H106" s="6" t="s">
        <v>373</v>
      </c>
      <c r="I106" s="6" t="s">
        <v>376</v>
      </c>
      <c r="J106" s="6">
        <v>4</v>
      </c>
      <c r="K106" s="6" t="s">
        <v>19</v>
      </c>
      <c r="L106" s="10">
        <v>3</v>
      </c>
      <c r="M106" s="6" t="s">
        <v>33</v>
      </c>
      <c r="N106" s="10">
        <f>Tabla13[[#This Row],[Price]]*Tabla13[[#This Row],[QTY Adjusted]]</f>
        <v>12</v>
      </c>
      <c r="O106" s="10">
        <v>12</v>
      </c>
      <c r="P106" s="10" t="s">
        <v>4239</v>
      </c>
      <c r="Q106" s="6">
        <v>0</v>
      </c>
    </row>
    <row r="107" spans="1:17" ht="41.4" customHeight="1" x14ac:dyDescent="0.3">
      <c r="A107" s="6">
        <v>2050</v>
      </c>
      <c r="B107" s="6" t="s">
        <v>3960</v>
      </c>
      <c r="C107" s="6" t="s">
        <v>92</v>
      </c>
      <c r="D107" s="6" t="s">
        <v>93</v>
      </c>
      <c r="E107" s="6"/>
      <c r="F107" s="6" t="s">
        <v>4059</v>
      </c>
      <c r="G107" s="6" t="s">
        <v>385</v>
      </c>
      <c r="H107" s="6" t="s">
        <v>386</v>
      </c>
      <c r="I107" s="6" t="s">
        <v>387</v>
      </c>
      <c r="J107" s="6">
        <v>4</v>
      </c>
      <c r="K107" s="6" t="s">
        <v>19</v>
      </c>
      <c r="L107" s="10">
        <v>2.85</v>
      </c>
      <c r="M107" s="6" t="s">
        <v>33</v>
      </c>
      <c r="N107" s="10">
        <f>Tabla13[[#This Row],[Price]]*Tabla13[[#This Row],[QTY Adjusted]]</f>
        <v>11.4</v>
      </c>
      <c r="O107" s="10">
        <v>11.4</v>
      </c>
      <c r="P107" s="10" t="s">
        <v>4228</v>
      </c>
      <c r="Q107" s="6" t="s">
        <v>4245</v>
      </c>
    </row>
    <row r="108" spans="1:17" ht="41.4" customHeight="1" x14ac:dyDescent="0.3">
      <c r="A108" s="6">
        <v>2028</v>
      </c>
      <c r="B108" s="6" t="s">
        <v>3960</v>
      </c>
      <c r="C108" s="6" t="s">
        <v>314</v>
      </c>
      <c r="D108" s="6" t="s">
        <v>93</v>
      </c>
      <c r="E108" s="6"/>
      <c r="F108" s="6" t="s">
        <v>4059</v>
      </c>
      <c r="G108" s="6" t="s">
        <v>318</v>
      </c>
      <c r="H108" s="6" t="s">
        <v>319</v>
      </c>
      <c r="I108" s="6" t="s">
        <v>320</v>
      </c>
      <c r="J108" s="6">
        <v>6</v>
      </c>
      <c r="K108" s="6" t="s">
        <v>19</v>
      </c>
      <c r="L108" s="10">
        <v>1.63</v>
      </c>
      <c r="M108" s="6" t="s">
        <v>33</v>
      </c>
      <c r="N108" s="10">
        <f>Tabla13[[#This Row],[Price]]*Tabla13[[#This Row],[QTY Adjusted]]</f>
        <v>9.7799999999999994</v>
      </c>
      <c r="O108" s="10">
        <v>9.7799999999999994</v>
      </c>
      <c r="P108" s="10" t="s">
        <v>4228</v>
      </c>
      <c r="Q108" s="6" t="s">
        <v>4245</v>
      </c>
    </row>
    <row r="109" spans="1:17" ht="41.4" customHeight="1" x14ac:dyDescent="0.3">
      <c r="A109" s="6">
        <v>2031</v>
      </c>
      <c r="B109" s="6" t="s">
        <v>3960</v>
      </c>
      <c r="C109" s="6" t="s">
        <v>329</v>
      </c>
      <c r="D109" s="6" t="s">
        <v>93</v>
      </c>
      <c r="E109" s="6"/>
      <c r="F109" s="6" t="s">
        <v>4059</v>
      </c>
      <c r="G109" s="6" t="s">
        <v>330</v>
      </c>
      <c r="H109" s="6" t="s">
        <v>331</v>
      </c>
      <c r="I109" s="6" t="s">
        <v>332</v>
      </c>
      <c r="J109" s="6">
        <v>2</v>
      </c>
      <c r="K109" s="6" t="s">
        <v>19</v>
      </c>
      <c r="L109" s="10">
        <v>2.0499999999999998</v>
      </c>
      <c r="M109" s="6" t="s">
        <v>33</v>
      </c>
      <c r="N109" s="10">
        <f>Tabla13[[#This Row],[Price]]*Tabla13[[#This Row],[QTY Adjusted]]</f>
        <v>4.0999999999999996</v>
      </c>
      <c r="O109" s="10">
        <v>4.0999999999999996</v>
      </c>
      <c r="P109" s="10" t="s">
        <v>4228</v>
      </c>
      <c r="Q109" s="6" t="s">
        <v>4245</v>
      </c>
    </row>
    <row r="110" spans="1:17" ht="41.4" customHeight="1" x14ac:dyDescent="0.3">
      <c r="A110" s="6">
        <v>1942</v>
      </c>
      <c r="B110" s="6" t="s">
        <v>3877</v>
      </c>
      <c r="C110" s="6" t="s">
        <v>3878</v>
      </c>
      <c r="D110" s="6" t="str">
        <f>Tabla13[[#This Row],[Vendor]]</f>
        <v>Locally Sourced</v>
      </c>
      <c r="E110" s="6"/>
      <c r="F110" s="6" t="s">
        <v>4059</v>
      </c>
      <c r="G110" s="6" t="s">
        <v>205</v>
      </c>
      <c r="H110" s="6" t="s">
        <v>3879</v>
      </c>
      <c r="I110" s="6" t="s">
        <v>205</v>
      </c>
      <c r="J110" s="6">
        <v>48</v>
      </c>
      <c r="K110" s="6" t="s">
        <v>19</v>
      </c>
      <c r="L110" s="10"/>
      <c r="M110" s="6"/>
      <c r="N110" s="10">
        <f>Tabla13[[#This Row],[Price]]*Tabla13[[#This Row],[QTY Adjusted]]</f>
        <v>0</v>
      </c>
      <c r="O110" s="10">
        <v>0</v>
      </c>
      <c r="P110" s="10" t="s">
        <v>4218</v>
      </c>
      <c r="Q110" s="6" t="s">
        <v>4245</v>
      </c>
    </row>
    <row r="111" spans="1:17" ht="41.4" customHeight="1" x14ac:dyDescent="0.3">
      <c r="A111" s="6">
        <v>2026</v>
      </c>
      <c r="B111" s="6" t="s">
        <v>3960</v>
      </c>
      <c r="C111" s="6" t="s">
        <v>309</v>
      </c>
      <c r="D111" s="6" t="s">
        <v>44</v>
      </c>
      <c r="E111" s="6"/>
      <c r="F111" s="6" t="s">
        <v>4059</v>
      </c>
      <c r="G111" s="6" t="s">
        <v>311</v>
      </c>
      <c r="H111" s="6" t="s">
        <v>312</v>
      </c>
      <c r="I111" s="6" t="s">
        <v>313</v>
      </c>
      <c r="J111" s="6">
        <v>2</v>
      </c>
      <c r="K111" s="6" t="s">
        <v>19</v>
      </c>
      <c r="L111" s="15">
        <v>26.12</v>
      </c>
      <c r="M111" s="6" t="s">
        <v>33</v>
      </c>
      <c r="N111" s="10">
        <f>Tabla13[[#This Row],[Price]]*Tabla13[[#This Row],[QTY Adjusted]]</f>
        <v>52.24</v>
      </c>
      <c r="O111" s="10">
        <v>52.24</v>
      </c>
      <c r="P111" s="10" t="s">
        <v>4225</v>
      </c>
      <c r="Q111" s="6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3BB9-6F05-4703-A261-D65D4FE1333A}">
  <dimension ref="A1:Q41"/>
  <sheetViews>
    <sheetView showGridLines="0" topLeftCell="E1" zoomScale="70" zoomScaleNormal="70" workbookViewId="0">
      <selection activeCell="T38" sqref="T38"/>
    </sheetView>
  </sheetViews>
  <sheetFormatPr baseColWidth="10" defaultColWidth="11.44140625" defaultRowHeight="14.4" x14ac:dyDescent="0.3"/>
  <cols>
    <col min="2" max="3" width="11.5546875" customWidth="1"/>
    <col min="4" max="4" width="24.6640625" bestFit="1" customWidth="1"/>
    <col min="5" max="5" width="27.6640625" bestFit="1" customWidth="1"/>
    <col min="6" max="6" width="18.33203125" customWidth="1"/>
    <col min="7" max="7" width="11.5546875" customWidth="1"/>
    <col min="8" max="8" width="35.88671875" customWidth="1"/>
    <col min="9" max="9" width="13.6640625" customWidth="1"/>
    <col min="10" max="10" width="14.33203125" customWidth="1"/>
    <col min="11" max="13" width="11.5546875" customWidth="1"/>
    <col min="14" max="14" width="15.33203125" customWidth="1"/>
    <col min="15" max="15" width="18.6640625" customWidth="1"/>
    <col min="16" max="16" width="46.44140625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  <c r="Q2" t="s">
        <v>4247</v>
      </c>
    </row>
    <row r="3" spans="1:17" ht="41.4" customHeight="1" x14ac:dyDescent="0.3">
      <c r="A3" s="5">
        <v>954</v>
      </c>
      <c r="B3" s="5" t="s">
        <v>1684</v>
      </c>
      <c r="C3" s="5" t="s">
        <v>34</v>
      </c>
      <c r="D3" s="5" t="str">
        <f>Tabla14[[#This Row],[Vendor]]</f>
        <v>Casa Rovea</v>
      </c>
      <c r="E3" s="5" t="s">
        <v>1685</v>
      </c>
      <c r="F3" s="5" t="s">
        <v>4061</v>
      </c>
      <c r="G3" s="5" t="s">
        <v>1602</v>
      </c>
      <c r="H3" s="5" t="s">
        <v>1719</v>
      </c>
      <c r="I3" s="5"/>
      <c r="J3" s="5">
        <v>1919</v>
      </c>
      <c r="K3" s="5" t="s">
        <v>19</v>
      </c>
      <c r="L3" s="11">
        <v>4.9800000000000004</v>
      </c>
      <c r="M3" s="5" t="s">
        <v>28</v>
      </c>
      <c r="N3" s="11">
        <f>Tabla14[[#This Row],[Price]]*Tabla14[[#This Row],[QTY Adjusted]]</f>
        <v>9556.6200000000008</v>
      </c>
      <c r="O3" s="11">
        <v>11085.6792</v>
      </c>
      <c r="P3" s="10" t="s">
        <v>4224</v>
      </c>
      <c r="Q3" s="6">
        <v>0</v>
      </c>
    </row>
    <row r="4" spans="1:17" ht="41.4" customHeight="1" x14ac:dyDescent="0.3">
      <c r="A4" s="5">
        <v>958</v>
      </c>
      <c r="B4" s="5" t="s">
        <v>1684</v>
      </c>
      <c r="C4" s="5" t="s">
        <v>1723</v>
      </c>
      <c r="D4" s="5" t="s">
        <v>1490</v>
      </c>
      <c r="E4" s="5" t="s">
        <v>1685</v>
      </c>
      <c r="F4" s="5" t="s">
        <v>4059</v>
      </c>
      <c r="G4" s="5" t="s">
        <v>1724</v>
      </c>
      <c r="H4" s="5" t="s">
        <v>1725</v>
      </c>
      <c r="I4" s="5"/>
      <c r="J4" s="5">
        <v>36</v>
      </c>
      <c r="K4" s="5" t="s">
        <v>19</v>
      </c>
      <c r="L4" s="11">
        <v>210</v>
      </c>
      <c r="M4" s="5" t="s">
        <v>33</v>
      </c>
      <c r="N4" s="11">
        <f>Tabla14[[#This Row],[Price]]*Tabla14[[#This Row],[QTY Adjusted]]</f>
        <v>7560</v>
      </c>
      <c r="O4" s="11">
        <v>7560</v>
      </c>
      <c r="P4" s="10" t="s">
        <v>4225</v>
      </c>
      <c r="Q4" s="6">
        <v>0</v>
      </c>
    </row>
    <row r="5" spans="1:17" ht="41.4" customHeight="1" x14ac:dyDescent="0.3">
      <c r="A5" s="5">
        <v>939</v>
      </c>
      <c r="B5" s="5" t="s">
        <v>1684</v>
      </c>
      <c r="C5" s="5" t="s">
        <v>1692</v>
      </c>
      <c r="D5" s="5" t="s">
        <v>44</v>
      </c>
      <c r="E5" s="5" t="s">
        <v>1685</v>
      </c>
      <c r="F5" s="5" t="s">
        <v>4060</v>
      </c>
      <c r="G5" s="5" t="s">
        <v>1697</v>
      </c>
      <c r="H5" s="5" t="s">
        <v>1698</v>
      </c>
      <c r="I5" s="5"/>
      <c r="J5" s="5">
        <v>242</v>
      </c>
      <c r="K5" s="5" t="s">
        <v>19</v>
      </c>
      <c r="L5" s="11">
        <v>32.345999999999997</v>
      </c>
      <c r="M5" s="5" t="s">
        <v>33</v>
      </c>
      <c r="N5" s="11">
        <f>Tabla14[[#This Row],[Price]]*Tabla14[[#This Row],[QTY Adjusted]]</f>
        <v>7827.7319999999991</v>
      </c>
      <c r="O5" s="11">
        <v>7827.7319999999991</v>
      </c>
      <c r="P5" s="22">
        <v>46091</v>
      </c>
      <c r="Q5" s="6">
        <v>0</v>
      </c>
    </row>
    <row r="6" spans="1:17" ht="41.4" customHeight="1" x14ac:dyDescent="0.3">
      <c r="A6" s="5">
        <v>945</v>
      </c>
      <c r="B6" s="5" t="s">
        <v>1684</v>
      </c>
      <c r="C6" s="5" t="s">
        <v>1692</v>
      </c>
      <c r="D6" s="5" t="s">
        <v>44</v>
      </c>
      <c r="E6" s="5" t="s">
        <v>1685</v>
      </c>
      <c r="F6" s="5" t="s">
        <v>4060</v>
      </c>
      <c r="G6" s="5" t="s">
        <v>1709</v>
      </c>
      <c r="H6" s="5" t="s">
        <v>1710</v>
      </c>
      <c r="I6" s="5"/>
      <c r="J6" s="5">
        <v>242</v>
      </c>
      <c r="K6" s="5" t="s">
        <v>19</v>
      </c>
      <c r="L6" s="11">
        <v>32.345999999999997</v>
      </c>
      <c r="M6" s="5" t="s">
        <v>33</v>
      </c>
      <c r="N6" s="11">
        <f>Tabla14[[#This Row],[Price]]*Tabla14[[#This Row],[QTY Adjusted]]</f>
        <v>7827.7319999999991</v>
      </c>
      <c r="O6" s="11">
        <v>7827.7319999999991</v>
      </c>
      <c r="P6" s="22">
        <v>46091</v>
      </c>
      <c r="Q6" s="6">
        <v>0</v>
      </c>
    </row>
    <row r="7" spans="1:17" ht="41.4" customHeight="1" x14ac:dyDescent="0.3">
      <c r="A7" s="5">
        <v>964</v>
      </c>
      <c r="B7" s="5" t="s">
        <v>1684</v>
      </c>
      <c r="C7" s="5" t="s">
        <v>14</v>
      </c>
      <c r="D7" s="5" t="str">
        <f>Tabla14[[#This Row],[Vendor]]</f>
        <v>Oaxifornia</v>
      </c>
      <c r="E7" s="5" t="s">
        <v>1685</v>
      </c>
      <c r="F7" s="5" t="s">
        <v>4059</v>
      </c>
      <c r="G7" s="5" t="s">
        <v>1729</v>
      </c>
      <c r="H7" s="5" t="s">
        <v>1730</v>
      </c>
      <c r="I7" s="5"/>
      <c r="J7" s="5">
        <v>30</v>
      </c>
      <c r="K7" s="5" t="s">
        <v>19</v>
      </c>
      <c r="L7" s="11">
        <v>3865</v>
      </c>
      <c r="M7" s="5" t="s">
        <v>20</v>
      </c>
      <c r="N7" s="11">
        <f>Tabla14[[#This Row],[Price]]*Tabla14[[#This Row],[QTY Adjusted]]</f>
        <v>115950</v>
      </c>
      <c r="O7" s="11">
        <v>5946.1538461538457</v>
      </c>
      <c r="P7" s="10" t="s">
        <v>4232</v>
      </c>
      <c r="Q7" s="6">
        <v>0</v>
      </c>
    </row>
    <row r="8" spans="1:17" ht="41.4" customHeight="1" x14ac:dyDescent="0.3">
      <c r="A8" s="5">
        <v>963</v>
      </c>
      <c r="B8" s="5" t="s">
        <v>1684</v>
      </c>
      <c r="C8" s="5" t="s">
        <v>14</v>
      </c>
      <c r="D8" s="5" t="str">
        <f>Tabla14[[#This Row],[Vendor]]</f>
        <v>Oaxifornia</v>
      </c>
      <c r="E8" s="5" t="s">
        <v>1685</v>
      </c>
      <c r="F8" s="5" t="s">
        <v>4059</v>
      </c>
      <c r="G8" s="5" t="s">
        <v>1727</v>
      </c>
      <c r="H8" s="5" t="s">
        <v>1728</v>
      </c>
      <c r="I8" s="5"/>
      <c r="J8" s="5">
        <v>30</v>
      </c>
      <c r="K8" s="5" t="s">
        <v>19</v>
      </c>
      <c r="L8" s="11">
        <v>3747</v>
      </c>
      <c r="M8" s="5" t="s">
        <v>20</v>
      </c>
      <c r="N8" s="11">
        <f>Tabla14[[#This Row],[Price]]*Tabla14[[#This Row],[QTY Adjusted]]</f>
        <v>112410</v>
      </c>
      <c r="O8" s="11">
        <v>5764.6153846153848</v>
      </c>
      <c r="P8" s="10" t="s">
        <v>4232</v>
      </c>
      <c r="Q8" s="6">
        <v>0</v>
      </c>
    </row>
    <row r="9" spans="1:17" ht="41.4" customHeight="1" x14ac:dyDescent="0.3">
      <c r="A9" s="5">
        <v>932</v>
      </c>
      <c r="B9" s="5" t="s">
        <v>1684</v>
      </c>
      <c r="C9" s="5" t="s">
        <v>1316</v>
      </c>
      <c r="D9" s="5" t="s">
        <v>718</v>
      </c>
      <c r="E9" s="5" t="s">
        <v>1685</v>
      </c>
      <c r="F9" s="5" t="s">
        <v>4062</v>
      </c>
      <c r="G9" s="5" t="s">
        <v>1332</v>
      </c>
      <c r="H9" s="5" t="s">
        <v>1333</v>
      </c>
      <c r="I9" s="5"/>
      <c r="J9" s="5">
        <v>479</v>
      </c>
      <c r="K9" s="5" t="s">
        <v>19</v>
      </c>
      <c r="L9" s="11">
        <v>12.1</v>
      </c>
      <c r="M9" s="5" t="s">
        <v>33</v>
      </c>
      <c r="N9" s="11">
        <f>Tabla14[[#This Row],[Price]]*Tabla14[[#This Row],[QTY Adjusted]]</f>
        <v>5795.9</v>
      </c>
      <c r="O9" s="11">
        <v>5795.9</v>
      </c>
      <c r="P9" s="10" t="s">
        <v>4225</v>
      </c>
      <c r="Q9" s="6">
        <v>0</v>
      </c>
    </row>
    <row r="10" spans="1:17" ht="41.4" customHeight="1" x14ac:dyDescent="0.3">
      <c r="A10" s="5">
        <v>938</v>
      </c>
      <c r="B10" s="5" t="s">
        <v>1684</v>
      </c>
      <c r="C10" s="5" t="s">
        <v>1692</v>
      </c>
      <c r="D10" s="5" t="s">
        <v>44</v>
      </c>
      <c r="E10" s="5" t="s">
        <v>1685</v>
      </c>
      <c r="F10" s="5" t="s">
        <v>4060</v>
      </c>
      <c r="G10" s="5" t="s">
        <v>1695</v>
      </c>
      <c r="H10" s="5" t="s">
        <v>1696</v>
      </c>
      <c r="I10" s="5"/>
      <c r="J10" s="5">
        <v>242</v>
      </c>
      <c r="K10" s="5" t="s">
        <v>19</v>
      </c>
      <c r="L10" s="11">
        <v>22.968</v>
      </c>
      <c r="M10" s="5" t="s">
        <v>33</v>
      </c>
      <c r="N10" s="11">
        <f>Tabla14[[#This Row],[Price]]*Tabla14[[#This Row],[QTY Adjusted]]</f>
        <v>5558.2560000000003</v>
      </c>
      <c r="O10" s="11">
        <v>5558.2560000000003</v>
      </c>
      <c r="P10" s="22">
        <v>46091</v>
      </c>
      <c r="Q10" s="6">
        <v>0</v>
      </c>
    </row>
    <row r="11" spans="1:17" ht="41.4" customHeight="1" x14ac:dyDescent="0.3">
      <c r="A11" s="5">
        <v>944</v>
      </c>
      <c r="B11" s="5" t="s">
        <v>1684</v>
      </c>
      <c r="C11" s="5" t="s">
        <v>1692</v>
      </c>
      <c r="D11" s="5" t="s">
        <v>44</v>
      </c>
      <c r="E11" s="5" t="s">
        <v>1685</v>
      </c>
      <c r="F11" s="5" t="s">
        <v>4060</v>
      </c>
      <c r="G11" s="5" t="s">
        <v>1707</v>
      </c>
      <c r="H11" s="5" t="s">
        <v>1708</v>
      </c>
      <c r="I11" s="5"/>
      <c r="J11" s="5">
        <v>242</v>
      </c>
      <c r="K11" s="5" t="s">
        <v>19</v>
      </c>
      <c r="L11" s="11">
        <v>22.968</v>
      </c>
      <c r="M11" s="5" t="s">
        <v>33</v>
      </c>
      <c r="N11" s="11">
        <f>Tabla14[[#This Row],[Price]]*Tabla14[[#This Row],[QTY Adjusted]]</f>
        <v>5558.2560000000003</v>
      </c>
      <c r="O11" s="11">
        <v>5558.2560000000003</v>
      </c>
      <c r="P11" s="22">
        <v>46091</v>
      </c>
      <c r="Q11" s="6">
        <v>0</v>
      </c>
    </row>
    <row r="12" spans="1:17" ht="41.4" customHeight="1" x14ac:dyDescent="0.3">
      <c r="A12" s="5">
        <v>942</v>
      </c>
      <c r="B12" s="5" t="s">
        <v>1684</v>
      </c>
      <c r="C12" s="5" t="s">
        <v>1692</v>
      </c>
      <c r="D12" s="5" t="s">
        <v>44</v>
      </c>
      <c r="E12" s="5" t="s">
        <v>1685</v>
      </c>
      <c r="F12" s="5" t="s">
        <v>4060</v>
      </c>
      <c r="G12" s="5" t="s">
        <v>1703</v>
      </c>
      <c r="H12" s="5" t="s">
        <v>1704</v>
      </c>
      <c r="I12" s="5"/>
      <c r="J12" s="5">
        <v>242</v>
      </c>
      <c r="K12" s="5" t="s">
        <v>19</v>
      </c>
      <c r="L12" s="11">
        <v>20.538</v>
      </c>
      <c r="M12" s="5" t="s">
        <v>33</v>
      </c>
      <c r="N12" s="11">
        <f>Tabla14[[#This Row],[Price]]*Tabla14[[#This Row],[QTY Adjusted]]</f>
        <v>4970.1959999999999</v>
      </c>
      <c r="O12" s="11">
        <v>4970.1959999999999</v>
      </c>
      <c r="P12" s="22">
        <v>46091</v>
      </c>
      <c r="Q12" s="6">
        <v>0</v>
      </c>
    </row>
    <row r="13" spans="1:17" ht="41.4" customHeight="1" x14ac:dyDescent="0.3">
      <c r="A13" s="5">
        <v>948</v>
      </c>
      <c r="B13" s="5" t="s">
        <v>1684</v>
      </c>
      <c r="C13" s="5" t="s">
        <v>1692</v>
      </c>
      <c r="D13" s="5" t="s">
        <v>44</v>
      </c>
      <c r="E13" s="5" t="s">
        <v>1685</v>
      </c>
      <c r="F13" s="5" t="s">
        <v>4060</v>
      </c>
      <c r="G13" s="5" t="s">
        <v>1715</v>
      </c>
      <c r="H13" s="5" t="s">
        <v>1716</v>
      </c>
      <c r="I13" s="5"/>
      <c r="J13" s="5">
        <v>242</v>
      </c>
      <c r="K13" s="5" t="s">
        <v>19</v>
      </c>
      <c r="L13" s="11">
        <v>20.538</v>
      </c>
      <c r="M13" s="5" t="s">
        <v>33</v>
      </c>
      <c r="N13" s="11">
        <f>Tabla14[[#This Row],[Price]]*Tabla14[[#This Row],[QTY Adjusted]]</f>
        <v>4970.1959999999999</v>
      </c>
      <c r="O13" s="11">
        <v>4970.1959999999999</v>
      </c>
      <c r="P13" s="22">
        <v>46091</v>
      </c>
      <c r="Q13" s="6">
        <v>0</v>
      </c>
    </row>
    <row r="14" spans="1:17" ht="41.4" customHeight="1" x14ac:dyDescent="0.3">
      <c r="A14" s="5">
        <v>930</v>
      </c>
      <c r="B14" s="5" t="s">
        <v>1684</v>
      </c>
      <c r="C14" s="5" t="s">
        <v>1316</v>
      </c>
      <c r="D14" s="5" t="s">
        <v>718</v>
      </c>
      <c r="E14" s="5" t="s">
        <v>1685</v>
      </c>
      <c r="F14" s="5" t="s">
        <v>4062</v>
      </c>
      <c r="G14" s="5" t="s">
        <v>1327</v>
      </c>
      <c r="H14" s="5" t="s">
        <v>1329</v>
      </c>
      <c r="I14" s="5"/>
      <c r="J14" s="5">
        <v>479</v>
      </c>
      <c r="K14" s="5" t="s">
        <v>19</v>
      </c>
      <c r="L14" s="11">
        <v>10.16</v>
      </c>
      <c r="M14" s="5" t="s">
        <v>33</v>
      </c>
      <c r="N14" s="11">
        <f>Tabla14[[#This Row],[Price]]*Tabla14[[#This Row],[QTY Adjusted]]</f>
        <v>4866.6400000000003</v>
      </c>
      <c r="O14" s="11">
        <v>4866.6400000000003</v>
      </c>
      <c r="P14" s="10" t="s">
        <v>4225</v>
      </c>
      <c r="Q14" s="6">
        <v>0</v>
      </c>
    </row>
    <row r="15" spans="1:17" ht="41.4" customHeight="1" x14ac:dyDescent="0.3">
      <c r="A15" s="5">
        <v>950</v>
      </c>
      <c r="B15" s="5" t="s">
        <v>1684</v>
      </c>
      <c r="C15" s="5" t="s">
        <v>47</v>
      </c>
      <c r="D15" s="5" t="s">
        <v>44</v>
      </c>
      <c r="E15" s="5" t="s">
        <v>1685</v>
      </c>
      <c r="F15" s="5" t="s">
        <v>4063</v>
      </c>
      <c r="G15" s="5" t="s">
        <v>1208</v>
      </c>
      <c r="H15" s="5" t="s">
        <v>1209</v>
      </c>
      <c r="I15" s="5"/>
      <c r="J15" s="5">
        <v>962</v>
      </c>
      <c r="K15" s="5" t="s">
        <v>19</v>
      </c>
      <c r="L15" s="11">
        <v>4.6139999999999999</v>
      </c>
      <c r="M15" s="5" t="s">
        <v>33</v>
      </c>
      <c r="N15" s="11">
        <f>Tabla14[[#This Row],[Price]]*Tabla14[[#This Row],[QTY Adjusted]]</f>
        <v>4438.6679999999997</v>
      </c>
      <c r="O15" s="11">
        <v>4438.6679999999997</v>
      </c>
      <c r="P15" s="22" t="s">
        <v>4225</v>
      </c>
      <c r="Q15" s="6">
        <v>0</v>
      </c>
    </row>
    <row r="16" spans="1:17" ht="41.4" customHeight="1" x14ac:dyDescent="0.3">
      <c r="A16" s="5">
        <v>941</v>
      </c>
      <c r="B16" s="5" t="s">
        <v>1684</v>
      </c>
      <c r="C16" s="5" t="s">
        <v>1692</v>
      </c>
      <c r="D16" s="5" t="s">
        <v>44</v>
      </c>
      <c r="E16" s="5" t="s">
        <v>1685</v>
      </c>
      <c r="F16" s="5" t="s">
        <v>4060</v>
      </c>
      <c r="G16" s="5" t="s">
        <v>1701</v>
      </c>
      <c r="H16" s="5" t="s">
        <v>1702</v>
      </c>
      <c r="I16" s="5"/>
      <c r="J16" s="5">
        <v>242</v>
      </c>
      <c r="K16" s="5" t="s">
        <v>19</v>
      </c>
      <c r="L16" s="11">
        <v>14.679</v>
      </c>
      <c r="M16" s="5" t="s">
        <v>33</v>
      </c>
      <c r="N16" s="11">
        <f>Tabla14[[#This Row],[Price]]*Tabla14[[#This Row],[QTY Adjusted]]</f>
        <v>3552.3180000000002</v>
      </c>
      <c r="O16" s="11">
        <v>3552.3180000000002</v>
      </c>
      <c r="P16" s="22">
        <v>46091</v>
      </c>
      <c r="Q16" s="6">
        <v>0</v>
      </c>
    </row>
    <row r="17" spans="1:17" ht="41.4" customHeight="1" x14ac:dyDescent="0.3">
      <c r="A17" s="5">
        <v>947</v>
      </c>
      <c r="B17" s="5" t="s">
        <v>1684</v>
      </c>
      <c r="C17" s="5" t="s">
        <v>1692</v>
      </c>
      <c r="D17" s="5" t="s">
        <v>44</v>
      </c>
      <c r="E17" s="5" t="s">
        <v>1685</v>
      </c>
      <c r="F17" s="5" t="s">
        <v>4060</v>
      </c>
      <c r="G17" s="5" t="s">
        <v>1713</v>
      </c>
      <c r="H17" s="5" t="s">
        <v>1714</v>
      </c>
      <c r="I17" s="5"/>
      <c r="J17" s="5">
        <v>242</v>
      </c>
      <c r="K17" s="5" t="s">
        <v>19</v>
      </c>
      <c r="L17" s="11">
        <v>14.679</v>
      </c>
      <c r="M17" s="5" t="s">
        <v>33</v>
      </c>
      <c r="N17" s="11">
        <f>Tabla14[[#This Row],[Price]]*Tabla14[[#This Row],[QTY Adjusted]]</f>
        <v>3552.3180000000002</v>
      </c>
      <c r="O17" s="11">
        <v>3552.3180000000002</v>
      </c>
      <c r="P17" s="22">
        <v>46091</v>
      </c>
      <c r="Q17" s="6">
        <v>0</v>
      </c>
    </row>
    <row r="18" spans="1:17" ht="41.4" customHeight="1" x14ac:dyDescent="0.3">
      <c r="A18" s="5">
        <v>949</v>
      </c>
      <c r="B18" s="5" t="s">
        <v>1684</v>
      </c>
      <c r="C18" s="5" t="s">
        <v>47</v>
      </c>
      <c r="D18" s="5" t="s">
        <v>44</v>
      </c>
      <c r="E18" s="5" t="s">
        <v>1685</v>
      </c>
      <c r="F18" s="5" t="s">
        <v>4063</v>
      </c>
      <c r="G18" s="5" t="s">
        <v>1206</v>
      </c>
      <c r="H18" s="5" t="s">
        <v>1207</v>
      </c>
      <c r="I18" s="5"/>
      <c r="J18" s="5">
        <v>962</v>
      </c>
      <c r="K18" s="5" t="s">
        <v>19</v>
      </c>
      <c r="L18" s="11">
        <v>3.6059999999999999</v>
      </c>
      <c r="M18" s="5" t="s">
        <v>33</v>
      </c>
      <c r="N18" s="11">
        <f>Tabla14[[#This Row],[Price]]*Tabla14[[#This Row],[QTY Adjusted]]</f>
        <v>3468.9719999999998</v>
      </c>
      <c r="O18" s="11">
        <v>3468.9719999999998</v>
      </c>
      <c r="P18" s="22" t="s">
        <v>4225</v>
      </c>
      <c r="Q18" s="6">
        <v>0</v>
      </c>
    </row>
    <row r="19" spans="1:17" ht="41.4" customHeight="1" x14ac:dyDescent="0.3">
      <c r="A19" s="5">
        <v>951</v>
      </c>
      <c r="B19" s="5" t="s">
        <v>1684</v>
      </c>
      <c r="C19" s="5" t="s">
        <v>47</v>
      </c>
      <c r="D19" s="5" t="s">
        <v>44</v>
      </c>
      <c r="E19" s="5" t="s">
        <v>1685</v>
      </c>
      <c r="F19" s="5" t="s">
        <v>4063</v>
      </c>
      <c r="G19" s="5" t="s">
        <v>1204</v>
      </c>
      <c r="H19" s="5" t="s">
        <v>1205</v>
      </c>
      <c r="I19" s="5"/>
      <c r="J19" s="5">
        <v>962</v>
      </c>
      <c r="K19" s="5" t="s">
        <v>19</v>
      </c>
      <c r="L19" s="11">
        <v>3.6059999999999999</v>
      </c>
      <c r="M19" s="5" t="s">
        <v>33</v>
      </c>
      <c r="N19" s="11">
        <f>Tabla14[[#This Row],[Price]]*Tabla14[[#This Row],[QTY Adjusted]]</f>
        <v>3468.9719999999998</v>
      </c>
      <c r="O19" s="11">
        <v>3468.9719999999998</v>
      </c>
      <c r="P19" s="22" t="s">
        <v>4225</v>
      </c>
      <c r="Q19" s="6">
        <v>0</v>
      </c>
    </row>
    <row r="20" spans="1:17" ht="41.4" customHeight="1" x14ac:dyDescent="0.3">
      <c r="A20" s="5">
        <v>959</v>
      </c>
      <c r="B20" s="5" t="s">
        <v>1684</v>
      </c>
      <c r="C20" s="5" t="s">
        <v>1256</v>
      </c>
      <c r="D20" s="5" t="str">
        <f>Tabla14[[#This Row],[Vendor]]</f>
        <v>Monica Calderon</v>
      </c>
      <c r="E20" s="5" t="s">
        <v>1685</v>
      </c>
      <c r="F20" s="5" t="s">
        <v>4059</v>
      </c>
      <c r="G20" s="5" t="s">
        <v>178</v>
      </c>
      <c r="H20" s="5" t="s">
        <v>1726</v>
      </c>
      <c r="I20" s="5"/>
      <c r="J20" s="5">
        <v>24</v>
      </c>
      <c r="K20" s="5" t="s">
        <v>19</v>
      </c>
      <c r="L20" s="11">
        <v>163.08000000000001</v>
      </c>
      <c r="M20" s="5" t="s">
        <v>33</v>
      </c>
      <c r="N20" s="11">
        <f>Tabla14[[#This Row],[Price]]*Tabla14[[#This Row],[QTY Adjusted]]</f>
        <v>3913.92</v>
      </c>
      <c r="O20" s="11">
        <v>3913.92</v>
      </c>
      <c r="P20" s="10" t="s">
        <v>4225</v>
      </c>
      <c r="Q20" s="6">
        <v>0</v>
      </c>
    </row>
    <row r="21" spans="1:17" ht="41.4" customHeight="1" x14ac:dyDescent="0.3">
      <c r="A21" s="6">
        <v>929</v>
      </c>
      <c r="B21" s="6" t="s">
        <v>1684</v>
      </c>
      <c r="C21" s="6" t="s">
        <v>1316</v>
      </c>
      <c r="D21" s="6" t="s">
        <v>718</v>
      </c>
      <c r="E21" s="6" t="s">
        <v>1685</v>
      </c>
      <c r="F21" s="6" t="s">
        <v>4062</v>
      </c>
      <c r="G21" s="6" t="s">
        <v>1324</v>
      </c>
      <c r="H21" s="6" t="s">
        <v>1326</v>
      </c>
      <c r="I21" s="6"/>
      <c r="J21" s="6">
        <v>242</v>
      </c>
      <c r="K21" s="6" t="s">
        <v>19</v>
      </c>
      <c r="L21" s="10">
        <v>12.6</v>
      </c>
      <c r="M21" s="6" t="s">
        <v>33</v>
      </c>
      <c r="N21" s="10">
        <f>Tabla14[[#This Row],[Price]]*Tabla14[[#This Row],[QTY Adjusted]]</f>
        <v>3049.2</v>
      </c>
      <c r="O21" s="10">
        <v>3049.2</v>
      </c>
      <c r="P21" s="10" t="s">
        <v>4225</v>
      </c>
      <c r="Q21" s="6">
        <v>0</v>
      </c>
    </row>
    <row r="22" spans="1:17" ht="41.4" customHeight="1" x14ac:dyDescent="0.3">
      <c r="A22" s="6">
        <v>952</v>
      </c>
      <c r="B22" s="6" t="s">
        <v>1684</v>
      </c>
      <c r="C22" s="6" t="s">
        <v>47</v>
      </c>
      <c r="D22" s="6" t="s">
        <v>44</v>
      </c>
      <c r="E22" s="6" t="s">
        <v>1685</v>
      </c>
      <c r="F22" s="6" t="s">
        <v>4063</v>
      </c>
      <c r="G22" s="6" t="s">
        <v>1216</v>
      </c>
      <c r="H22" s="6" t="s">
        <v>1717</v>
      </c>
      <c r="I22" s="6"/>
      <c r="J22" s="6">
        <v>1199</v>
      </c>
      <c r="K22" s="6" t="s">
        <v>19</v>
      </c>
      <c r="L22" s="10">
        <v>2.0219999999999998</v>
      </c>
      <c r="M22" s="6" t="s">
        <v>33</v>
      </c>
      <c r="N22" s="10">
        <f>Tabla14[[#This Row],[Price]]*Tabla14[[#This Row],[QTY Adjusted]]</f>
        <v>2424.3779999999997</v>
      </c>
      <c r="O22" s="10">
        <v>2424.3779999999997</v>
      </c>
      <c r="P22" s="22" t="s">
        <v>4225</v>
      </c>
      <c r="Q22" s="6">
        <v>0</v>
      </c>
    </row>
    <row r="23" spans="1:17" ht="41.4" customHeight="1" x14ac:dyDescent="0.3">
      <c r="A23" s="6">
        <v>931</v>
      </c>
      <c r="B23" s="6" t="s">
        <v>1684</v>
      </c>
      <c r="C23" s="6" t="s">
        <v>1316</v>
      </c>
      <c r="D23" s="6" t="s">
        <v>718</v>
      </c>
      <c r="E23" s="6" t="s">
        <v>1685</v>
      </c>
      <c r="F23" s="6" t="s">
        <v>4062</v>
      </c>
      <c r="G23" s="6" t="s">
        <v>1330</v>
      </c>
      <c r="H23" s="6" t="s">
        <v>1331</v>
      </c>
      <c r="I23" s="6"/>
      <c r="J23" s="6">
        <v>242</v>
      </c>
      <c r="K23" s="6" t="s">
        <v>19</v>
      </c>
      <c r="L23" s="10">
        <v>8.24</v>
      </c>
      <c r="M23" s="6" t="s">
        <v>33</v>
      </c>
      <c r="N23" s="10">
        <f>Tabla14[[#This Row],[Price]]*Tabla14[[#This Row],[QTY Adjusted]]</f>
        <v>1994.0800000000002</v>
      </c>
      <c r="O23" s="10">
        <v>1994.0800000000002</v>
      </c>
      <c r="P23" s="10" t="s">
        <v>4225</v>
      </c>
      <c r="Q23" s="6">
        <v>0</v>
      </c>
    </row>
    <row r="24" spans="1:17" ht="41.4" customHeight="1" x14ac:dyDescent="0.3">
      <c r="A24" s="6">
        <v>926</v>
      </c>
      <c r="B24" s="6" t="s">
        <v>1684</v>
      </c>
      <c r="C24" s="6" t="s">
        <v>1316</v>
      </c>
      <c r="D24" s="6" t="s">
        <v>718</v>
      </c>
      <c r="E24" s="6" t="s">
        <v>1685</v>
      </c>
      <c r="F24" s="6" t="s">
        <v>4062</v>
      </c>
      <c r="G24" s="6" t="s">
        <v>1686</v>
      </c>
      <c r="H24" s="6" t="s">
        <v>1687</v>
      </c>
      <c r="I24" s="6"/>
      <c r="J24" s="6">
        <v>242</v>
      </c>
      <c r="K24" s="6" t="s">
        <v>19</v>
      </c>
      <c r="L24" s="10">
        <v>8.16</v>
      </c>
      <c r="M24" s="6" t="s">
        <v>33</v>
      </c>
      <c r="N24" s="10">
        <f>Tabla14[[#This Row],[Price]]*Tabla14[[#This Row],[QTY Adjusted]]</f>
        <v>1974.72</v>
      </c>
      <c r="O24" s="10">
        <v>1974.72</v>
      </c>
      <c r="P24" s="10" t="s">
        <v>4225</v>
      </c>
      <c r="Q24" s="6">
        <v>0</v>
      </c>
    </row>
    <row r="25" spans="1:17" ht="41.4" customHeight="1" x14ac:dyDescent="0.3">
      <c r="A25" s="6">
        <v>927</v>
      </c>
      <c r="B25" s="6" t="s">
        <v>1684</v>
      </c>
      <c r="C25" s="6" t="s">
        <v>1316</v>
      </c>
      <c r="D25" s="6" t="s">
        <v>718</v>
      </c>
      <c r="E25" s="6" t="s">
        <v>1685</v>
      </c>
      <c r="F25" s="6" t="s">
        <v>4062</v>
      </c>
      <c r="G25" s="6" t="s">
        <v>1688</v>
      </c>
      <c r="H25" s="6" t="s">
        <v>1689</v>
      </c>
      <c r="I25" s="6"/>
      <c r="J25" s="6">
        <v>242</v>
      </c>
      <c r="K25" s="6" t="s">
        <v>19</v>
      </c>
      <c r="L25" s="10">
        <v>7.84</v>
      </c>
      <c r="M25" s="6" t="s">
        <v>33</v>
      </c>
      <c r="N25" s="10">
        <f>Tabla14[[#This Row],[Price]]*Tabla14[[#This Row],[QTY Adjusted]]</f>
        <v>1897.28</v>
      </c>
      <c r="O25" s="10">
        <v>1897.28</v>
      </c>
      <c r="P25" s="10" t="s">
        <v>4225</v>
      </c>
      <c r="Q25" s="6">
        <v>0</v>
      </c>
    </row>
    <row r="26" spans="1:17" ht="41.4" customHeight="1" x14ac:dyDescent="0.3">
      <c r="A26" s="6">
        <v>957</v>
      </c>
      <c r="B26" s="6" t="s">
        <v>1684</v>
      </c>
      <c r="C26" s="6" t="s">
        <v>681</v>
      </c>
      <c r="D26" s="6" t="s">
        <v>1490</v>
      </c>
      <c r="E26" s="6" t="s">
        <v>1685</v>
      </c>
      <c r="F26" s="6" t="s">
        <v>4059</v>
      </c>
      <c r="G26" s="6" t="s">
        <v>1666</v>
      </c>
      <c r="H26" s="6" t="s">
        <v>1668</v>
      </c>
      <c r="I26" s="6"/>
      <c r="J26" s="6">
        <v>24</v>
      </c>
      <c r="K26" s="6" t="s">
        <v>19</v>
      </c>
      <c r="L26" s="10">
        <v>81.430000000000007</v>
      </c>
      <c r="M26" s="6" t="s">
        <v>33</v>
      </c>
      <c r="N26" s="10">
        <f>Tabla14[[#This Row],[Price]]*Tabla14[[#This Row],[QTY Adjusted]]</f>
        <v>1954.3200000000002</v>
      </c>
      <c r="O26" s="10">
        <v>1954.3200000000002</v>
      </c>
      <c r="P26" s="10" t="s">
        <v>4225</v>
      </c>
      <c r="Q26" s="6">
        <v>0</v>
      </c>
    </row>
    <row r="27" spans="1:17" ht="41.4" customHeight="1" x14ac:dyDescent="0.3">
      <c r="A27" s="6">
        <v>937</v>
      </c>
      <c r="B27" s="6" t="s">
        <v>1684</v>
      </c>
      <c r="C27" s="6" t="s">
        <v>1692</v>
      </c>
      <c r="D27" s="6" t="s">
        <v>44</v>
      </c>
      <c r="E27" s="6" t="s">
        <v>1685</v>
      </c>
      <c r="F27" s="6" t="s">
        <v>4060</v>
      </c>
      <c r="G27" s="6" t="s">
        <v>1693</v>
      </c>
      <c r="H27" s="6" t="s">
        <v>1694</v>
      </c>
      <c r="I27" s="6"/>
      <c r="J27" s="6">
        <v>119</v>
      </c>
      <c r="K27" s="6" t="s">
        <v>19</v>
      </c>
      <c r="L27" s="10">
        <v>13.202999999999999</v>
      </c>
      <c r="M27" s="6" t="s">
        <v>33</v>
      </c>
      <c r="N27" s="10">
        <f>Tabla14[[#This Row],[Price]]*Tabla14[[#This Row],[QTY Adjusted]]</f>
        <v>1571.1569999999999</v>
      </c>
      <c r="O27" s="10">
        <v>1571.1569999999999</v>
      </c>
      <c r="P27" s="22">
        <v>46091</v>
      </c>
      <c r="Q27" s="6">
        <v>0</v>
      </c>
    </row>
    <row r="28" spans="1:17" ht="41.4" customHeight="1" x14ac:dyDescent="0.3">
      <c r="A28" s="6">
        <v>943</v>
      </c>
      <c r="B28" s="6" t="s">
        <v>1684</v>
      </c>
      <c r="C28" s="6" t="s">
        <v>1692</v>
      </c>
      <c r="D28" s="6" t="s">
        <v>44</v>
      </c>
      <c r="E28" s="6" t="s">
        <v>1685</v>
      </c>
      <c r="F28" s="6" t="s">
        <v>4060</v>
      </c>
      <c r="G28" s="6" t="s">
        <v>1705</v>
      </c>
      <c r="H28" s="6" t="s">
        <v>1706</v>
      </c>
      <c r="I28" s="6"/>
      <c r="J28" s="6">
        <v>119</v>
      </c>
      <c r="K28" s="6" t="s">
        <v>19</v>
      </c>
      <c r="L28" s="10">
        <v>13.202999999999999</v>
      </c>
      <c r="M28" s="6" t="s">
        <v>33</v>
      </c>
      <c r="N28" s="10">
        <f>Tabla14[[#This Row],[Price]]*Tabla14[[#This Row],[QTY Adjusted]]</f>
        <v>1571.1569999999999</v>
      </c>
      <c r="O28" s="10">
        <v>1571.1569999999999</v>
      </c>
      <c r="P28" s="22">
        <v>46091</v>
      </c>
      <c r="Q28" s="6">
        <v>0</v>
      </c>
    </row>
    <row r="29" spans="1:17" ht="41.4" customHeight="1" x14ac:dyDescent="0.3">
      <c r="A29" s="6">
        <v>934</v>
      </c>
      <c r="B29" s="6" t="s">
        <v>1684</v>
      </c>
      <c r="C29" s="6" t="s">
        <v>1316</v>
      </c>
      <c r="D29" s="6" t="s">
        <v>718</v>
      </c>
      <c r="E29" s="6" t="s">
        <v>1685</v>
      </c>
      <c r="F29" s="6" t="s">
        <v>4062</v>
      </c>
      <c r="G29" s="6" t="s">
        <v>1650</v>
      </c>
      <c r="H29" s="6" t="s">
        <v>1651</v>
      </c>
      <c r="I29" s="6"/>
      <c r="J29" s="6">
        <v>119</v>
      </c>
      <c r="K29" s="6" t="s">
        <v>19</v>
      </c>
      <c r="L29" s="10">
        <v>9.3000000000000007</v>
      </c>
      <c r="M29" s="6" t="s">
        <v>33</v>
      </c>
      <c r="N29" s="10">
        <f>Tabla14[[#This Row],[Price]]*Tabla14[[#This Row],[QTY Adjusted]]</f>
        <v>1106.7</v>
      </c>
      <c r="O29" s="10">
        <v>1106.7</v>
      </c>
      <c r="P29" s="10" t="s">
        <v>4225</v>
      </c>
      <c r="Q29" s="6">
        <v>0</v>
      </c>
    </row>
    <row r="30" spans="1:17" ht="41.4" customHeight="1" x14ac:dyDescent="0.3">
      <c r="A30" s="6">
        <v>933</v>
      </c>
      <c r="B30" s="6" t="s">
        <v>1684</v>
      </c>
      <c r="C30" s="6" t="s">
        <v>1316</v>
      </c>
      <c r="D30" s="6" t="s">
        <v>718</v>
      </c>
      <c r="E30" s="6" t="s">
        <v>1685</v>
      </c>
      <c r="F30" s="6" t="s">
        <v>4062</v>
      </c>
      <c r="G30" s="6" t="s">
        <v>1648</v>
      </c>
      <c r="H30" s="6" t="s">
        <v>1649</v>
      </c>
      <c r="I30" s="6"/>
      <c r="J30" s="6">
        <v>119</v>
      </c>
      <c r="K30" s="6" t="s">
        <v>19</v>
      </c>
      <c r="L30" s="10">
        <v>9</v>
      </c>
      <c r="M30" s="6" t="s">
        <v>33</v>
      </c>
      <c r="N30" s="10">
        <f>Tabla14[[#This Row],[Price]]*Tabla14[[#This Row],[QTY Adjusted]]</f>
        <v>1071</v>
      </c>
      <c r="O30" s="10">
        <v>1071</v>
      </c>
      <c r="P30" s="10" t="s">
        <v>4225</v>
      </c>
      <c r="Q30" s="6">
        <v>0</v>
      </c>
    </row>
    <row r="31" spans="1:17" ht="41.4" customHeight="1" x14ac:dyDescent="0.3">
      <c r="A31" s="6">
        <v>940</v>
      </c>
      <c r="B31" s="6" t="s">
        <v>1684</v>
      </c>
      <c r="C31" s="6" t="s">
        <v>1692</v>
      </c>
      <c r="D31" s="6" t="s">
        <v>44</v>
      </c>
      <c r="E31" s="6" t="s">
        <v>1685</v>
      </c>
      <c r="F31" s="6" t="s">
        <v>4060</v>
      </c>
      <c r="G31" s="6" t="s">
        <v>1699</v>
      </c>
      <c r="H31" s="6" t="s">
        <v>1700</v>
      </c>
      <c r="I31" s="6"/>
      <c r="J31" s="6">
        <v>119</v>
      </c>
      <c r="K31" s="6" t="s">
        <v>19</v>
      </c>
      <c r="L31" s="10">
        <v>8.8290000000000006</v>
      </c>
      <c r="M31" s="6" t="s">
        <v>33</v>
      </c>
      <c r="N31" s="10">
        <f>Tabla14[[#This Row],[Price]]*Tabla14[[#This Row],[QTY Adjusted]]</f>
        <v>1050.6510000000001</v>
      </c>
      <c r="O31" s="10">
        <v>1050.6510000000001</v>
      </c>
      <c r="P31" s="22">
        <v>46091</v>
      </c>
      <c r="Q31" s="6">
        <v>0</v>
      </c>
    </row>
    <row r="32" spans="1:17" ht="41.4" customHeight="1" x14ac:dyDescent="0.3">
      <c r="A32" s="6">
        <v>946</v>
      </c>
      <c r="B32" s="6" t="s">
        <v>1684</v>
      </c>
      <c r="C32" s="6" t="s">
        <v>1692</v>
      </c>
      <c r="D32" s="6" t="s">
        <v>44</v>
      </c>
      <c r="E32" s="6" t="s">
        <v>1685</v>
      </c>
      <c r="F32" s="6" t="s">
        <v>4060</v>
      </c>
      <c r="G32" s="6" t="s">
        <v>1711</v>
      </c>
      <c r="H32" s="6" t="s">
        <v>1712</v>
      </c>
      <c r="I32" s="6"/>
      <c r="J32" s="6">
        <v>119</v>
      </c>
      <c r="K32" s="6" t="s">
        <v>19</v>
      </c>
      <c r="L32" s="10">
        <v>8.8290000000000006</v>
      </c>
      <c r="M32" s="6" t="s">
        <v>33</v>
      </c>
      <c r="N32" s="10">
        <f>Tabla14[[#This Row],[Price]]*Tabla14[[#This Row],[QTY Adjusted]]</f>
        <v>1050.6510000000001</v>
      </c>
      <c r="O32" s="10">
        <v>1050.6510000000001</v>
      </c>
      <c r="P32" s="22">
        <v>46091</v>
      </c>
      <c r="Q32" s="6">
        <v>0</v>
      </c>
    </row>
    <row r="33" spans="1:17" ht="41.4" customHeight="1" x14ac:dyDescent="0.3">
      <c r="A33" s="6">
        <v>955</v>
      </c>
      <c r="B33" s="6" t="s">
        <v>1684</v>
      </c>
      <c r="C33" s="6" t="s">
        <v>357</v>
      </c>
      <c r="D33" s="6" t="s">
        <v>93</v>
      </c>
      <c r="E33" s="6" t="s">
        <v>1685</v>
      </c>
      <c r="F33" s="6" t="s">
        <v>4059</v>
      </c>
      <c r="G33" s="6" t="s">
        <v>679</v>
      </c>
      <c r="H33" s="6" t="s">
        <v>680</v>
      </c>
      <c r="I33" s="6"/>
      <c r="J33" s="6">
        <v>24</v>
      </c>
      <c r="K33" s="6" t="s">
        <v>19</v>
      </c>
      <c r="L33" s="10">
        <v>48.49</v>
      </c>
      <c r="M33" s="6" t="s">
        <v>33</v>
      </c>
      <c r="N33" s="10">
        <f>Tabla14[[#This Row],[Price]]*Tabla14[[#This Row],[QTY Adjusted]]</f>
        <v>1163.76</v>
      </c>
      <c r="O33" s="10">
        <v>1163.76</v>
      </c>
      <c r="P33" s="10" t="s">
        <v>4225</v>
      </c>
      <c r="Q33" s="6">
        <v>0</v>
      </c>
    </row>
    <row r="34" spans="1:17" ht="41.4" customHeight="1" x14ac:dyDescent="0.3">
      <c r="A34" s="6">
        <v>928</v>
      </c>
      <c r="B34" s="6" t="s">
        <v>1684</v>
      </c>
      <c r="C34" s="6" t="s">
        <v>1316</v>
      </c>
      <c r="D34" s="6" t="s">
        <v>718</v>
      </c>
      <c r="E34" s="6" t="s">
        <v>1685</v>
      </c>
      <c r="F34" s="6" t="s">
        <v>4062</v>
      </c>
      <c r="G34" s="6" t="s">
        <v>1322</v>
      </c>
      <c r="H34" s="6" t="s">
        <v>1323</v>
      </c>
      <c r="I34" s="6"/>
      <c r="J34" s="6">
        <v>119</v>
      </c>
      <c r="K34" s="6" t="s">
        <v>19</v>
      </c>
      <c r="L34" s="10">
        <v>8</v>
      </c>
      <c r="M34" s="6" t="s">
        <v>33</v>
      </c>
      <c r="N34" s="10">
        <f>Tabla14[[#This Row],[Price]]*Tabla14[[#This Row],[QTY Adjusted]]</f>
        <v>952</v>
      </c>
      <c r="O34" s="10">
        <v>952</v>
      </c>
      <c r="P34" s="10" t="s">
        <v>4225</v>
      </c>
      <c r="Q34" s="6">
        <v>0</v>
      </c>
    </row>
    <row r="35" spans="1:17" ht="41.4" customHeight="1" x14ac:dyDescent="0.3">
      <c r="A35" s="6">
        <v>956</v>
      </c>
      <c r="B35" s="6" t="s">
        <v>1684</v>
      </c>
      <c r="C35" s="6" t="s">
        <v>1720</v>
      </c>
      <c r="D35" s="6" t="s">
        <v>93</v>
      </c>
      <c r="E35" s="6" t="s">
        <v>1685</v>
      </c>
      <c r="F35" s="6" t="s">
        <v>4059</v>
      </c>
      <c r="G35" s="6" t="s">
        <v>1721</v>
      </c>
      <c r="H35" s="6" t="s">
        <v>1722</v>
      </c>
      <c r="I35" s="6"/>
      <c r="J35" s="6">
        <v>12</v>
      </c>
      <c r="K35" s="6" t="s">
        <v>19</v>
      </c>
      <c r="L35" s="10">
        <v>60.61</v>
      </c>
      <c r="M35" s="6" t="s">
        <v>33</v>
      </c>
      <c r="N35" s="10">
        <f>Tabla14[[#This Row],[Price]]*Tabla14[[#This Row],[QTY Adjusted]]</f>
        <v>727.31999999999994</v>
      </c>
      <c r="O35" s="10">
        <v>727.31999999999994</v>
      </c>
      <c r="P35" s="10" t="s">
        <v>4225</v>
      </c>
      <c r="Q35" s="6">
        <v>0</v>
      </c>
    </row>
    <row r="36" spans="1:17" ht="41.4" customHeight="1" x14ac:dyDescent="0.3">
      <c r="A36" s="6">
        <v>936</v>
      </c>
      <c r="B36" s="6" t="s">
        <v>1684</v>
      </c>
      <c r="C36" s="6" t="s">
        <v>1316</v>
      </c>
      <c r="D36" s="6" t="s">
        <v>718</v>
      </c>
      <c r="E36" s="6" t="s">
        <v>1685</v>
      </c>
      <c r="F36" s="6" t="s">
        <v>4062</v>
      </c>
      <c r="G36" s="6" t="s">
        <v>1690</v>
      </c>
      <c r="H36" s="6" t="s">
        <v>1691</v>
      </c>
      <c r="I36" s="6"/>
      <c r="J36" s="6">
        <v>24</v>
      </c>
      <c r="K36" s="6" t="s">
        <v>19</v>
      </c>
      <c r="L36" s="10">
        <v>22.32</v>
      </c>
      <c r="M36" s="6" t="s">
        <v>33</v>
      </c>
      <c r="N36" s="10">
        <f>Tabla14[[#This Row],[Price]]*Tabla14[[#This Row],[QTY Adjusted]]</f>
        <v>535.68000000000006</v>
      </c>
      <c r="O36" s="10">
        <v>535.68000000000006</v>
      </c>
      <c r="P36" s="10" t="s">
        <v>4225</v>
      </c>
      <c r="Q36" s="6">
        <v>0</v>
      </c>
    </row>
    <row r="37" spans="1:17" ht="41.4" customHeight="1" x14ac:dyDescent="0.3">
      <c r="A37" s="6">
        <v>935</v>
      </c>
      <c r="B37" s="6" t="s">
        <v>1684</v>
      </c>
      <c r="C37" s="6" t="s">
        <v>1316</v>
      </c>
      <c r="D37" s="6" t="s">
        <v>718</v>
      </c>
      <c r="E37" s="6" t="s">
        <v>1685</v>
      </c>
      <c r="F37" s="6" t="s">
        <v>4062</v>
      </c>
      <c r="G37" s="6" t="s">
        <v>1652</v>
      </c>
      <c r="H37" s="6" t="s">
        <v>1653</v>
      </c>
      <c r="I37" s="6"/>
      <c r="J37" s="6">
        <v>72</v>
      </c>
      <c r="K37" s="6" t="s">
        <v>19</v>
      </c>
      <c r="L37" s="10">
        <v>3.7</v>
      </c>
      <c r="M37" s="6" t="s">
        <v>33</v>
      </c>
      <c r="N37" s="10">
        <f>Tabla14[[#This Row],[Price]]*Tabla14[[#This Row],[QTY Adjusted]]</f>
        <v>266.40000000000003</v>
      </c>
      <c r="O37" s="10">
        <v>266.40000000000003</v>
      </c>
      <c r="P37" s="10" t="s">
        <v>4225</v>
      </c>
      <c r="Q37" s="6">
        <v>0</v>
      </c>
    </row>
    <row r="38" spans="1:17" ht="41.4" customHeight="1" x14ac:dyDescent="0.3">
      <c r="A38" s="6">
        <v>961</v>
      </c>
      <c r="B38" s="6" t="s">
        <v>1684</v>
      </c>
      <c r="C38" s="6" t="s">
        <v>903</v>
      </c>
      <c r="D38" s="6" t="s">
        <v>44</v>
      </c>
      <c r="E38" s="6" t="s">
        <v>1685</v>
      </c>
      <c r="F38" s="6" t="s">
        <v>4059</v>
      </c>
      <c r="G38" s="6" t="s">
        <v>1604</v>
      </c>
      <c r="H38" s="6" t="s">
        <v>1605</v>
      </c>
      <c r="I38" s="6"/>
      <c r="J38" s="6">
        <v>24</v>
      </c>
      <c r="K38" s="6" t="s">
        <v>19</v>
      </c>
      <c r="L38" s="10">
        <v>11.29</v>
      </c>
      <c r="M38" s="6" t="s">
        <v>33</v>
      </c>
      <c r="N38" s="10">
        <f>Tabla14[[#This Row],[Price]]*Tabla14[[#This Row],[QTY Adjusted]]</f>
        <v>270.95999999999998</v>
      </c>
      <c r="O38" s="10">
        <v>270.95999999999998</v>
      </c>
      <c r="P38" s="10" t="s">
        <v>4225</v>
      </c>
      <c r="Q38" s="6">
        <v>0</v>
      </c>
    </row>
    <row r="39" spans="1:17" ht="41.4" customHeight="1" x14ac:dyDescent="0.3">
      <c r="A39" s="6">
        <v>962</v>
      </c>
      <c r="B39" s="6" t="s">
        <v>1684</v>
      </c>
      <c r="C39" s="6" t="s">
        <v>903</v>
      </c>
      <c r="D39" s="6" t="s">
        <v>44</v>
      </c>
      <c r="E39" s="6" t="s">
        <v>1685</v>
      </c>
      <c r="F39" s="6" t="s">
        <v>4059</v>
      </c>
      <c r="G39" s="6" t="s">
        <v>1606</v>
      </c>
      <c r="H39" s="6" t="s">
        <v>1607</v>
      </c>
      <c r="I39" s="6"/>
      <c r="J39" s="6">
        <v>24</v>
      </c>
      <c r="K39" s="6" t="s">
        <v>19</v>
      </c>
      <c r="L39" s="10">
        <v>11.29</v>
      </c>
      <c r="M39" s="6" t="s">
        <v>33</v>
      </c>
      <c r="N39" s="10">
        <f>Tabla14[[#This Row],[Price]]*Tabla14[[#This Row],[QTY Adjusted]]</f>
        <v>270.95999999999998</v>
      </c>
      <c r="O39" s="10">
        <v>270.95999999999998</v>
      </c>
      <c r="P39" s="10" t="s">
        <v>4225</v>
      </c>
      <c r="Q39" s="6">
        <v>0</v>
      </c>
    </row>
    <row r="40" spans="1:17" ht="41.4" customHeight="1" x14ac:dyDescent="0.3">
      <c r="A40" s="6">
        <v>953</v>
      </c>
      <c r="B40" s="6" t="s">
        <v>1684</v>
      </c>
      <c r="C40" s="6" t="s">
        <v>47</v>
      </c>
      <c r="D40" s="6" t="s">
        <v>44</v>
      </c>
      <c r="E40" s="6" t="s">
        <v>1685</v>
      </c>
      <c r="F40" s="6" t="s">
        <v>4063</v>
      </c>
      <c r="G40" s="6" t="s">
        <v>1218</v>
      </c>
      <c r="H40" s="6" t="s">
        <v>1718</v>
      </c>
      <c r="I40" s="6"/>
      <c r="J40" s="6">
        <v>119</v>
      </c>
      <c r="K40" s="6" t="s">
        <v>19</v>
      </c>
      <c r="L40" s="10">
        <v>1.8240000000000001</v>
      </c>
      <c r="M40" s="6" t="s">
        <v>33</v>
      </c>
      <c r="N40" s="10">
        <f>Tabla14[[#This Row],[Price]]*Tabla14[[#This Row],[QTY Adjusted]]</f>
        <v>217.05600000000001</v>
      </c>
      <c r="O40" s="10">
        <v>217.05600000000001</v>
      </c>
      <c r="P40" s="10" t="s">
        <v>4225</v>
      </c>
      <c r="Q40" s="6">
        <v>0</v>
      </c>
    </row>
    <row r="41" spans="1:17" ht="41.4" customHeight="1" x14ac:dyDescent="0.3">
      <c r="A41" s="6">
        <v>960</v>
      </c>
      <c r="B41" s="6" t="s">
        <v>1684</v>
      </c>
      <c r="C41" s="6" t="s">
        <v>219</v>
      </c>
      <c r="D41" s="6" t="s">
        <v>44</v>
      </c>
      <c r="E41" s="6" t="s">
        <v>1685</v>
      </c>
      <c r="F41" s="6" t="s">
        <v>4059</v>
      </c>
      <c r="G41" s="6" t="s">
        <v>220</v>
      </c>
      <c r="H41" s="6" t="s">
        <v>222</v>
      </c>
      <c r="I41" s="6"/>
      <c r="J41" s="6">
        <v>36</v>
      </c>
      <c r="K41" s="6" t="s">
        <v>19</v>
      </c>
      <c r="L41" s="10">
        <v>4.9980000000000002</v>
      </c>
      <c r="M41" s="6" t="s">
        <v>33</v>
      </c>
      <c r="N41" s="10">
        <f>Tabla14[[#This Row],[Price]]*Tabla14[[#This Row],[QTY Adjusted]]</f>
        <v>179.928</v>
      </c>
      <c r="O41" s="10">
        <v>179.928</v>
      </c>
      <c r="P41" s="22">
        <v>46091</v>
      </c>
      <c r="Q41" s="6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C16B-5303-4931-8088-FBD063167563}">
  <sheetPr>
    <tabColor rgb="FFFF0000"/>
  </sheetPr>
  <dimension ref="A1:P55"/>
  <sheetViews>
    <sheetView zoomScale="70" zoomScaleNormal="70" workbookViewId="0">
      <selection activeCell="K10" sqref="K10"/>
    </sheetView>
  </sheetViews>
  <sheetFormatPr baseColWidth="10" defaultColWidth="11.44140625" defaultRowHeight="14.4" x14ac:dyDescent="0.3"/>
  <cols>
    <col min="4" max="4" width="19.44140625" customWidth="1"/>
    <col min="8" max="8" width="12.33203125" customWidth="1"/>
    <col min="9" max="9" width="13.6640625" customWidth="1"/>
    <col min="10" max="10" width="14.33203125" customWidth="1"/>
    <col min="14" max="14" width="13.33203125" customWidth="1"/>
    <col min="15" max="15" width="14" customWidth="1"/>
    <col min="16" max="16" width="22.5546875" customWidth="1"/>
  </cols>
  <sheetData>
    <row r="1" spans="1:16" x14ac:dyDescent="0.3">
      <c r="M1">
        <v>19.5</v>
      </c>
      <c r="N1">
        <v>1.1599999999999999</v>
      </c>
    </row>
    <row r="2" spans="1:16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</row>
    <row r="3" spans="1:16" ht="40.200000000000003" customHeight="1" x14ac:dyDescent="0.3">
      <c r="A3" s="3">
        <v>146</v>
      </c>
      <c r="B3" s="3" t="s">
        <v>388</v>
      </c>
      <c r="C3" s="3" t="s">
        <v>389</v>
      </c>
      <c r="D3" s="3" t="s">
        <v>15</v>
      </c>
      <c r="E3" s="3"/>
      <c r="F3" s="3"/>
      <c r="G3" s="3"/>
      <c r="H3" s="3" t="s">
        <v>432</v>
      </c>
      <c r="I3" s="3" t="s">
        <v>433</v>
      </c>
      <c r="J3" s="3">
        <v>15</v>
      </c>
      <c r="K3" s="3" t="s">
        <v>19</v>
      </c>
      <c r="L3" s="4">
        <v>734.7</v>
      </c>
      <c r="M3" s="3" t="s">
        <v>33</v>
      </c>
      <c r="N3" s="4">
        <f>Tabla15[[#This Row],[Price]]*Tabla15[[#This Row],[QTY Adjusted]]</f>
        <v>11020.5</v>
      </c>
      <c r="O3" s="4">
        <v>11020.5</v>
      </c>
      <c r="P3" s="1" t="s">
        <v>4226</v>
      </c>
    </row>
    <row r="4" spans="1:16" ht="40.200000000000003" customHeight="1" x14ac:dyDescent="0.3">
      <c r="A4" s="3">
        <v>143</v>
      </c>
      <c r="B4" s="3" t="s">
        <v>388</v>
      </c>
      <c r="C4" s="3" t="s">
        <v>389</v>
      </c>
      <c r="D4" s="3" t="s">
        <v>15</v>
      </c>
      <c r="E4" s="3"/>
      <c r="F4" s="3"/>
      <c r="G4" s="3"/>
      <c r="H4" s="3" t="s">
        <v>426</v>
      </c>
      <c r="I4" s="3" t="s">
        <v>427</v>
      </c>
      <c r="J4" s="3">
        <v>21</v>
      </c>
      <c r="K4" s="3" t="s">
        <v>19</v>
      </c>
      <c r="L4" s="4">
        <v>70</v>
      </c>
      <c r="M4" s="3" t="s">
        <v>33</v>
      </c>
      <c r="N4" s="4">
        <f>Tabla15[[#This Row],[Price]]*Tabla15[[#This Row],[QTY Adjusted]]</f>
        <v>1470</v>
      </c>
      <c r="O4" s="4">
        <v>1470</v>
      </c>
      <c r="P4" s="1" t="s">
        <v>4226</v>
      </c>
    </row>
    <row r="5" spans="1:16" ht="40.200000000000003" customHeight="1" x14ac:dyDescent="0.3">
      <c r="A5" s="3">
        <v>165</v>
      </c>
      <c r="B5" s="3" t="s">
        <v>388</v>
      </c>
      <c r="C5" s="3" t="s">
        <v>389</v>
      </c>
      <c r="D5" s="3" t="s">
        <v>15</v>
      </c>
      <c r="E5" s="3"/>
      <c r="F5" s="3"/>
      <c r="G5" s="3"/>
      <c r="H5" s="3" t="s">
        <v>462</v>
      </c>
      <c r="I5" s="3" t="s">
        <v>463</v>
      </c>
      <c r="J5" s="3">
        <v>40</v>
      </c>
      <c r="K5" s="3" t="s">
        <v>19</v>
      </c>
      <c r="L5" s="4">
        <v>136.47999999999999</v>
      </c>
      <c r="M5" s="3" t="s">
        <v>33</v>
      </c>
      <c r="N5" s="4">
        <f>Tabla15[[#This Row],[Price]]*Tabla15[[#This Row],[QTY Adjusted]]</f>
        <v>5459.2</v>
      </c>
      <c r="O5" s="4">
        <v>5459.2</v>
      </c>
      <c r="P5" s="1" t="s">
        <v>4226</v>
      </c>
    </row>
    <row r="6" spans="1:16" ht="40.200000000000003" customHeight="1" x14ac:dyDescent="0.3">
      <c r="A6" s="3">
        <v>142</v>
      </c>
      <c r="B6" s="3" t="s">
        <v>388</v>
      </c>
      <c r="C6" s="3" t="s">
        <v>389</v>
      </c>
      <c r="D6" s="3" t="s">
        <v>15</v>
      </c>
      <c r="E6" s="3"/>
      <c r="F6" s="3"/>
      <c r="G6" s="3"/>
      <c r="H6" s="3" t="s">
        <v>424</v>
      </c>
      <c r="I6" s="3" t="s">
        <v>425</v>
      </c>
      <c r="J6" s="3">
        <v>21</v>
      </c>
      <c r="K6" s="3" t="s">
        <v>19</v>
      </c>
      <c r="L6" s="4">
        <v>57.12</v>
      </c>
      <c r="M6" s="3" t="s">
        <v>33</v>
      </c>
      <c r="N6" s="4">
        <f>Tabla15[[#This Row],[Price]]*Tabla15[[#This Row],[QTY Adjusted]]</f>
        <v>1199.52</v>
      </c>
      <c r="O6" s="4">
        <v>1199.52</v>
      </c>
      <c r="P6" s="1" t="s">
        <v>4226</v>
      </c>
    </row>
    <row r="7" spans="1:16" ht="40.200000000000003" customHeight="1" x14ac:dyDescent="0.3">
      <c r="A7" s="3">
        <v>172</v>
      </c>
      <c r="B7" s="3" t="s">
        <v>388</v>
      </c>
      <c r="C7" s="3" t="s">
        <v>389</v>
      </c>
      <c r="D7" s="3" t="s">
        <v>15</v>
      </c>
      <c r="E7" s="3"/>
      <c r="F7" s="3"/>
      <c r="G7" s="3"/>
      <c r="H7" s="3" t="s">
        <v>476</v>
      </c>
      <c r="I7" s="3" t="s">
        <v>477</v>
      </c>
      <c r="J7" s="3">
        <v>20</v>
      </c>
      <c r="K7" s="3" t="s">
        <v>19</v>
      </c>
      <c r="L7" s="4">
        <v>237</v>
      </c>
      <c r="M7" s="3" t="s">
        <v>33</v>
      </c>
      <c r="N7" s="4">
        <f>Tabla15[[#This Row],[Price]]*Tabla15[[#This Row],[QTY Adjusted]]</f>
        <v>4740</v>
      </c>
      <c r="O7" s="4">
        <v>4740</v>
      </c>
      <c r="P7" s="1" t="s">
        <v>4226</v>
      </c>
    </row>
    <row r="8" spans="1:16" ht="40.200000000000003" customHeight="1" x14ac:dyDescent="0.3">
      <c r="A8" s="3">
        <v>173</v>
      </c>
      <c r="B8" s="3" t="s">
        <v>388</v>
      </c>
      <c r="C8" s="3" t="s">
        <v>389</v>
      </c>
      <c r="D8" s="3" t="s">
        <v>15</v>
      </c>
      <c r="E8" s="3"/>
      <c r="F8" s="3"/>
      <c r="G8" s="3"/>
      <c r="H8" s="3" t="s">
        <v>478</v>
      </c>
      <c r="I8" s="3" t="s">
        <v>479</v>
      </c>
      <c r="J8" s="3">
        <v>6</v>
      </c>
      <c r="K8" s="3" t="s">
        <v>19</v>
      </c>
      <c r="L8" s="4">
        <v>637.29999999999995</v>
      </c>
      <c r="M8" s="3" t="s">
        <v>33</v>
      </c>
      <c r="N8" s="4">
        <f>Tabla15[[#This Row],[Price]]*Tabla15[[#This Row],[QTY Adjusted]]</f>
        <v>3823.7999999999997</v>
      </c>
      <c r="O8" s="4">
        <v>3823.7999999999997</v>
      </c>
      <c r="P8" s="1" t="s">
        <v>4226</v>
      </c>
    </row>
    <row r="9" spans="1:16" ht="40.200000000000003" customHeight="1" x14ac:dyDescent="0.3">
      <c r="A9" s="3">
        <v>137</v>
      </c>
      <c r="B9" s="3" t="s">
        <v>388</v>
      </c>
      <c r="C9" s="3" t="s">
        <v>389</v>
      </c>
      <c r="D9" s="3" t="s">
        <v>15</v>
      </c>
      <c r="E9" s="3"/>
      <c r="F9" s="3"/>
      <c r="G9" s="3"/>
      <c r="H9" s="3" t="s">
        <v>414</v>
      </c>
      <c r="I9" s="3" t="s">
        <v>415</v>
      </c>
      <c r="J9" s="3">
        <v>84</v>
      </c>
      <c r="K9" s="3" t="s">
        <v>19</v>
      </c>
      <c r="L9" s="4">
        <v>42.15</v>
      </c>
      <c r="M9" s="3" t="s">
        <v>33</v>
      </c>
      <c r="N9" s="4">
        <f>Tabla15[[#This Row],[Price]]*Tabla15[[#This Row],[QTY Adjusted]]</f>
        <v>3540.6</v>
      </c>
      <c r="O9" s="4">
        <v>3540.6</v>
      </c>
      <c r="P9" s="1" t="s">
        <v>4226</v>
      </c>
    </row>
    <row r="10" spans="1:16" ht="40.200000000000003" customHeight="1" x14ac:dyDescent="0.3">
      <c r="A10" s="3">
        <v>148</v>
      </c>
      <c r="B10" s="3" t="s">
        <v>388</v>
      </c>
      <c r="C10" s="3" t="s">
        <v>389</v>
      </c>
      <c r="D10" s="3" t="s">
        <v>15</v>
      </c>
      <c r="E10" s="3"/>
      <c r="F10" s="3"/>
      <c r="G10" s="3"/>
      <c r="H10" s="3" t="s">
        <v>435</v>
      </c>
      <c r="I10" s="3" t="s">
        <v>436</v>
      </c>
      <c r="J10" s="3">
        <v>20</v>
      </c>
      <c r="K10" s="3" t="s">
        <v>19</v>
      </c>
      <c r="L10" s="4">
        <v>172.74</v>
      </c>
      <c r="M10" s="3" t="s">
        <v>33</v>
      </c>
      <c r="N10" s="4">
        <f>Tabla15[[#This Row],[Price]]*Tabla15[[#This Row],[QTY Adjusted]]</f>
        <v>3454.8</v>
      </c>
      <c r="O10" s="4">
        <v>3454.8</v>
      </c>
      <c r="P10" s="1" t="s">
        <v>4226</v>
      </c>
    </row>
    <row r="11" spans="1:16" ht="40.200000000000003" customHeight="1" x14ac:dyDescent="0.3">
      <c r="A11" s="3">
        <v>149</v>
      </c>
      <c r="B11" s="3" t="s">
        <v>388</v>
      </c>
      <c r="C11" s="3" t="s">
        <v>389</v>
      </c>
      <c r="D11" s="3" t="s">
        <v>15</v>
      </c>
      <c r="E11" s="3"/>
      <c r="F11" s="3"/>
      <c r="G11" s="3"/>
      <c r="H11" s="3" t="s">
        <v>437</v>
      </c>
      <c r="I11" s="3" t="s">
        <v>438</v>
      </c>
      <c r="J11" s="3">
        <v>2</v>
      </c>
      <c r="K11" s="3" t="s">
        <v>19</v>
      </c>
      <c r="L11" s="4">
        <v>841.76</v>
      </c>
      <c r="M11" s="3" t="s">
        <v>33</v>
      </c>
      <c r="N11" s="4">
        <f>Tabla15[[#This Row],[Price]]*Tabla15[[#This Row],[QTY Adjusted]]</f>
        <v>1683.52</v>
      </c>
      <c r="O11" s="4">
        <v>1683.52</v>
      </c>
      <c r="P11" s="1" t="s">
        <v>4226</v>
      </c>
    </row>
    <row r="12" spans="1:16" ht="40.200000000000003" customHeight="1" x14ac:dyDescent="0.3">
      <c r="A12" s="3">
        <v>175</v>
      </c>
      <c r="B12" s="3" t="s">
        <v>388</v>
      </c>
      <c r="C12" s="3" t="s">
        <v>389</v>
      </c>
      <c r="D12" s="3" t="s">
        <v>15</v>
      </c>
      <c r="E12" s="3"/>
      <c r="F12" s="3"/>
      <c r="G12" s="3"/>
      <c r="H12" s="3" t="s">
        <v>482</v>
      </c>
      <c r="I12" s="3"/>
      <c r="J12" s="3">
        <v>10</v>
      </c>
      <c r="K12" s="3" t="s">
        <v>19</v>
      </c>
      <c r="L12" s="4">
        <v>322.44</v>
      </c>
      <c r="M12" s="3" t="s">
        <v>33</v>
      </c>
      <c r="N12" s="4">
        <f>Tabla15[[#This Row],[Price]]*Tabla15[[#This Row],[QTY Adjusted]]</f>
        <v>3224.4</v>
      </c>
      <c r="O12" s="4">
        <v>3224.4</v>
      </c>
      <c r="P12" s="1" t="s">
        <v>4226</v>
      </c>
    </row>
    <row r="13" spans="1:16" ht="40.200000000000003" customHeight="1" x14ac:dyDescent="0.3">
      <c r="A13" s="3">
        <v>147</v>
      </c>
      <c r="B13" s="3" t="s">
        <v>388</v>
      </c>
      <c r="C13" s="3" t="s">
        <v>389</v>
      </c>
      <c r="D13" s="3" t="s">
        <v>15</v>
      </c>
      <c r="E13" s="3"/>
      <c r="F13" s="3"/>
      <c r="G13" s="3"/>
      <c r="H13" s="3" t="s">
        <v>434</v>
      </c>
      <c r="I13" s="3"/>
      <c r="J13" s="3">
        <v>350</v>
      </c>
      <c r="K13" s="3" t="s">
        <v>19</v>
      </c>
      <c r="L13" s="4">
        <v>8.82</v>
      </c>
      <c r="M13" s="3" t="s">
        <v>33</v>
      </c>
      <c r="N13" s="4">
        <f>Tabla15[[#This Row],[Price]]*Tabla15[[#This Row],[QTY Adjusted]]</f>
        <v>3087</v>
      </c>
      <c r="O13" s="4">
        <v>3087</v>
      </c>
      <c r="P13" s="1" t="s">
        <v>4226</v>
      </c>
    </row>
    <row r="14" spans="1:16" ht="40.200000000000003" customHeight="1" x14ac:dyDescent="0.3">
      <c r="A14" s="3">
        <v>125</v>
      </c>
      <c r="B14" s="3" t="s">
        <v>388</v>
      </c>
      <c r="C14" s="3" t="s">
        <v>389</v>
      </c>
      <c r="D14" s="3" t="s">
        <v>15</v>
      </c>
      <c r="E14" s="3"/>
      <c r="F14" s="3"/>
      <c r="G14" s="3"/>
      <c r="H14" s="3" t="s">
        <v>390</v>
      </c>
      <c r="I14" s="3" t="s">
        <v>391</v>
      </c>
      <c r="J14" s="3">
        <v>24</v>
      </c>
      <c r="K14" s="3" t="s">
        <v>19</v>
      </c>
      <c r="L14" s="4">
        <v>64.489999999999995</v>
      </c>
      <c r="M14" s="3" t="s">
        <v>33</v>
      </c>
      <c r="N14" s="4">
        <f>Tabla15[[#This Row],[Price]]*Tabla15[[#This Row],[QTY Adjusted]]</f>
        <v>1547.7599999999998</v>
      </c>
      <c r="O14" s="4">
        <v>1547.7599999999998</v>
      </c>
      <c r="P14" s="1" t="s">
        <v>4226</v>
      </c>
    </row>
    <row r="15" spans="1:16" ht="40.200000000000003" customHeight="1" x14ac:dyDescent="0.3">
      <c r="A15" s="3">
        <v>136</v>
      </c>
      <c r="B15" s="3" t="s">
        <v>388</v>
      </c>
      <c r="C15" s="3" t="s">
        <v>389</v>
      </c>
      <c r="D15" s="3" t="s">
        <v>15</v>
      </c>
      <c r="E15" s="3"/>
      <c r="F15" s="3"/>
      <c r="G15" s="3"/>
      <c r="H15" s="3" t="s">
        <v>412</v>
      </c>
      <c r="I15" s="3" t="s">
        <v>413</v>
      </c>
      <c r="J15" s="3">
        <v>84</v>
      </c>
      <c r="K15" s="3" t="s">
        <v>19</v>
      </c>
      <c r="L15" s="4">
        <v>34.36</v>
      </c>
      <c r="M15" s="3" t="s">
        <v>33</v>
      </c>
      <c r="N15" s="4">
        <f>Tabla15[[#This Row],[Price]]*Tabla15[[#This Row],[QTY Adjusted]]</f>
        <v>2886.24</v>
      </c>
      <c r="O15" s="4">
        <v>2886.24</v>
      </c>
      <c r="P15" s="1" t="s">
        <v>4226</v>
      </c>
    </row>
    <row r="16" spans="1:16" ht="40.200000000000003" customHeight="1" x14ac:dyDescent="0.3">
      <c r="A16" s="3">
        <v>174</v>
      </c>
      <c r="B16" s="3" t="s">
        <v>388</v>
      </c>
      <c r="C16" s="3" t="s">
        <v>389</v>
      </c>
      <c r="D16" s="3" t="s">
        <v>15</v>
      </c>
      <c r="E16" s="3"/>
      <c r="F16" s="3"/>
      <c r="G16" s="3"/>
      <c r="H16" s="3" t="s">
        <v>480</v>
      </c>
      <c r="I16" s="3" t="s">
        <v>481</v>
      </c>
      <c r="J16" s="3">
        <v>15</v>
      </c>
      <c r="K16" s="3" t="s">
        <v>19</v>
      </c>
      <c r="L16" s="4">
        <v>190.98</v>
      </c>
      <c r="M16" s="3" t="s">
        <v>33</v>
      </c>
      <c r="N16" s="4">
        <f>Tabla15[[#This Row],[Price]]*Tabla15[[#This Row],[QTY Adjusted]]</f>
        <v>2864.7</v>
      </c>
      <c r="O16" s="4">
        <v>2864.7</v>
      </c>
      <c r="P16" s="1" t="s">
        <v>4226</v>
      </c>
    </row>
    <row r="17" spans="1:16" ht="40.200000000000003" customHeight="1" x14ac:dyDescent="0.3">
      <c r="A17" s="3">
        <v>150</v>
      </c>
      <c r="B17" s="3" t="s">
        <v>388</v>
      </c>
      <c r="C17" s="3" t="s">
        <v>389</v>
      </c>
      <c r="D17" s="3" t="s">
        <v>15</v>
      </c>
      <c r="E17" s="3"/>
      <c r="F17" s="3"/>
      <c r="G17" s="3"/>
      <c r="H17" s="3" t="s">
        <v>439</v>
      </c>
      <c r="I17" s="3" t="s">
        <v>440</v>
      </c>
      <c r="J17" s="3">
        <v>15</v>
      </c>
      <c r="K17" s="3" t="s">
        <v>19</v>
      </c>
      <c r="L17" s="4">
        <v>163.15</v>
      </c>
      <c r="M17" s="3" t="s">
        <v>33</v>
      </c>
      <c r="N17" s="4">
        <f>Tabla15[[#This Row],[Price]]*Tabla15[[#This Row],[QTY Adjusted]]</f>
        <v>2447.25</v>
      </c>
      <c r="O17" s="4">
        <v>2447.25</v>
      </c>
      <c r="P17" s="1" t="s">
        <v>4226</v>
      </c>
    </row>
    <row r="18" spans="1:16" ht="40.200000000000003" customHeight="1" x14ac:dyDescent="0.3">
      <c r="A18" s="3">
        <v>141</v>
      </c>
      <c r="B18" s="3" t="s">
        <v>388</v>
      </c>
      <c r="C18" s="3" t="s">
        <v>389</v>
      </c>
      <c r="D18" s="3" t="s">
        <v>15</v>
      </c>
      <c r="E18" s="3"/>
      <c r="F18" s="3"/>
      <c r="G18" s="3"/>
      <c r="H18" s="3" t="s">
        <v>422</v>
      </c>
      <c r="I18" s="3" t="s">
        <v>423</v>
      </c>
      <c r="J18" s="3">
        <v>76</v>
      </c>
      <c r="K18" s="3" t="s">
        <v>19</v>
      </c>
      <c r="L18" s="4">
        <v>30.56</v>
      </c>
      <c r="M18" s="3" t="s">
        <v>33</v>
      </c>
      <c r="N18" s="4">
        <f>Tabla15[[#This Row],[Price]]*Tabla15[[#This Row],[QTY Adjusted]]</f>
        <v>2322.56</v>
      </c>
      <c r="O18" s="4">
        <v>2322.56</v>
      </c>
      <c r="P18" s="1" t="s">
        <v>4226</v>
      </c>
    </row>
    <row r="19" spans="1:16" ht="40.200000000000003" customHeight="1" x14ac:dyDescent="0.3">
      <c r="A19" s="3">
        <v>132</v>
      </c>
      <c r="B19" s="3" t="s">
        <v>388</v>
      </c>
      <c r="C19" s="3" t="s">
        <v>389</v>
      </c>
      <c r="D19" s="3" t="s">
        <v>15</v>
      </c>
      <c r="E19" s="3"/>
      <c r="F19" s="3"/>
      <c r="G19" s="3"/>
      <c r="H19" s="3" t="s">
        <v>404</v>
      </c>
      <c r="I19" s="3" t="s">
        <v>405</v>
      </c>
      <c r="J19" s="3">
        <v>84</v>
      </c>
      <c r="K19" s="3" t="s">
        <v>19</v>
      </c>
      <c r="L19" s="4">
        <v>26.74</v>
      </c>
      <c r="M19" s="3" t="s">
        <v>33</v>
      </c>
      <c r="N19" s="4">
        <f>Tabla15[[#This Row],[Price]]*Tabla15[[#This Row],[QTY Adjusted]]</f>
        <v>2246.16</v>
      </c>
      <c r="O19" s="4">
        <v>2246.16</v>
      </c>
      <c r="P19" s="1" t="s">
        <v>4226</v>
      </c>
    </row>
    <row r="20" spans="1:16" ht="40.200000000000003" customHeight="1" x14ac:dyDescent="0.3">
      <c r="A20" s="3">
        <v>130</v>
      </c>
      <c r="B20" s="3" t="s">
        <v>388</v>
      </c>
      <c r="C20" s="3" t="s">
        <v>389</v>
      </c>
      <c r="D20" s="3" t="s">
        <v>15</v>
      </c>
      <c r="E20" s="3"/>
      <c r="F20" s="3"/>
      <c r="G20" s="3"/>
      <c r="H20" s="3" t="s">
        <v>400</v>
      </c>
      <c r="I20" s="3" t="s">
        <v>401</v>
      </c>
      <c r="J20" s="3">
        <v>84</v>
      </c>
      <c r="K20" s="3" t="s">
        <v>19</v>
      </c>
      <c r="L20" s="4">
        <v>26.5</v>
      </c>
      <c r="M20" s="3" t="s">
        <v>33</v>
      </c>
      <c r="N20" s="4">
        <f>Tabla15[[#This Row],[Price]]*Tabla15[[#This Row],[QTY Adjusted]]</f>
        <v>2226</v>
      </c>
      <c r="O20" s="4">
        <v>2226</v>
      </c>
      <c r="P20" s="1" t="s">
        <v>4226</v>
      </c>
    </row>
    <row r="21" spans="1:16" ht="40.200000000000003" customHeight="1" x14ac:dyDescent="0.3">
      <c r="A21" s="3">
        <v>131</v>
      </c>
      <c r="B21" s="3" t="s">
        <v>388</v>
      </c>
      <c r="C21" s="3" t="s">
        <v>389</v>
      </c>
      <c r="D21" s="3" t="s">
        <v>15</v>
      </c>
      <c r="E21" s="3"/>
      <c r="F21" s="3"/>
      <c r="G21" s="3"/>
      <c r="H21" s="3" t="s">
        <v>402</v>
      </c>
      <c r="I21" s="3" t="s">
        <v>403</v>
      </c>
      <c r="J21" s="3">
        <v>84</v>
      </c>
      <c r="K21" s="3" t="s">
        <v>19</v>
      </c>
      <c r="L21" s="4">
        <v>26.5</v>
      </c>
      <c r="M21" s="3" t="s">
        <v>33</v>
      </c>
      <c r="N21" s="4">
        <f>Tabla15[[#This Row],[Price]]*Tabla15[[#This Row],[QTY Adjusted]]</f>
        <v>2226</v>
      </c>
      <c r="O21" s="4">
        <v>2226</v>
      </c>
      <c r="P21" s="1" t="s">
        <v>4226</v>
      </c>
    </row>
    <row r="22" spans="1:16" ht="40.200000000000003" customHeight="1" x14ac:dyDescent="0.3">
      <c r="A22" s="3">
        <v>140</v>
      </c>
      <c r="B22" s="3" t="s">
        <v>388</v>
      </c>
      <c r="C22" s="3" t="s">
        <v>389</v>
      </c>
      <c r="D22" s="3" t="s">
        <v>15</v>
      </c>
      <c r="E22" s="3"/>
      <c r="F22" s="3"/>
      <c r="G22" s="3"/>
      <c r="H22" s="3" t="s">
        <v>420</v>
      </c>
      <c r="I22" s="3" t="s">
        <v>421</v>
      </c>
      <c r="J22" s="3">
        <v>76</v>
      </c>
      <c r="K22" s="3" t="s">
        <v>19</v>
      </c>
      <c r="L22" s="4">
        <v>28.9</v>
      </c>
      <c r="M22" s="3" t="s">
        <v>33</v>
      </c>
      <c r="N22" s="4">
        <f>Tabla15[[#This Row],[Price]]*Tabla15[[#This Row],[QTY Adjusted]]</f>
        <v>2196.4</v>
      </c>
      <c r="O22" s="4">
        <v>2196.4</v>
      </c>
      <c r="P22" s="1" t="s">
        <v>4226</v>
      </c>
    </row>
    <row r="23" spans="1:16" ht="40.200000000000003" customHeight="1" x14ac:dyDescent="0.3">
      <c r="A23" s="3">
        <v>135</v>
      </c>
      <c r="B23" s="3" t="s">
        <v>388</v>
      </c>
      <c r="C23" s="3" t="s">
        <v>389</v>
      </c>
      <c r="D23" s="3" t="s">
        <v>15</v>
      </c>
      <c r="E23" s="3"/>
      <c r="F23" s="3"/>
      <c r="G23" s="3"/>
      <c r="H23" s="3" t="s">
        <v>410</v>
      </c>
      <c r="I23" s="3" t="s">
        <v>411</v>
      </c>
      <c r="J23" s="3">
        <v>70</v>
      </c>
      <c r="K23" s="3" t="s">
        <v>19</v>
      </c>
      <c r="L23" s="4">
        <v>30.89</v>
      </c>
      <c r="M23" s="3" t="s">
        <v>33</v>
      </c>
      <c r="N23" s="4">
        <f>Tabla15[[#This Row],[Price]]*Tabla15[[#This Row],[QTY Adjusted]]</f>
        <v>2162.3000000000002</v>
      </c>
      <c r="O23" s="4">
        <v>2162.3000000000002</v>
      </c>
      <c r="P23" s="1" t="s">
        <v>4226</v>
      </c>
    </row>
    <row r="24" spans="1:16" ht="40.200000000000003" customHeight="1" x14ac:dyDescent="0.3">
      <c r="A24" s="3">
        <v>139</v>
      </c>
      <c r="B24" s="3" t="s">
        <v>388</v>
      </c>
      <c r="C24" s="3" t="s">
        <v>389</v>
      </c>
      <c r="D24" s="3" t="s">
        <v>15</v>
      </c>
      <c r="E24" s="3"/>
      <c r="F24" s="3"/>
      <c r="G24" s="3"/>
      <c r="H24" s="3" t="s">
        <v>418</v>
      </c>
      <c r="I24" s="3" t="s">
        <v>419</v>
      </c>
      <c r="J24" s="3">
        <v>76</v>
      </c>
      <c r="K24" s="3" t="s">
        <v>19</v>
      </c>
      <c r="L24" s="4">
        <v>21.11</v>
      </c>
      <c r="M24" s="3" t="s">
        <v>33</v>
      </c>
      <c r="N24" s="4">
        <f>Tabla15[[#This Row],[Price]]*Tabla15[[#This Row],[QTY Adjusted]]</f>
        <v>1604.36</v>
      </c>
      <c r="O24" s="4">
        <v>1604.36</v>
      </c>
      <c r="P24" s="1" t="s">
        <v>4226</v>
      </c>
    </row>
    <row r="25" spans="1:16" ht="40.200000000000003" customHeight="1" x14ac:dyDescent="0.3">
      <c r="A25" s="3">
        <v>151</v>
      </c>
      <c r="B25" s="3" t="s">
        <v>388</v>
      </c>
      <c r="C25" s="3" t="s">
        <v>389</v>
      </c>
      <c r="D25" s="3" t="s">
        <v>15</v>
      </c>
      <c r="E25" s="3"/>
      <c r="F25" s="3"/>
      <c r="G25" s="3"/>
      <c r="H25" s="3" t="s">
        <v>441</v>
      </c>
      <c r="I25" s="3" t="s">
        <v>442</v>
      </c>
      <c r="J25" s="3">
        <v>10</v>
      </c>
      <c r="K25" s="3" t="s">
        <v>19</v>
      </c>
      <c r="L25" s="4">
        <v>158.91999999999999</v>
      </c>
      <c r="M25" s="3" t="s">
        <v>33</v>
      </c>
      <c r="N25" s="4">
        <f>Tabla15[[#This Row],[Price]]*Tabla15[[#This Row],[QTY Adjusted]]</f>
        <v>1589.1999999999998</v>
      </c>
      <c r="O25" s="4">
        <v>1589.1999999999998</v>
      </c>
      <c r="P25" s="1" t="s">
        <v>4226</v>
      </c>
    </row>
    <row r="26" spans="1:16" ht="40.200000000000003" customHeight="1" x14ac:dyDescent="0.3">
      <c r="A26" s="3">
        <v>160</v>
      </c>
      <c r="B26" s="3" t="s">
        <v>388</v>
      </c>
      <c r="C26" s="3" t="s">
        <v>389</v>
      </c>
      <c r="D26" s="3" t="s">
        <v>15</v>
      </c>
      <c r="E26" s="3"/>
      <c r="F26" s="3"/>
      <c r="G26" s="3"/>
      <c r="H26" s="3" t="s">
        <v>452</v>
      </c>
      <c r="I26" s="3" t="s">
        <v>453</v>
      </c>
      <c r="J26" s="3">
        <v>60</v>
      </c>
      <c r="K26" s="3" t="s">
        <v>19</v>
      </c>
      <c r="L26" s="4">
        <v>35.799999999999997</v>
      </c>
      <c r="M26" s="3" t="s">
        <v>33</v>
      </c>
      <c r="N26" s="4">
        <f>Tabla15[[#This Row],[Price]]*Tabla15[[#This Row],[QTY Adjusted]]</f>
        <v>2148</v>
      </c>
      <c r="O26" s="4">
        <v>2148</v>
      </c>
      <c r="P26" s="1" t="s">
        <v>4226</v>
      </c>
    </row>
    <row r="27" spans="1:16" ht="40.200000000000003" customHeight="1" x14ac:dyDescent="0.3">
      <c r="A27" s="3">
        <v>159</v>
      </c>
      <c r="B27" s="3" t="s">
        <v>388</v>
      </c>
      <c r="C27" s="3" t="s">
        <v>389</v>
      </c>
      <c r="D27" s="3" t="s">
        <v>15</v>
      </c>
      <c r="E27" s="3"/>
      <c r="F27" s="3"/>
      <c r="G27" s="3"/>
      <c r="H27" s="3" t="s">
        <v>450</v>
      </c>
      <c r="I27" s="3" t="s">
        <v>451</v>
      </c>
      <c r="J27" s="3">
        <v>50</v>
      </c>
      <c r="K27" s="3" t="s">
        <v>19</v>
      </c>
      <c r="L27" s="4">
        <v>39.22</v>
      </c>
      <c r="M27" s="3" t="s">
        <v>33</v>
      </c>
      <c r="N27" s="4">
        <f>Tabla15[[#This Row],[Price]]*Tabla15[[#This Row],[QTY Adjusted]]</f>
        <v>1961</v>
      </c>
      <c r="O27" s="4">
        <v>1961</v>
      </c>
      <c r="P27" s="1" t="s">
        <v>4226</v>
      </c>
    </row>
    <row r="28" spans="1:16" ht="40.200000000000003" customHeight="1" x14ac:dyDescent="0.3">
      <c r="A28" s="3">
        <v>176</v>
      </c>
      <c r="B28" s="3" t="s">
        <v>388</v>
      </c>
      <c r="C28" s="3" t="s">
        <v>389</v>
      </c>
      <c r="D28" s="3" t="s">
        <v>15</v>
      </c>
      <c r="E28" s="3"/>
      <c r="F28" s="3"/>
      <c r="G28" s="3"/>
      <c r="H28" s="3" t="s">
        <v>483</v>
      </c>
      <c r="I28" s="3" t="s">
        <v>484</v>
      </c>
      <c r="J28" s="3">
        <v>10</v>
      </c>
      <c r="K28" s="3" t="s">
        <v>19</v>
      </c>
      <c r="L28" s="4">
        <v>133.58000000000001</v>
      </c>
      <c r="M28" s="3" t="s">
        <v>33</v>
      </c>
      <c r="N28" s="4">
        <f>Tabla15[[#This Row],[Price]]*Tabla15[[#This Row],[QTY Adjusted]]</f>
        <v>1335.8000000000002</v>
      </c>
      <c r="O28" s="4">
        <v>1335.8000000000002</v>
      </c>
      <c r="P28" s="1" t="s">
        <v>4226</v>
      </c>
    </row>
    <row r="29" spans="1:16" ht="40.200000000000003" customHeight="1" x14ac:dyDescent="0.3">
      <c r="A29">
        <v>127</v>
      </c>
      <c r="B29" t="s">
        <v>388</v>
      </c>
      <c r="C29" t="s">
        <v>389</v>
      </c>
      <c r="D29" t="s">
        <v>15</v>
      </c>
      <c r="H29" t="s">
        <v>394</v>
      </c>
      <c r="I29" t="s">
        <v>395</v>
      </c>
      <c r="J29">
        <v>16</v>
      </c>
      <c r="K29" t="s">
        <v>19</v>
      </c>
      <c r="L29" s="1">
        <v>43.79</v>
      </c>
      <c r="M29" t="s">
        <v>33</v>
      </c>
      <c r="N29" s="1">
        <f>Tabla15[[#This Row],[Price]]*Tabla15[[#This Row],[QTY Adjusted]]</f>
        <v>700.64</v>
      </c>
      <c r="O29" s="1">
        <v>700.64</v>
      </c>
      <c r="P29" s="1" t="s">
        <v>4226</v>
      </c>
    </row>
    <row r="30" spans="1:16" ht="40.200000000000003" customHeight="1" x14ac:dyDescent="0.3">
      <c r="A30">
        <v>126</v>
      </c>
      <c r="B30" t="s">
        <v>388</v>
      </c>
      <c r="C30" t="s">
        <v>389</v>
      </c>
      <c r="D30" t="s">
        <v>15</v>
      </c>
      <c r="H30" t="s">
        <v>392</v>
      </c>
      <c r="I30" t="s">
        <v>393</v>
      </c>
      <c r="J30">
        <v>24</v>
      </c>
      <c r="K30" t="s">
        <v>19</v>
      </c>
      <c r="L30" s="1">
        <v>26.29</v>
      </c>
      <c r="M30" t="s">
        <v>33</v>
      </c>
      <c r="N30" s="1">
        <f>Tabla15[[#This Row],[Price]]*Tabla15[[#This Row],[QTY Adjusted]]</f>
        <v>630.96</v>
      </c>
      <c r="O30" s="1">
        <v>630.96</v>
      </c>
      <c r="P30" s="1" t="s">
        <v>4226</v>
      </c>
    </row>
    <row r="31" spans="1:16" ht="40.200000000000003" customHeight="1" x14ac:dyDescent="0.3">
      <c r="A31">
        <v>129</v>
      </c>
      <c r="B31" t="s">
        <v>388</v>
      </c>
      <c r="C31" t="s">
        <v>389</v>
      </c>
      <c r="D31" t="s">
        <v>15</v>
      </c>
      <c r="H31" t="s">
        <v>398</v>
      </c>
      <c r="I31" t="s">
        <v>399</v>
      </c>
      <c r="J31">
        <v>42</v>
      </c>
      <c r="K31" t="s">
        <v>19</v>
      </c>
      <c r="L31" s="1">
        <v>26.41</v>
      </c>
      <c r="M31" t="s">
        <v>33</v>
      </c>
      <c r="N31" s="1">
        <f>Tabla15[[#This Row],[Price]]*Tabla15[[#This Row],[QTY Adjusted]]</f>
        <v>1109.22</v>
      </c>
      <c r="O31" s="1">
        <v>1109.22</v>
      </c>
      <c r="P31" s="1" t="s">
        <v>4226</v>
      </c>
    </row>
    <row r="32" spans="1:16" ht="40.200000000000003" customHeight="1" x14ac:dyDescent="0.3">
      <c r="A32">
        <v>166</v>
      </c>
      <c r="B32" t="s">
        <v>388</v>
      </c>
      <c r="C32" t="s">
        <v>389</v>
      </c>
      <c r="D32" t="s">
        <v>15</v>
      </c>
      <c r="H32" t="s">
        <v>464</v>
      </c>
      <c r="I32" t="s">
        <v>465</v>
      </c>
      <c r="J32">
        <v>60</v>
      </c>
      <c r="K32" t="s">
        <v>19</v>
      </c>
      <c r="L32" s="1">
        <v>24.51</v>
      </c>
      <c r="M32" t="s">
        <v>33</v>
      </c>
      <c r="N32" s="1">
        <f>Tabla15[[#This Row],[Price]]*Tabla15[[#This Row],[QTY Adjusted]]</f>
        <v>1470.6000000000001</v>
      </c>
      <c r="O32" s="1">
        <v>1470.6000000000001</v>
      </c>
      <c r="P32" s="1" t="s">
        <v>4226</v>
      </c>
    </row>
    <row r="33" spans="1:16" ht="40.200000000000003" customHeight="1" x14ac:dyDescent="0.3">
      <c r="A33">
        <v>163</v>
      </c>
      <c r="B33" t="s">
        <v>388</v>
      </c>
      <c r="C33" t="s">
        <v>389</v>
      </c>
      <c r="D33" t="s">
        <v>15</v>
      </c>
      <c r="H33" t="s">
        <v>458</v>
      </c>
      <c r="I33" t="s">
        <v>459</v>
      </c>
      <c r="J33">
        <v>10</v>
      </c>
      <c r="K33" t="s">
        <v>19</v>
      </c>
      <c r="L33" s="1">
        <v>100.76</v>
      </c>
      <c r="M33" t="s">
        <v>33</v>
      </c>
      <c r="N33" s="1">
        <f>Tabla15[[#This Row],[Price]]*Tabla15[[#This Row],[QTY Adjusted]]</f>
        <v>1007.6</v>
      </c>
      <c r="O33" s="1">
        <v>1007.6</v>
      </c>
      <c r="P33" s="1" t="s">
        <v>4226</v>
      </c>
    </row>
    <row r="34" spans="1:16" ht="40.200000000000003" customHeight="1" x14ac:dyDescent="0.3">
      <c r="A34">
        <v>162</v>
      </c>
      <c r="B34" t="s">
        <v>388</v>
      </c>
      <c r="C34" t="s">
        <v>389</v>
      </c>
      <c r="D34" t="s">
        <v>15</v>
      </c>
      <c r="H34" t="s">
        <v>456</v>
      </c>
      <c r="I34" t="s">
        <v>457</v>
      </c>
      <c r="J34">
        <v>30</v>
      </c>
      <c r="K34" t="s">
        <v>19</v>
      </c>
      <c r="L34" s="1">
        <v>32.659999999999997</v>
      </c>
      <c r="M34" t="s">
        <v>33</v>
      </c>
      <c r="N34" s="1">
        <f>Tabla15[[#This Row],[Price]]*Tabla15[[#This Row],[QTY Adjusted]]</f>
        <v>979.8</v>
      </c>
      <c r="O34" s="1">
        <v>979.8</v>
      </c>
      <c r="P34" s="1" t="s">
        <v>4226</v>
      </c>
    </row>
    <row r="35" spans="1:16" ht="40.200000000000003" customHeight="1" x14ac:dyDescent="0.3">
      <c r="A35">
        <v>138</v>
      </c>
      <c r="B35" t="s">
        <v>388</v>
      </c>
      <c r="C35" t="s">
        <v>389</v>
      </c>
      <c r="D35" t="s">
        <v>15</v>
      </c>
      <c r="H35" t="s">
        <v>416</v>
      </c>
      <c r="I35" t="s">
        <v>417</v>
      </c>
      <c r="J35">
        <v>84</v>
      </c>
      <c r="K35" t="s">
        <v>19</v>
      </c>
      <c r="L35" s="1">
        <v>11.26</v>
      </c>
      <c r="M35" t="s">
        <v>33</v>
      </c>
      <c r="N35" s="1">
        <f>Tabla15[[#This Row],[Price]]*Tabla15[[#This Row],[QTY Adjusted]]</f>
        <v>945.84</v>
      </c>
      <c r="O35" s="1">
        <v>945.84</v>
      </c>
      <c r="P35" s="1" t="s">
        <v>4226</v>
      </c>
    </row>
    <row r="36" spans="1:16" ht="40.200000000000003" customHeight="1" x14ac:dyDescent="0.3">
      <c r="A36">
        <v>167</v>
      </c>
      <c r="B36" t="s">
        <v>388</v>
      </c>
      <c r="C36" t="s">
        <v>389</v>
      </c>
      <c r="D36" t="s">
        <v>15</v>
      </c>
      <c r="H36" t="s">
        <v>466</v>
      </c>
      <c r="I36" t="s">
        <v>467</v>
      </c>
      <c r="J36">
        <v>28</v>
      </c>
      <c r="K36" t="s">
        <v>19</v>
      </c>
      <c r="L36" s="1">
        <v>32.36</v>
      </c>
      <c r="M36" t="s">
        <v>33</v>
      </c>
      <c r="N36" s="1">
        <f>Tabla15[[#This Row],[Price]]*Tabla15[[#This Row],[QTY Adjusted]]</f>
        <v>906.07999999999993</v>
      </c>
      <c r="O36" s="1">
        <v>906.07999999999993</v>
      </c>
      <c r="P36" s="1" t="s">
        <v>4226</v>
      </c>
    </row>
    <row r="37" spans="1:16" ht="40.200000000000003" customHeight="1" x14ac:dyDescent="0.3">
      <c r="A37">
        <v>145</v>
      </c>
      <c r="B37" t="s">
        <v>388</v>
      </c>
      <c r="C37" t="s">
        <v>389</v>
      </c>
      <c r="D37" t="s">
        <v>15</v>
      </c>
      <c r="H37" t="s">
        <v>430</v>
      </c>
      <c r="I37" t="s">
        <v>431</v>
      </c>
      <c r="J37">
        <v>15</v>
      </c>
      <c r="K37" t="s">
        <v>19</v>
      </c>
      <c r="L37" s="1">
        <v>57.58</v>
      </c>
      <c r="M37" t="s">
        <v>33</v>
      </c>
      <c r="N37" s="1">
        <f>Tabla15[[#This Row],[Price]]*Tabla15[[#This Row],[QTY Adjusted]]</f>
        <v>863.69999999999993</v>
      </c>
      <c r="O37" s="1">
        <v>863.69999999999993</v>
      </c>
      <c r="P37" s="1" t="s">
        <v>4226</v>
      </c>
    </row>
    <row r="38" spans="1:16" ht="40.200000000000003" customHeight="1" x14ac:dyDescent="0.3">
      <c r="A38">
        <v>154</v>
      </c>
      <c r="B38" t="s">
        <v>388</v>
      </c>
      <c r="C38" t="s">
        <v>389</v>
      </c>
      <c r="D38" t="s">
        <v>15</v>
      </c>
      <c r="H38" t="s">
        <v>445</v>
      </c>
      <c r="J38">
        <v>30</v>
      </c>
      <c r="K38" t="s">
        <v>19</v>
      </c>
      <c r="L38" s="1">
        <v>28.76</v>
      </c>
      <c r="M38" t="s">
        <v>33</v>
      </c>
      <c r="N38" s="1">
        <f>Tabla15[[#This Row],[Price]]*Tabla15[[#This Row],[QTY Adjusted]]</f>
        <v>862.80000000000007</v>
      </c>
      <c r="O38" s="1">
        <v>862.80000000000007</v>
      </c>
      <c r="P38" s="1" t="s">
        <v>4226</v>
      </c>
    </row>
    <row r="39" spans="1:16" ht="40.200000000000003" customHeight="1" x14ac:dyDescent="0.3">
      <c r="A39">
        <v>155</v>
      </c>
      <c r="B39" t="s">
        <v>388</v>
      </c>
      <c r="C39" t="s">
        <v>389</v>
      </c>
      <c r="D39" t="s">
        <v>15</v>
      </c>
      <c r="H39" t="s">
        <v>446</v>
      </c>
      <c r="J39">
        <v>30</v>
      </c>
      <c r="K39" t="s">
        <v>19</v>
      </c>
      <c r="L39" s="1">
        <v>28.48</v>
      </c>
      <c r="M39" t="s">
        <v>33</v>
      </c>
      <c r="N39" s="1">
        <f>Tabla15[[#This Row],[Price]]*Tabla15[[#This Row],[QTY Adjusted]]</f>
        <v>854.4</v>
      </c>
      <c r="O39" s="1">
        <v>854.4</v>
      </c>
      <c r="P39" s="1" t="s">
        <v>4226</v>
      </c>
    </row>
    <row r="40" spans="1:16" ht="40.200000000000003" customHeight="1" x14ac:dyDescent="0.3">
      <c r="A40">
        <v>133</v>
      </c>
      <c r="B40" t="s">
        <v>388</v>
      </c>
      <c r="C40" t="s">
        <v>389</v>
      </c>
      <c r="D40" t="s">
        <v>15</v>
      </c>
      <c r="H40" t="s">
        <v>406</v>
      </c>
      <c r="I40" t="s">
        <v>407</v>
      </c>
      <c r="J40">
        <v>20</v>
      </c>
      <c r="K40" t="s">
        <v>19</v>
      </c>
      <c r="L40" s="1">
        <v>41.9</v>
      </c>
      <c r="M40" t="s">
        <v>33</v>
      </c>
      <c r="N40" s="1">
        <f>Tabla15[[#This Row],[Price]]*Tabla15[[#This Row],[QTY Adjusted]]</f>
        <v>838</v>
      </c>
      <c r="O40" s="1">
        <v>838</v>
      </c>
      <c r="P40" s="1" t="s">
        <v>4226</v>
      </c>
    </row>
    <row r="41" spans="1:16" ht="40.200000000000003" customHeight="1" x14ac:dyDescent="0.3">
      <c r="A41">
        <v>134</v>
      </c>
      <c r="B41" t="s">
        <v>388</v>
      </c>
      <c r="C41" t="s">
        <v>389</v>
      </c>
      <c r="D41" t="s">
        <v>15</v>
      </c>
      <c r="H41" t="s">
        <v>408</v>
      </c>
      <c r="I41" t="s">
        <v>409</v>
      </c>
      <c r="J41">
        <v>84</v>
      </c>
      <c r="K41" t="s">
        <v>19</v>
      </c>
      <c r="L41" s="1">
        <v>9.36</v>
      </c>
      <c r="M41" t="s">
        <v>33</v>
      </c>
      <c r="N41" s="1">
        <f>Tabla15[[#This Row],[Price]]*Tabla15[[#This Row],[QTY Adjusted]]</f>
        <v>786.24</v>
      </c>
      <c r="O41" s="1">
        <v>786.24</v>
      </c>
      <c r="P41" s="1" t="s">
        <v>4226</v>
      </c>
    </row>
    <row r="42" spans="1:16" ht="40.200000000000003" customHeight="1" x14ac:dyDescent="0.3">
      <c r="A42">
        <v>161</v>
      </c>
      <c r="B42" t="s">
        <v>388</v>
      </c>
      <c r="C42" t="s">
        <v>389</v>
      </c>
      <c r="D42" t="s">
        <v>15</v>
      </c>
      <c r="H42" t="s">
        <v>454</v>
      </c>
      <c r="I42" t="s">
        <v>455</v>
      </c>
      <c r="J42">
        <v>20</v>
      </c>
      <c r="K42" t="s">
        <v>19</v>
      </c>
      <c r="L42" s="1">
        <v>33.83</v>
      </c>
      <c r="M42" t="s">
        <v>33</v>
      </c>
      <c r="N42" s="1">
        <f>Tabla15[[#This Row],[Price]]*Tabla15[[#This Row],[QTY Adjusted]]</f>
        <v>676.59999999999991</v>
      </c>
      <c r="O42" s="1">
        <v>676.59999999999991</v>
      </c>
      <c r="P42" s="1" t="s">
        <v>4226</v>
      </c>
    </row>
    <row r="43" spans="1:16" ht="40.200000000000003" customHeight="1" x14ac:dyDescent="0.3">
      <c r="A43">
        <v>169</v>
      </c>
      <c r="B43" t="s">
        <v>388</v>
      </c>
      <c r="C43" t="s">
        <v>389</v>
      </c>
      <c r="D43" t="s">
        <v>15</v>
      </c>
      <c r="H43" t="s">
        <v>470</v>
      </c>
      <c r="I43" t="s">
        <v>471</v>
      </c>
      <c r="J43">
        <v>40</v>
      </c>
      <c r="K43" t="s">
        <v>19</v>
      </c>
      <c r="L43" s="1">
        <v>23.23</v>
      </c>
      <c r="M43" t="s">
        <v>33</v>
      </c>
      <c r="N43" s="1">
        <f>Tabla15[[#This Row],[Price]]*Tabla15[[#This Row],[QTY Adjusted]]</f>
        <v>929.2</v>
      </c>
      <c r="O43" s="1">
        <v>929.2</v>
      </c>
      <c r="P43" s="1" t="s">
        <v>4226</v>
      </c>
    </row>
    <row r="44" spans="1:16" ht="40.200000000000003" customHeight="1" x14ac:dyDescent="0.3">
      <c r="A44">
        <v>171</v>
      </c>
      <c r="B44" t="s">
        <v>388</v>
      </c>
      <c r="C44" t="s">
        <v>389</v>
      </c>
      <c r="D44" t="s">
        <v>15</v>
      </c>
      <c r="H44" t="s">
        <v>474</v>
      </c>
      <c r="I44" t="s">
        <v>475</v>
      </c>
      <c r="J44">
        <v>15</v>
      </c>
      <c r="K44" t="s">
        <v>19</v>
      </c>
      <c r="L44" s="1">
        <v>37.76</v>
      </c>
      <c r="M44" t="s">
        <v>33</v>
      </c>
      <c r="N44" s="1">
        <f>Tabla15[[#This Row],[Price]]*Tabla15[[#This Row],[QTY Adjusted]]</f>
        <v>566.4</v>
      </c>
      <c r="O44" s="1">
        <v>566.4</v>
      </c>
      <c r="P44" s="1" t="s">
        <v>4226</v>
      </c>
    </row>
    <row r="45" spans="1:16" ht="40.200000000000003" customHeight="1" x14ac:dyDescent="0.3">
      <c r="A45">
        <v>153</v>
      </c>
      <c r="B45" t="s">
        <v>388</v>
      </c>
      <c r="C45" t="s">
        <v>389</v>
      </c>
      <c r="D45" t="s">
        <v>15</v>
      </c>
      <c r="H45" t="s">
        <v>444</v>
      </c>
      <c r="J45">
        <v>30</v>
      </c>
      <c r="K45" t="s">
        <v>19</v>
      </c>
      <c r="L45" s="1">
        <v>17.25</v>
      </c>
      <c r="M45" t="s">
        <v>33</v>
      </c>
      <c r="N45" s="1">
        <f>Tabla15[[#This Row],[Price]]*Tabla15[[#This Row],[QTY Adjusted]]</f>
        <v>517.5</v>
      </c>
      <c r="O45" s="1">
        <v>517.5</v>
      </c>
      <c r="P45" s="1" t="s">
        <v>4226</v>
      </c>
    </row>
    <row r="46" spans="1:16" ht="40.200000000000003" customHeight="1" x14ac:dyDescent="0.3">
      <c r="A46">
        <v>168</v>
      </c>
      <c r="B46" t="s">
        <v>388</v>
      </c>
      <c r="C46" t="s">
        <v>389</v>
      </c>
      <c r="D46" t="s">
        <v>15</v>
      </c>
      <c r="H46" t="s">
        <v>468</v>
      </c>
      <c r="I46" t="s">
        <v>469</v>
      </c>
      <c r="J46">
        <v>40</v>
      </c>
      <c r="K46" t="s">
        <v>19</v>
      </c>
      <c r="L46" s="1">
        <v>18.34</v>
      </c>
      <c r="M46" t="s">
        <v>33</v>
      </c>
      <c r="N46" s="1">
        <f>Tabla15[[#This Row],[Price]]*Tabla15[[#This Row],[QTY Adjusted]]</f>
        <v>733.6</v>
      </c>
      <c r="O46" s="1">
        <v>733.6</v>
      </c>
      <c r="P46" s="1" t="s">
        <v>4226</v>
      </c>
    </row>
    <row r="47" spans="1:16" ht="40.200000000000003" customHeight="1" x14ac:dyDescent="0.3">
      <c r="A47">
        <v>144</v>
      </c>
      <c r="B47" t="s">
        <v>388</v>
      </c>
      <c r="C47" t="s">
        <v>389</v>
      </c>
      <c r="D47" t="s">
        <v>15</v>
      </c>
      <c r="H47" t="s">
        <v>428</v>
      </c>
      <c r="I47" t="s">
        <v>429</v>
      </c>
      <c r="J47">
        <v>6</v>
      </c>
      <c r="K47" t="s">
        <v>19</v>
      </c>
      <c r="L47" s="1">
        <v>82.18</v>
      </c>
      <c r="M47" t="s">
        <v>33</v>
      </c>
      <c r="N47" s="1">
        <f>Tabla15[[#This Row],[Price]]*Tabla15[[#This Row],[QTY Adjusted]]</f>
        <v>493.08000000000004</v>
      </c>
      <c r="O47" s="1">
        <v>493.08000000000004</v>
      </c>
      <c r="P47" s="1" t="s">
        <v>4226</v>
      </c>
    </row>
    <row r="48" spans="1:16" ht="40.200000000000003" customHeight="1" x14ac:dyDescent="0.3">
      <c r="A48">
        <v>152</v>
      </c>
      <c r="B48" t="s">
        <v>388</v>
      </c>
      <c r="C48" t="s">
        <v>389</v>
      </c>
      <c r="D48" t="s">
        <v>15</v>
      </c>
      <c r="H48" t="s">
        <v>443</v>
      </c>
      <c r="J48">
        <v>30</v>
      </c>
      <c r="K48" t="s">
        <v>19</v>
      </c>
      <c r="L48" s="1">
        <v>16.32</v>
      </c>
      <c r="M48" t="s">
        <v>33</v>
      </c>
      <c r="N48" s="1">
        <f>Tabla15[[#This Row],[Price]]*Tabla15[[#This Row],[QTY Adjusted]]</f>
        <v>489.6</v>
      </c>
      <c r="O48" s="1">
        <v>489.6</v>
      </c>
      <c r="P48" s="1" t="s">
        <v>4226</v>
      </c>
    </row>
    <row r="49" spans="1:16" ht="40.200000000000003" customHeight="1" x14ac:dyDescent="0.3">
      <c r="A49">
        <v>157</v>
      </c>
      <c r="B49" t="s">
        <v>388</v>
      </c>
      <c r="C49" t="s">
        <v>389</v>
      </c>
      <c r="D49" t="s">
        <v>15</v>
      </c>
      <c r="H49" t="s">
        <v>448</v>
      </c>
      <c r="J49">
        <v>30</v>
      </c>
      <c r="K49" t="s">
        <v>19</v>
      </c>
      <c r="L49" s="1">
        <v>16.32</v>
      </c>
      <c r="M49" t="s">
        <v>33</v>
      </c>
      <c r="N49" s="1">
        <f>Tabla15[[#This Row],[Price]]*Tabla15[[#This Row],[QTY Adjusted]]</f>
        <v>489.6</v>
      </c>
      <c r="O49" s="1">
        <v>489.6</v>
      </c>
      <c r="P49" s="1" t="s">
        <v>4226</v>
      </c>
    </row>
    <row r="50" spans="1:16" ht="40.200000000000003" customHeight="1" x14ac:dyDescent="0.3">
      <c r="A50">
        <v>128</v>
      </c>
      <c r="B50" t="s">
        <v>388</v>
      </c>
      <c r="C50" t="s">
        <v>389</v>
      </c>
      <c r="D50" t="s">
        <v>15</v>
      </c>
      <c r="H50" t="s">
        <v>396</v>
      </c>
      <c r="I50" t="s">
        <v>397</v>
      </c>
      <c r="J50">
        <v>6</v>
      </c>
      <c r="K50" t="s">
        <v>19</v>
      </c>
      <c r="L50" s="1">
        <v>76.11</v>
      </c>
      <c r="M50" t="s">
        <v>33</v>
      </c>
      <c r="N50" s="1">
        <f>Tabla15[[#This Row],[Price]]*Tabla15[[#This Row],[QTY Adjusted]]</f>
        <v>456.65999999999997</v>
      </c>
      <c r="O50" s="1">
        <v>456.65999999999997</v>
      </c>
      <c r="P50" s="1" t="s">
        <v>4226</v>
      </c>
    </row>
    <row r="51" spans="1:16" ht="40.200000000000003" customHeight="1" x14ac:dyDescent="0.3">
      <c r="A51">
        <v>177</v>
      </c>
      <c r="B51" t="s">
        <v>388</v>
      </c>
      <c r="C51" t="s">
        <v>389</v>
      </c>
      <c r="D51" t="s">
        <v>15</v>
      </c>
      <c r="H51" t="s">
        <v>485</v>
      </c>
      <c r="I51" t="s">
        <v>486</v>
      </c>
      <c r="J51">
        <v>6</v>
      </c>
      <c r="K51" t="s">
        <v>19</v>
      </c>
      <c r="L51" s="1">
        <v>72.87</v>
      </c>
      <c r="M51" t="s">
        <v>33</v>
      </c>
      <c r="N51" s="1">
        <f>Tabla15[[#This Row],[Price]]*Tabla15[[#This Row],[QTY Adjusted]]</f>
        <v>437.22</v>
      </c>
      <c r="O51" s="1">
        <v>437.22</v>
      </c>
      <c r="P51" s="1" t="s">
        <v>4226</v>
      </c>
    </row>
    <row r="52" spans="1:16" ht="40.200000000000003" customHeight="1" x14ac:dyDescent="0.3">
      <c r="A52">
        <v>158</v>
      </c>
      <c r="B52" t="s">
        <v>388</v>
      </c>
      <c r="C52" t="s">
        <v>389</v>
      </c>
      <c r="D52" t="s">
        <v>15</v>
      </c>
      <c r="H52" t="s">
        <v>449</v>
      </c>
      <c r="J52">
        <v>30</v>
      </c>
      <c r="K52" t="s">
        <v>19</v>
      </c>
      <c r="L52" s="1">
        <v>11.2</v>
      </c>
      <c r="M52" t="s">
        <v>33</v>
      </c>
      <c r="N52" s="1">
        <f>Tabla15[[#This Row],[Price]]*Tabla15[[#This Row],[QTY Adjusted]]</f>
        <v>336</v>
      </c>
      <c r="O52" s="1">
        <v>336</v>
      </c>
      <c r="P52" s="1" t="s">
        <v>4226</v>
      </c>
    </row>
    <row r="53" spans="1:16" ht="40.200000000000003" customHeight="1" x14ac:dyDescent="0.3">
      <c r="A53">
        <v>170</v>
      </c>
      <c r="B53" t="s">
        <v>388</v>
      </c>
      <c r="C53" t="s">
        <v>389</v>
      </c>
      <c r="D53" t="s">
        <v>15</v>
      </c>
      <c r="H53" t="s">
        <v>472</v>
      </c>
      <c r="I53" t="s">
        <v>473</v>
      </c>
      <c r="J53">
        <v>40</v>
      </c>
      <c r="K53" t="s">
        <v>19</v>
      </c>
      <c r="L53" s="1">
        <v>12</v>
      </c>
      <c r="M53" t="s">
        <v>33</v>
      </c>
      <c r="N53" s="1">
        <f>Tabla15[[#This Row],[Price]]*Tabla15[[#This Row],[QTY Adjusted]]</f>
        <v>480</v>
      </c>
      <c r="O53" s="1">
        <v>480</v>
      </c>
      <c r="P53" s="1" t="s">
        <v>4226</v>
      </c>
    </row>
    <row r="54" spans="1:16" ht="40.200000000000003" customHeight="1" x14ac:dyDescent="0.3">
      <c r="A54">
        <v>156</v>
      </c>
      <c r="B54" t="s">
        <v>388</v>
      </c>
      <c r="C54" t="s">
        <v>389</v>
      </c>
      <c r="D54" t="s">
        <v>15</v>
      </c>
      <c r="H54" t="s">
        <v>447</v>
      </c>
      <c r="J54">
        <v>30</v>
      </c>
      <c r="K54" t="s">
        <v>19</v>
      </c>
      <c r="L54" s="1">
        <v>10.29</v>
      </c>
      <c r="M54" t="s">
        <v>33</v>
      </c>
      <c r="N54" s="1">
        <f>Tabla15[[#This Row],[Price]]*Tabla15[[#This Row],[QTY Adjusted]]</f>
        <v>308.7</v>
      </c>
      <c r="O54" s="1">
        <v>308.7</v>
      </c>
      <c r="P54" s="1" t="s">
        <v>4226</v>
      </c>
    </row>
    <row r="55" spans="1:16" ht="40.200000000000003" customHeight="1" x14ac:dyDescent="0.3">
      <c r="A55">
        <v>164</v>
      </c>
      <c r="B55" t="s">
        <v>388</v>
      </c>
      <c r="C55" t="s">
        <v>389</v>
      </c>
      <c r="D55" t="s">
        <v>15</v>
      </c>
      <c r="H55" t="s">
        <v>460</v>
      </c>
      <c r="I55" t="s">
        <v>461</v>
      </c>
      <c r="J55">
        <v>10</v>
      </c>
      <c r="K55" t="s">
        <v>19</v>
      </c>
      <c r="L55" s="1">
        <v>26.84</v>
      </c>
      <c r="M55" t="s">
        <v>33</v>
      </c>
      <c r="N55" s="1">
        <f>Tabla15[[#This Row],[Price]]*Tabla15[[#This Row],[QTY Adjusted]]</f>
        <v>268.39999999999998</v>
      </c>
      <c r="O55" s="1">
        <v>268.39999999999998</v>
      </c>
      <c r="P55" s="1" t="s">
        <v>4226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B66D-7B57-483C-8659-C662A8CAED12}">
  <sheetPr>
    <tabColor rgb="FFFF0000"/>
  </sheetPr>
  <dimension ref="A1:P129"/>
  <sheetViews>
    <sheetView showGridLines="0" zoomScale="70" zoomScaleNormal="70" workbookViewId="0">
      <selection activeCell="P6" sqref="P6"/>
    </sheetView>
  </sheetViews>
  <sheetFormatPr baseColWidth="10" defaultColWidth="11.44140625" defaultRowHeight="14.4" x14ac:dyDescent="0.3"/>
  <cols>
    <col min="2" max="3" width="11.5546875" customWidth="1"/>
    <col min="4" max="4" width="19.44140625" customWidth="1"/>
    <col min="5" max="7" width="11.5546875" customWidth="1"/>
    <col min="8" max="8" width="12.33203125" customWidth="1"/>
    <col min="9" max="9" width="26.44140625" customWidth="1"/>
    <col min="10" max="10" width="14.33203125" customWidth="1"/>
    <col min="11" max="14" width="11.5546875" customWidth="1"/>
    <col min="15" max="15" width="14" customWidth="1"/>
    <col min="16" max="16" width="40.6640625" customWidth="1"/>
  </cols>
  <sheetData>
    <row r="1" spans="1:16" x14ac:dyDescent="0.3">
      <c r="K1" s="2" t="s">
        <v>4048</v>
      </c>
      <c r="L1" s="13">
        <v>195</v>
      </c>
      <c r="M1">
        <v>19.5</v>
      </c>
      <c r="N1">
        <v>1.1599999999999999</v>
      </c>
    </row>
    <row r="2" spans="1:16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4058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4215</v>
      </c>
    </row>
    <row r="3" spans="1:16" ht="42" customHeight="1" x14ac:dyDescent="0.3">
      <c r="A3" s="5">
        <v>211</v>
      </c>
      <c r="B3" s="5" t="s">
        <v>542</v>
      </c>
      <c r="C3" s="5" t="s">
        <v>34</v>
      </c>
      <c r="D3" s="5" t="s">
        <v>15</v>
      </c>
      <c r="E3" s="5" t="s">
        <v>543</v>
      </c>
      <c r="F3" s="5"/>
      <c r="G3" s="5" t="s">
        <v>178</v>
      </c>
      <c r="H3" s="5" t="s">
        <v>554</v>
      </c>
      <c r="I3" s="5" t="s">
        <v>555</v>
      </c>
      <c r="J3" s="3">
        <v>0</v>
      </c>
      <c r="K3" s="3" t="s">
        <v>19</v>
      </c>
      <c r="L3" s="4">
        <v>79.8</v>
      </c>
      <c r="M3" s="3" t="s">
        <v>28</v>
      </c>
      <c r="N3" s="4">
        <f>Tabla16[[#This Row],[Price]]*Tabla16[[#This Row],[QTY Adjusted]]</f>
        <v>0</v>
      </c>
      <c r="O3" s="4">
        <v>0</v>
      </c>
      <c r="P3" s="1" t="s">
        <v>4228</v>
      </c>
    </row>
    <row r="4" spans="1:16" ht="42" customHeight="1" x14ac:dyDescent="0.3">
      <c r="A4" s="5">
        <v>257</v>
      </c>
      <c r="B4" s="5" t="s">
        <v>542</v>
      </c>
      <c r="C4" s="5" t="s">
        <v>223</v>
      </c>
      <c r="D4" s="5" t="s">
        <v>199</v>
      </c>
      <c r="E4" s="5" t="s">
        <v>543</v>
      </c>
      <c r="F4" s="5"/>
      <c r="G4" s="5" t="s">
        <v>676</v>
      </c>
      <c r="H4" s="5" t="s">
        <v>677</v>
      </c>
      <c r="I4" s="5" t="s">
        <v>678</v>
      </c>
      <c r="J4" s="3">
        <v>12</v>
      </c>
      <c r="K4" s="3" t="s">
        <v>19</v>
      </c>
      <c r="L4" s="4">
        <v>545.60766750000005</v>
      </c>
      <c r="M4" s="3" t="s">
        <v>33</v>
      </c>
      <c r="N4" s="4">
        <f>Tabla16[[#This Row],[Price]]*Tabla16[[#This Row],[QTY Adjusted]]</f>
        <v>6547.292010000001</v>
      </c>
      <c r="O4" s="16">
        <v>1389.1200000000001</v>
      </c>
      <c r="P4" s="1" t="s">
        <v>4228</v>
      </c>
    </row>
    <row r="5" spans="1:16" ht="42" customHeight="1" x14ac:dyDescent="0.3">
      <c r="A5" s="5">
        <v>207</v>
      </c>
      <c r="B5" s="5" t="s">
        <v>542</v>
      </c>
      <c r="C5" s="5" t="s">
        <v>130</v>
      </c>
      <c r="D5" s="5" t="s">
        <v>130</v>
      </c>
      <c r="E5" s="5" t="s">
        <v>543</v>
      </c>
      <c r="F5" s="5"/>
      <c r="G5" s="5" t="s">
        <v>544</v>
      </c>
      <c r="H5" s="5" t="s">
        <v>490</v>
      </c>
      <c r="I5" s="5" t="s">
        <v>545</v>
      </c>
      <c r="J5" s="3">
        <v>36</v>
      </c>
      <c r="K5" s="3" t="s">
        <v>19</v>
      </c>
      <c r="L5" s="4">
        <v>162.6323387888996</v>
      </c>
      <c r="M5" s="3" t="s">
        <v>33</v>
      </c>
      <c r="N5" s="4">
        <f>Tabla16[[#This Row],[Price]]*Tabla16[[#This Row],[QTY Adjusted]]</f>
        <v>5854.764196400386</v>
      </c>
      <c r="O5" s="4">
        <v>5854.764196400386</v>
      </c>
      <c r="P5" s="1" t="s">
        <v>4228</v>
      </c>
    </row>
    <row r="6" spans="1:16" ht="42" customHeight="1" x14ac:dyDescent="0.3">
      <c r="A6" s="5">
        <v>216</v>
      </c>
      <c r="B6" s="5" t="s">
        <v>542</v>
      </c>
      <c r="C6" s="5" t="s">
        <v>561</v>
      </c>
      <c r="D6" s="5" t="s">
        <v>15</v>
      </c>
      <c r="E6" s="5" t="s">
        <v>543</v>
      </c>
      <c r="F6" s="5"/>
      <c r="G6" s="5" t="s">
        <v>568</v>
      </c>
      <c r="H6" s="5" t="s">
        <v>569</v>
      </c>
      <c r="I6" s="5" t="s">
        <v>570</v>
      </c>
      <c r="J6" s="3">
        <v>48</v>
      </c>
      <c r="K6" s="3" t="s">
        <v>19</v>
      </c>
      <c r="L6" s="4">
        <v>99.224999999999994</v>
      </c>
      <c r="M6" s="3" t="s">
        <v>33</v>
      </c>
      <c r="N6" s="4">
        <f>Tabla16[[#This Row],[Price]]*Tabla16[[#This Row],[QTY Adjusted]]</f>
        <v>4762.7999999999993</v>
      </c>
      <c r="O6" s="4">
        <v>4762.7999999999993</v>
      </c>
      <c r="P6" s="1" t="s">
        <v>4228</v>
      </c>
    </row>
    <row r="7" spans="1:16" ht="42" customHeight="1" x14ac:dyDescent="0.3">
      <c r="A7" s="5">
        <v>245</v>
      </c>
      <c r="B7" s="5" t="s">
        <v>542</v>
      </c>
      <c r="C7" s="5" t="s">
        <v>648</v>
      </c>
      <c r="D7" s="5" t="s">
        <v>130</v>
      </c>
      <c r="E7" s="5" t="s">
        <v>543</v>
      </c>
      <c r="F7" s="5"/>
      <c r="G7" s="5" t="s">
        <v>649</v>
      </c>
      <c r="H7" s="5" t="s">
        <v>650</v>
      </c>
      <c r="I7" s="5" t="s">
        <v>651</v>
      </c>
      <c r="J7" s="3">
        <v>12</v>
      </c>
      <c r="K7" s="3" t="s">
        <v>19</v>
      </c>
      <c r="L7" s="4">
        <v>386.07329761506202</v>
      </c>
      <c r="M7" s="3" t="s">
        <v>33</v>
      </c>
      <c r="N7" s="4">
        <f>Tabla16[[#This Row],[Price]]*Tabla16[[#This Row],[QTY Adjusted]]</f>
        <v>4632.879571380744</v>
      </c>
      <c r="O7" s="4">
        <v>4632.879571380744</v>
      </c>
      <c r="P7" s="1" t="s">
        <v>4228</v>
      </c>
    </row>
    <row r="8" spans="1:16" ht="42" customHeight="1" x14ac:dyDescent="0.3">
      <c r="A8" s="5">
        <v>282</v>
      </c>
      <c r="B8" s="5" t="s">
        <v>542</v>
      </c>
      <c r="C8" s="5" t="s">
        <v>738</v>
      </c>
      <c r="D8" s="5" t="s">
        <v>718</v>
      </c>
      <c r="E8" s="5" t="s">
        <v>543</v>
      </c>
      <c r="F8" s="5"/>
      <c r="G8" s="5">
        <v>5592</v>
      </c>
      <c r="H8" s="5" t="s">
        <v>739</v>
      </c>
      <c r="I8" s="5" t="s">
        <v>740</v>
      </c>
      <c r="J8" s="3">
        <v>1</v>
      </c>
      <c r="K8" s="3" t="s">
        <v>19</v>
      </c>
      <c r="L8" s="4">
        <v>4362</v>
      </c>
      <c r="M8" s="3" t="s">
        <v>33</v>
      </c>
      <c r="N8" s="4">
        <f>Tabla16[[#This Row],[Price]]*Tabla16[[#This Row],[QTY Adjusted]]</f>
        <v>4362</v>
      </c>
      <c r="O8" s="4">
        <v>4362</v>
      </c>
      <c r="P8" s="1" t="s">
        <v>4228</v>
      </c>
    </row>
    <row r="9" spans="1:16" ht="42" customHeight="1" x14ac:dyDescent="0.3">
      <c r="A9" s="5">
        <v>254</v>
      </c>
      <c r="B9" s="5" t="s">
        <v>542</v>
      </c>
      <c r="C9" s="5" t="s">
        <v>130</v>
      </c>
      <c r="D9" s="5" t="s">
        <v>130</v>
      </c>
      <c r="E9" s="5" t="s">
        <v>543</v>
      </c>
      <c r="F9" s="5"/>
      <c r="G9" s="5" t="s">
        <v>668</v>
      </c>
      <c r="H9" s="5" t="s">
        <v>669</v>
      </c>
      <c r="I9" s="7" t="s">
        <v>670</v>
      </c>
      <c r="J9" s="3">
        <v>36</v>
      </c>
      <c r="K9" s="3" t="s">
        <v>19</v>
      </c>
      <c r="L9" s="4">
        <v>118.003926114911</v>
      </c>
      <c r="M9" s="3" t="s">
        <v>33</v>
      </c>
      <c r="N9" s="4">
        <f>Tabla16[[#This Row],[Price]]*Tabla16[[#This Row],[QTY Adjusted]]</f>
        <v>4248.1413401367954</v>
      </c>
      <c r="O9" s="4">
        <v>4248.1413401367954</v>
      </c>
      <c r="P9" s="1" t="s">
        <v>4228</v>
      </c>
    </row>
    <row r="10" spans="1:16" ht="42" customHeight="1" x14ac:dyDescent="0.3">
      <c r="A10" s="5">
        <v>213</v>
      </c>
      <c r="B10" s="5" t="s">
        <v>542</v>
      </c>
      <c r="C10" s="5" t="s">
        <v>38</v>
      </c>
      <c r="D10" s="5" t="s">
        <v>15</v>
      </c>
      <c r="E10" s="5" t="s">
        <v>543</v>
      </c>
      <c r="F10" s="5"/>
      <c r="G10" s="5" t="s">
        <v>558</v>
      </c>
      <c r="H10" s="5" t="s">
        <v>559</v>
      </c>
      <c r="I10" s="5" t="s">
        <v>560</v>
      </c>
      <c r="J10" s="3">
        <v>36</v>
      </c>
      <c r="K10" s="3" t="s">
        <v>19</v>
      </c>
      <c r="L10" s="4">
        <v>112</v>
      </c>
      <c r="M10" s="3" t="s">
        <v>33</v>
      </c>
      <c r="N10" s="4">
        <f>Tabla16[[#This Row],[Price]]*Tabla16[[#This Row],[QTY Adjusted]]</f>
        <v>4032</v>
      </c>
      <c r="O10" s="4">
        <v>4032</v>
      </c>
      <c r="P10" s="1" t="s">
        <v>4228</v>
      </c>
    </row>
    <row r="11" spans="1:16" ht="42" customHeight="1" x14ac:dyDescent="0.3">
      <c r="A11" s="5">
        <v>256</v>
      </c>
      <c r="B11" s="5" t="s">
        <v>542</v>
      </c>
      <c r="C11" s="5" t="s">
        <v>223</v>
      </c>
      <c r="D11" s="5" t="s">
        <v>199</v>
      </c>
      <c r="E11" s="5" t="s">
        <v>543</v>
      </c>
      <c r="F11" s="5"/>
      <c r="G11" s="5" t="s">
        <v>673</v>
      </c>
      <c r="H11" s="5" t="s">
        <v>674</v>
      </c>
      <c r="I11" s="5" t="s">
        <v>675</v>
      </c>
      <c r="J11" s="3">
        <v>12</v>
      </c>
      <c r="K11" s="3" t="s">
        <v>19</v>
      </c>
      <c r="L11" s="4">
        <v>300.09997499999997</v>
      </c>
      <c r="M11" s="3" t="s">
        <v>33</v>
      </c>
      <c r="N11" s="4">
        <f>Tabla16[[#This Row],[Price]]*Tabla16[[#This Row],[QTY Adjusted]]</f>
        <v>3601.1996999999997</v>
      </c>
      <c r="O11" s="16">
        <v>646.08000000000004</v>
      </c>
      <c r="P11" s="1" t="s">
        <v>4228</v>
      </c>
    </row>
    <row r="12" spans="1:16" ht="42" customHeight="1" x14ac:dyDescent="0.3">
      <c r="A12" s="5">
        <v>243</v>
      </c>
      <c r="B12" s="5" t="s">
        <v>542</v>
      </c>
      <c r="C12" s="5" t="s">
        <v>632</v>
      </c>
      <c r="D12" s="5" t="s">
        <v>130</v>
      </c>
      <c r="E12" s="5" t="s">
        <v>543</v>
      </c>
      <c r="F12" s="5"/>
      <c r="G12" s="5" t="s">
        <v>642</v>
      </c>
      <c r="H12" s="5" t="s">
        <v>643</v>
      </c>
      <c r="I12" s="5" t="s">
        <v>644</v>
      </c>
      <c r="J12" s="3">
        <v>36</v>
      </c>
      <c r="K12" s="3" t="s">
        <v>19</v>
      </c>
      <c r="L12" s="4">
        <v>82.859634109039575</v>
      </c>
      <c r="M12" s="3" t="s">
        <v>33</v>
      </c>
      <c r="N12" s="4">
        <f>Tabla16[[#This Row],[Price]]*Tabla16[[#This Row],[QTY Adjusted]]</f>
        <v>2982.9468279254247</v>
      </c>
      <c r="O12" s="4">
        <v>2982.9468279254247</v>
      </c>
      <c r="P12" s="1" t="s">
        <v>4228</v>
      </c>
    </row>
    <row r="13" spans="1:16" ht="42" customHeight="1" x14ac:dyDescent="0.3">
      <c r="A13" s="5">
        <v>212</v>
      </c>
      <c r="B13" s="5" t="s">
        <v>542</v>
      </c>
      <c r="C13" s="5" t="s">
        <v>34</v>
      </c>
      <c r="D13" s="5" t="s">
        <v>15</v>
      </c>
      <c r="E13" s="5" t="s">
        <v>543</v>
      </c>
      <c r="F13" s="5"/>
      <c r="G13" s="5" t="s">
        <v>556</v>
      </c>
      <c r="H13" s="5" t="s">
        <v>36</v>
      </c>
      <c r="I13" s="5" t="s">
        <v>557</v>
      </c>
      <c r="J13" s="3">
        <v>404</v>
      </c>
      <c r="K13" s="3" t="s">
        <v>19</v>
      </c>
      <c r="L13" s="4">
        <v>5.78</v>
      </c>
      <c r="M13" s="3" t="s">
        <v>28</v>
      </c>
      <c r="N13" s="4">
        <f>Tabla16[[#This Row],[Price]]*Tabla16[[#This Row],[QTY Adjusted]]</f>
        <v>2335.12</v>
      </c>
      <c r="O13" s="4">
        <v>2708.7391999999995</v>
      </c>
      <c r="P13" s="1" t="s">
        <v>4228</v>
      </c>
    </row>
    <row r="14" spans="1:16" ht="42" customHeight="1" x14ac:dyDescent="0.3">
      <c r="A14" s="5">
        <v>252</v>
      </c>
      <c r="B14" s="5" t="s">
        <v>542</v>
      </c>
      <c r="C14" s="5" t="s">
        <v>223</v>
      </c>
      <c r="D14" s="5" t="s">
        <v>199</v>
      </c>
      <c r="E14" s="5" t="s">
        <v>543</v>
      </c>
      <c r="F14" s="5"/>
      <c r="G14" s="5">
        <v>20036301</v>
      </c>
      <c r="H14" s="5" t="s">
        <v>110</v>
      </c>
      <c r="I14" s="5" t="s">
        <v>666</v>
      </c>
      <c r="J14" s="3">
        <v>24</v>
      </c>
      <c r="K14" s="3" t="s">
        <v>19</v>
      </c>
      <c r="L14" s="4">
        <v>116.85339749999999</v>
      </c>
      <c r="M14" s="3" t="s">
        <v>33</v>
      </c>
      <c r="N14" s="4">
        <f>Tabla16[[#This Row],[Price]]*Tabla16[[#This Row],[QTY Adjusted]]</f>
        <v>2804.4815399999998</v>
      </c>
      <c r="O14" s="4">
        <v>2804.4815399999998</v>
      </c>
      <c r="P14" s="1" t="s">
        <v>4228</v>
      </c>
    </row>
    <row r="15" spans="1:16" ht="42" customHeight="1" x14ac:dyDescent="0.3">
      <c r="A15" s="5">
        <v>253</v>
      </c>
      <c r="B15" s="5" t="s">
        <v>542</v>
      </c>
      <c r="C15" s="5" t="s">
        <v>223</v>
      </c>
      <c r="D15" s="5" t="s">
        <v>199</v>
      </c>
      <c r="E15" s="5" t="s">
        <v>543</v>
      </c>
      <c r="F15" s="5"/>
      <c r="G15" s="5">
        <v>480164</v>
      </c>
      <c r="H15" s="5" t="s">
        <v>114</v>
      </c>
      <c r="I15" s="5" t="s">
        <v>667</v>
      </c>
      <c r="J15" s="3">
        <v>24</v>
      </c>
      <c r="K15" s="3" t="s">
        <v>19</v>
      </c>
      <c r="L15" s="4">
        <v>107.25860249999998</v>
      </c>
      <c r="M15" s="3" t="s">
        <v>33</v>
      </c>
      <c r="N15" s="4">
        <f>Tabla16[[#This Row],[Price]]*Tabla16[[#This Row],[QTY Adjusted]]</f>
        <v>2574.2064599999994</v>
      </c>
      <c r="O15" s="4">
        <v>2574.2064599999994</v>
      </c>
      <c r="P15" s="1" t="s">
        <v>4228</v>
      </c>
    </row>
    <row r="16" spans="1:16" ht="42" customHeight="1" x14ac:dyDescent="0.3">
      <c r="A16" s="5">
        <v>231</v>
      </c>
      <c r="B16" s="5" t="s">
        <v>542</v>
      </c>
      <c r="C16" s="5" t="s">
        <v>591</v>
      </c>
      <c r="D16" s="5" t="s">
        <v>44</v>
      </c>
      <c r="E16" s="5" t="s">
        <v>543</v>
      </c>
      <c r="F16" s="5"/>
      <c r="G16" s="5" t="s">
        <v>606</v>
      </c>
      <c r="H16" s="5" t="s">
        <v>607</v>
      </c>
      <c r="I16" s="5" t="s">
        <v>608</v>
      </c>
      <c r="J16" s="3">
        <v>80</v>
      </c>
      <c r="K16" s="3" t="s">
        <v>19</v>
      </c>
      <c r="L16" s="4">
        <v>26.34</v>
      </c>
      <c r="M16" s="3" t="s">
        <v>33</v>
      </c>
      <c r="N16" s="4">
        <f>Tabla16[[#This Row],[Price]]*Tabla16[[#This Row],[QTY Adjusted]]</f>
        <v>2107.1999999999998</v>
      </c>
      <c r="O16" s="4">
        <v>2107.1999999999998</v>
      </c>
      <c r="P16" s="1" t="s">
        <v>4228</v>
      </c>
    </row>
    <row r="17" spans="1:16" ht="42" customHeight="1" x14ac:dyDescent="0.3">
      <c r="A17" s="5">
        <v>222</v>
      </c>
      <c r="B17" s="5" t="s">
        <v>542</v>
      </c>
      <c r="C17" s="5" t="s">
        <v>219</v>
      </c>
      <c r="D17" s="5" t="s">
        <v>44</v>
      </c>
      <c r="E17" s="5" t="s">
        <v>543</v>
      </c>
      <c r="F17" s="5"/>
      <c r="G17" s="5" t="s">
        <v>582</v>
      </c>
      <c r="H17" s="5" t="s">
        <v>64</v>
      </c>
      <c r="I17" s="5" t="s">
        <v>583</v>
      </c>
      <c r="J17" s="3">
        <v>202</v>
      </c>
      <c r="K17" s="3" t="s">
        <v>19</v>
      </c>
      <c r="L17" s="4">
        <v>9.9659999999999993</v>
      </c>
      <c r="M17" s="3" t="s">
        <v>33</v>
      </c>
      <c r="N17" s="4">
        <f>Tabla16[[#This Row],[Price]]*Tabla16[[#This Row],[QTY Adjusted]]</f>
        <v>2013.1319999999998</v>
      </c>
      <c r="O17" s="4">
        <v>2013.1319999999998</v>
      </c>
      <c r="P17" s="1" t="s">
        <v>4228</v>
      </c>
    </row>
    <row r="18" spans="1:16" ht="42" customHeight="1" x14ac:dyDescent="0.3">
      <c r="A18" s="5">
        <v>223</v>
      </c>
      <c r="B18" s="5" t="s">
        <v>542</v>
      </c>
      <c r="C18" s="5" t="s">
        <v>219</v>
      </c>
      <c r="D18" s="5" t="s">
        <v>44</v>
      </c>
      <c r="E18" s="5" t="s">
        <v>543</v>
      </c>
      <c r="F18" s="5"/>
      <c r="G18" s="5" t="s">
        <v>584</v>
      </c>
      <c r="H18" s="5" t="s">
        <v>67</v>
      </c>
      <c r="I18" s="5" t="s">
        <v>585</v>
      </c>
      <c r="J18" s="3">
        <v>202</v>
      </c>
      <c r="K18" s="3" t="s">
        <v>19</v>
      </c>
      <c r="L18" s="4">
        <v>9.9659999999999993</v>
      </c>
      <c r="M18" s="3" t="s">
        <v>33</v>
      </c>
      <c r="N18" s="4">
        <f>Tabla16[[#This Row],[Price]]*Tabla16[[#This Row],[QTY Adjusted]]</f>
        <v>2013.1319999999998</v>
      </c>
      <c r="O18" s="4">
        <v>2013.1319999999998</v>
      </c>
      <c r="P18" s="1" t="s">
        <v>4228</v>
      </c>
    </row>
    <row r="19" spans="1:16" ht="42" customHeight="1" x14ac:dyDescent="0.3">
      <c r="A19" s="5">
        <v>209</v>
      </c>
      <c r="B19" s="5" t="s">
        <v>542</v>
      </c>
      <c r="C19" s="5" t="s">
        <v>130</v>
      </c>
      <c r="D19" s="5" t="s">
        <v>130</v>
      </c>
      <c r="E19" s="5" t="s">
        <v>543</v>
      </c>
      <c r="F19" s="5"/>
      <c r="G19" s="5" t="s">
        <v>549</v>
      </c>
      <c r="H19" s="5" t="s">
        <v>550</v>
      </c>
      <c r="I19" s="5" t="s">
        <v>551</v>
      </c>
      <c r="J19" s="3">
        <v>6</v>
      </c>
      <c r="K19" s="3" t="s">
        <v>19</v>
      </c>
      <c r="L19" s="4">
        <v>391.7084732829606</v>
      </c>
      <c r="M19" s="3" t="s">
        <v>33</v>
      </c>
      <c r="N19" s="4">
        <f>Tabla16[[#This Row],[Price]]*Tabla16[[#This Row],[QTY Adjusted]]</f>
        <v>2350.2508396977637</v>
      </c>
      <c r="O19" s="4">
        <v>2350.2508396977637</v>
      </c>
      <c r="P19" s="1" t="s">
        <v>4228</v>
      </c>
    </row>
    <row r="20" spans="1:16" ht="42" customHeight="1" x14ac:dyDescent="0.3">
      <c r="A20" s="5">
        <v>228</v>
      </c>
      <c r="B20" s="5" t="s">
        <v>542</v>
      </c>
      <c r="C20" s="5" t="s">
        <v>591</v>
      </c>
      <c r="D20" s="5" t="s">
        <v>44</v>
      </c>
      <c r="E20" s="5" t="s">
        <v>543</v>
      </c>
      <c r="F20" s="5"/>
      <c r="G20" s="5" t="s">
        <v>597</v>
      </c>
      <c r="H20" s="5" t="s">
        <v>598</v>
      </c>
      <c r="I20" s="5" t="s">
        <v>599</v>
      </c>
      <c r="J20" s="3">
        <v>202</v>
      </c>
      <c r="K20" s="3" t="s">
        <v>19</v>
      </c>
      <c r="L20" s="4">
        <v>9.83</v>
      </c>
      <c r="M20" s="3" t="s">
        <v>33</v>
      </c>
      <c r="N20" s="4">
        <f>Tabla16[[#This Row],[Price]]*Tabla16[[#This Row],[QTY Adjusted]]</f>
        <v>1985.66</v>
      </c>
      <c r="O20" s="4">
        <v>1985.66</v>
      </c>
      <c r="P20" s="1" t="s">
        <v>4228</v>
      </c>
    </row>
    <row r="21" spans="1:16" ht="42" customHeight="1" x14ac:dyDescent="0.3">
      <c r="A21" s="5">
        <v>224</v>
      </c>
      <c r="B21" s="5" t="s">
        <v>542</v>
      </c>
      <c r="C21" s="5" t="s">
        <v>219</v>
      </c>
      <c r="D21" s="5" t="s">
        <v>44</v>
      </c>
      <c r="E21" s="5" t="s">
        <v>543</v>
      </c>
      <c r="F21" s="5"/>
      <c r="G21" s="5" t="s">
        <v>586</v>
      </c>
      <c r="H21" s="5" t="s">
        <v>70</v>
      </c>
      <c r="I21" s="5" t="s">
        <v>587</v>
      </c>
      <c r="J21" s="3">
        <v>202</v>
      </c>
      <c r="K21" s="3" t="s">
        <v>19</v>
      </c>
      <c r="L21" s="4">
        <v>9.7919999999999998</v>
      </c>
      <c r="M21" s="3" t="s">
        <v>33</v>
      </c>
      <c r="N21" s="4">
        <f>Tabla16[[#This Row],[Price]]*Tabla16[[#This Row],[QTY Adjusted]]</f>
        <v>1977.9839999999999</v>
      </c>
      <c r="O21" s="4">
        <v>1977.9839999999999</v>
      </c>
      <c r="P21" s="1" t="s">
        <v>4228</v>
      </c>
    </row>
    <row r="22" spans="1:16" ht="42" customHeight="1" x14ac:dyDescent="0.3">
      <c r="A22" s="5">
        <v>217</v>
      </c>
      <c r="B22" s="5" t="s">
        <v>542</v>
      </c>
      <c r="C22" s="5" t="s">
        <v>219</v>
      </c>
      <c r="D22" s="5" t="s">
        <v>44</v>
      </c>
      <c r="E22" s="5" t="s">
        <v>543</v>
      </c>
      <c r="F22" s="5"/>
      <c r="G22" s="5" t="s">
        <v>571</v>
      </c>
      <c r="H22" s="5" t="s">
        <v>49</v>
      </c>
      <c r="I22" s="5" t="s">
        <v>572</v>
      </c>
      <c r="J22" s="3">
        <v>202</v>
      </c>
      <c r="K22" s="3" t="s">
        <v>19</v>
      </c>
      <c r="L22" s="4">
        <v>9.06</v>
      </c>
      <c r="M22" s="3" t="s">
        <v>33</v>
      </c>
      <c r="N22" s="4">
        <f>Tabla16[[#This Row],[Price]]*Tabla16[[#This Row],[QTY Adjusted]]</f>
        <v>1830.1200000000001</v>
      </c>
      <c r="O22" s="4">
        <v>1830.1200000000001</v>
      </c>
      <c r="P22" s="1" t="s">
        <v>4228</v>
      </c>
    </row>
    <row r="23" spans="1:16" ht="42" customHeight="1" x14ac:dyDescent="0.3">
      <c r="A23" s="5">
        <v>218</v>
      </c>
      <c r="B23" s="5" t="s">
        <v>542</v>
      </c>
      <c r="C23" s="5" t="s">
        <v>219</v>
      </c>
      <c r="D23" s="5" t="s">
        <v>44</v>
      </c>
      <c r="E23" s="5" t="s">
        <v>543</v>
      </c>
      <c r="F23" s="5"/>
      <c r="G23" s="5" t="s">
        <v>573</v>
      </c>
      <c r="H23" s="5" t="s">
        <v>574</v>
      </c>
      <c r="I23" s="5" t="s">
        <v>575</v>
      </c>
      <c r="J23" s="3">
        <v>202</v>
      </c>
      <c r="K23" s="3" t="s">
        <v>19</v>
      </c>
      <c r="L23" s="4">
        <v>9.06</v>
      </c>
      <c r="M23" s="3" t="s">
        <v>33</v>
      </c>
      <c r="N23" s="4">
        <f>Tabla16[[#This Row],[Price]]*Tabla16[[#This Row],[QTY Adjusted]]</f>
        <v>1830.1200000000001</v>
      </c>
      <c r="O23" s="4">
        <v>1830.1200000000001</v>
      </c>
      <c r="P23" s="1" t="s">
        <v>4228</v>
      </c>
    </row>
    <row r="24" spans="1:16" ht="42" customHeight="1" x14ac:dyDescent="0.3">
      <c r="A24" s="5">
        <v>219</v>
      </c>
      <c r="B24" s="5" t="s">
        <v>542</v>
      </c>
      <c r="C24" s="5" t="s">
        <v>219</v>
      </c>
      <c r="D24" s="5" t="s">
        <v>44</v>
      </c>
      <c r="E24" s="5" t="s">
        <v>543</v>
      </c>
      <c r="F24" s="5"/>
      <c r="G24" s="5" t="s">
        <v>576</v>
      </c>
      <c r="H24" s="5" t="s">
        <v>55</v>
      </c>
      <c r="I24" s="5" t="s">
        <v>577</v>
      </c>
      <c r="J24" s="3">
        <v>202</v>
      </c>
      <c r="K24" s="3" t="s">
        <v>19</v>
      </c>
      <c r="L24" s="4">
        <v>9.06</v>
      </c>
      <c r="M24" s="3" t="s">
        <v>33</v>
      </c>
      <c r="N24" s="4">
        <f>Tabla16[[#This Row],[Price]]*Tabla16[[#This Row],[QTY Adjusted]]</f>
        <v>1830.1200000000001</v>
      </c>
      <c r="O24" s="4">
        <v>1830.1200000000001</v>
      </c>
      <c r="P24" s="1" t="s">
        <v>4228</v>
      </c>
    </row>
    <row r="25" spans="1:16" ht="42" customHeight="1" x14ac:dyDescent="0.3">
      <c r="A25" s="5">
        <v>220</v>
      </c>
      <c r="B25" s="5" t="s">
        <v>542</v>
      </c>
      <c r="C25" s="5" t="s">
        <v>219</v>
      </c>
      <c r="D25" s="5" t="s">
        <v>44</v>
      </c>
      <c r="E25" s="5" t="s">
        <v>543</v>
      </c>
      <c r="F25" s="5"/>
      <c r="G25" s="5" t="s">
        <v>578</v>
      </c>
      <c r="H25" s="5" t="s">
        <v>58</v>
      </c>
      <c r="I25" s="5" t="s">
        <v>579</v>
      </c>
      <c r="J25" s="3">
        <v>339</v>
      </c>
      <c r="K25" s="3" t="s">
        <v>19</v>
      </c>
      <c r="L25" s="4">
        <v>5.3280000000000003</v>
      </c>
      <c r="M25" s="3" t="s">
        <v>33</v>
      </c>
      <c r="N25" s="4">
        <f>Tabla16[[#This Row],[Price]]*Tabla16[[#This Row],[QTY Adjusted]]</f>
        <v>1806.192</v>
      </c>
      <c r="O25" s="4">
        <v>1806.192</v>
      </c>
      <c r="P25" s="1" t="s">
        <v>4228</v>
      </c>
    </row>
    <row r="26" spans="1:16" ht="42" customHeight="1" x14ac:dyDescent="0.3">
      <c r="A26" s="5">
        <v>230</v>
      </c>
      <c r="B26" s="5" t="s">
        <v>542</v>
      </c>
      <c r="C26" s="5" t="s">
        <v>591</v>
      </c>
      <c r="D26" s="5" t="s">
        <v>44</v>
      </c>
      <c r="E26" s="5" t="s">
        <v>543</v>
      </c>
      <c r="F26" s="5"/>
      <c r="G26" s="5" t="s">
        <v>603</v>
      </c>
      <c r="H26" s="5" t="s">
        <v>604</v>
      </c>
      <c r="I26" s="5" t="s">
        <v>605</v>
      </c>
      <c r="J26" s="3">
        <v>80</v>
      </c>
      <c r="K26" s="3" t="s">
        <v>19</v>
      </c>
      <c r="L26" s="4">
        <v>22.085000000000001</v>
      </c>
      <c r="M26" s="3" t="s">
        <v>33</v>
      </c>
      <c r="N26" s="4">
        <f>Tabla16[[#This Row],[Price]]*Tabla16[[#This Row],[QTY Adjusted]]</f>
        <v>1766.8000000000002</v>
      </c>
      <c r="O26" s="4">
        <v>1766.8000000000002</v>
      </c>
      <c r="P26" s="1" t="s">
        <v>4228</v>
      </c>
    </row>
    <row r="27" spans="1:16" ht="42" customHeight="1" x14ac:dyDescent="0.3">
      <c r="A27" s="5">
        <v>251</v>
      </c>
      <c r="B27" s="5" t="s">
        <v>542</v>
      </c>
      <c r="C27" s="5" t="s">
        <v>223</v>
      </c>
      <c r="D27" s="5" t="s">
        <v>199</v>
      </c>
      <c r="E27" s="5" t="s">
        <v>543</v>
      </c>
      <c r="F27" s="5"/>
      <c r="G27" s="5" t="s">
        <v>664</v>
      </c>
      <c r="H27" s="5" t="s">
        <v>112</v>
      </c>
      <c r="I27" s="5" t="s">
        <v>665</v>
      </c>
      <c r="J27" s="3">
        <v>24</v>
      </c>
      <c r="K27" s="3" t="s">
        <v>19</v>
      </c>
      <c r="L27" s="4">
        <v>77.00348249999999</v>
      </c>
      <c r="M27" s="3" t="s">
        <v>33</v>
      </c>
      <c r="N27" s="4">
        <f>Tabla16[[#This Row],[Price]]*Tabla16[[#This Row],[QTY Adjusted]]</f>
        <v>1848.0835799999998</v>
      </c>
      <c r="O27" s="4">
        <v>1848.0835799999998</v>
      </c>
      <c r="P27" s="1" t="s">
        <v>4228</v>
      </c>
    </row>
    <row r="28" spans="1:16" ht="42" customHeight="1" x14ac:dyDescent="0.3">
      <c r="A28" s="5">
        <v>210</v>
      </c>
      <c r="B28" s="5" t="s">
        <v>542</v>
      </c>
      <c r="C28" s="5" t="s">
        <v>34</v>
      </c>
      <c r="D28" s="5" t="s">
        <v>15</v>
      </c>
      <c r="E28" s="5" t="s">
        <v>543</v>
      </c>
      <c r="F28" s="5"/>
      <c r="G28" s="5" t="s">
        <v>178</v>
      </c>
      <c r="H28" s="5" t="s">
        <v>552</v>
      </c>
      <c r="I28" s="5" t="s">
        <v>553</v>
      </c>
      <c r="J28" s="3">
        <v>28</v>
      </c>
      <c r="K28" s="3" t="s">
        <v>19</v>
      </c>
      <c r="L28" s="4">
        <v>56.8</v>
      </c>
      <c r="M28" s="3" t="s">
        <v>28</v>
      </c>
      <c r="N28" s="4">
        <f>Tabla16[[#This Row],[Price]]*Tabla16[[#This Row],[QTY Adjusted]]</f>
        <v>1590.3999999999999</v>
      </c>
      <c r="O28" s="4">
        <v>1844.8639999999998</v>
      </c>
      <c r="P28" s="1" t="s">
        <v>4228</v>
      </c>
    </row>
    <row r="29" spans="1:16" ht="42" customHeight="1" x14ac:dyDescent="0.3">
      <c r="A29" s="5">
        <v>263</v>
      </c>
      <c r="B29" s="5" t="s">
        <v>542</v>
      </c>
      <c r="C29" s="5" t="s">
        <v>134</v>
      </c>
      <c r="D29" s="5" t="s">
        <v>44</v>
      </c>
      <c r="E29" s="5" t="s">
        <v>543</v>
      </c>
      <c r="F29" s="5"/>
      <c r="G29" s="5" t="s">
        <v>691</v>
      </c>
      <c r="H29" s="5" t="s">
        <v>692</v>
      </c>
      <c r="I29" s="5" t="s">
        <v>693</v>
      </c>
      <c r="J29" s="3">
        <v>135</v>
      </c>
      <c r="K29" s="3" t="s">
        <v>19</v>
      </c>
      <c r="L29" s="4">
        <v>11.7</v>
      </c>
      <c r="M29" s="3" t="s">
        <v>33</v>
      </c>
      <c r="N29" s="4">
        <f>Tabla16[[#This Row],[Price]]*Tabla16[[#This Row],[QTY Adjusted]]</f>
        <v>1579.5</v>
      </c>
      <c r="O29" s="4">
        <v>1579.5</v>
      </c>
      <c r="P29" s="1" t="s">
        <v>4228</v>
      </c>
    </row>
    <row r="30" spans="1:16" ht="42" customHeight="1" x14ac:dyDescent="0.3">
      <c r="A30" s="5">
        <v>234</v>
      </c>
      <c r="B30" s="5" t="s">
        <v>542</v>
      </c>
      <c r="C30" s="5" t="s">
        <v>130</v>
      </c>
      <c r="D30" s="5" t="s">
        <v>130</v>
      </c>
      <c r="E30" s="5" t="s">
        <v>543</v>
      </c>
      <c r="F30" s="5"/>
      <c r="G30" s="5" t="s">
        <v>614</v>
      </c>
      <c r="H30" s="5" t="s">
        <v>615</v>
      </c>
      <c r="I30" s="5" t="s">
        <v>616</v>
      </c>
      <c r="J30" s="3">
        <v>80</v>
      </c>
      <c r="K30" s="3" t="s">
        <v>19</v>
      </c>
      <c r="L30" s="4">
        <v>19.600235594533899</v>
      </c>
      <c r="M30" s="3" t="s">
        <v>33</v>
      </c>
      <c r="N30" s="4">
        <f>Tabla16[[#This Row],[Price]]*Tabla16[[#This Row],[QTY Adjusted]]</f>
        <v>1568.0188475627119</v>
      </c>
      <c r="O30" s="4">
        <v>1568.0188475627119</v>
      </c>
      <c r="P30" s="1" t="s">
        <v>4228</v>
      </c>
    </row>
    <row r="31" spans="1:16" ht="42" customHeight="1" x14ac:dyDescent="0.3">
      <c r="A31" s="5">
        <v>236</v>
      </c>
      <c r="B31" s="5" t="s">
        <v>542</v>
      </c>
      <c r="C31" s="5" t="s">
        <v>130</v>
      </c>
      <c r="D31" s="5" t="s">
        <v>130</v>
      </c>
      <c r="E31" s="5" t="s">
        <v>543</v>
      </c>
      <c r="F31" s="5"/>
      <c r="G31" s="5" t="s">
        <v>620</v>
      </c>
      <c r="H31" s="5" t="s">
        <v>621</v>
      </c>
      <c r="I31" s="5" t="s">
        <v>622</v>
      </c>
      <c r="J31" s="3">
        <v>202</v>
      </c>
      <c r="K31" s="3" t="s">
        <v>19</v>
      </c>
      <c r="L31" s="4">
        <v>7.6231625578117201</v>
      </c>
      <c r="M31" s="3" t="s">
        <v>33</v>
      </c>
      <c r="N31" s="4">
        <f>Tabla16[[#This Row],[Price]]*Tabla16[[#This Row],[QTY Adjusted]]</f>
        <v>1539.8788366779675</v>
      </c>
      <c r="O31" s="4">
        <v>1539.8788366779675</v>
      </c>
      <c r="P31" s="1" t="s">
        <v>4228</v>
      </c>
    </row>
    <row r="32" spans="1:16" ht="42" customHeight="1" x14ac:dyDescent="0.3">
      <c r="A32" s="5">
        <v>229</v>
      </c>
      <c r="B32" s="5" t="s">
        <v>542</v>
      </c>
      <c r="C32" s="5" t="s">
        <v>130</v>
      </c>
      <c r="D32" s="5" t="s">
        <v>130</v>
      </c>
      <c r="E32" s="5" t="s">
        <v>543</v>
      </c>
      <c r="F32" s="5"/>
      <c r="G32" s="5" t="s">
        <v>600</v>
      </c>
      <c r="H32" s="5" t="s">
        <v>601</v>
      </c>
      <c r="I32" s="5" t="s">
        <v>602</v>
      </c>
      <c r="J32" s="3">
        <v>137</v>
      </c>
      <c r="K32" s="3" t="s">
        <v>19</v>
      </c>
      <c r="L32" s="4">
        <v>11.060460304320015</v>
      </c>
      <c r="M32" s="3" t="s">
        <v>33</v>
      </c>
      <c r="N32" s="4">
        <f>Tabla16[[#This Row],[Price]]*Tabla16[[#This Row],[QTY Adjusted]]</f>
        <v>1515.283061691842</v>
      </c>
      <c r="O32" s="4">
        <v>1515.283061691842</v>
      </c>
      <c r="P32" s="1" t="s">
        <v>4228</v>
      </c>
    </row>
    <row r="33" spans="1:16" ht="42" customHeight="1" x14ac:dyDescent="0.3">
      <c r="A33" s="5">
        <v>262</v>
      </c>
      <c r="B33" s="5" t="s">
        <v>542</v>
      </c>
      <c r="C33" s="5" t="s">
        <v>134</v>
      </c>
      <c r="D33" s="5" t="s">
        <v>44</v>
      </c>
      <c r="E33" s="5" t="s">
        <v>543</v>
      </c>
      <c r="F33" s="5"/>
      <c r="G33" s="5" t="s">
        <v>135</v>
      </c>
      <c r="H33" s="5" t="s">
        <v>690</v>
      </c>
      <c r="I33" s="5" t="s">
        <v>137</v>
      </c>
      <c r="J33" s="3">
        <v>135</v>
      </c>
      <c r="K33" s="3" t="s">
        <v>19</v>
      </c>
      <c r="L33" s="4">
        <v>11.186500000000001</v>
      </c>
      <c r="M33" s="3" t="s">
        <v>33</v>
      </c>
      <c r="N33" s="4">
        <f>Tabla16[[#This Row],[Price]]*Tabla16[[#This Row],[QTY Adjusted]]</f>
        <v>1510.1775</v>
      </c>
      <c r="O33" s="4">
        <v>1510.1775</v>
      </c>
      <c r="P33" s="1" t="s">
        <v>4228</v>
      </c>
    </row>
    <row r="34" spans="1:16" ht="42" customHeight="1" x14ac:dyDescent="0.3">
      <c r="A34" s="5">
        <v>232</v>
      </c>
      <c r="B34" s="5" t="s">
        <v>542</v>
      </c>
      <c r="C34" s="5" t="s">
        <v>130</v>
      </c>
      <c r="D34" s="5" t="s">
        <v>130</v>
      </c>
      <c r="E34" s="5" t="s">
        <v>543</v>
      </c>
      <c r="F34" s="5"/>
      <c r="G34" s="5" t="s">
        <v>609</v>
      </c>
      <c r="H34" s="5" t="s">
        <v>607</v>
      </c>
      <c r="I34" s="5" t="s">
        <v>610</v>
      </c>
      <c r="J34" s="3">
        <v>80</v>
      </c>
      <c r="K34" s="3" t="s">
        <v>19</v>
      </c>
      <c r="L34" s="4">
        <v>17.110104338174601</v>
      </c>
      <c r="M34" s="3" t="s">
        <v>33</v>
      </c>
      <c r="N34" s="4">
        <f>Tabla16[[#This Row],[Price]]*Tabla16[[#This Row],[QTY Adjusted]]</f>
        <v>1368.8083470539682</v>
      </c>
      <c r="O34" s="4">
        <v>1368.8083470539682</v>
      </c>
      <c r="P34" s="1" t="s">
        <v>4228</v>
      </c>
    </row>
    <row r="35" spans="1:16" ht="42" customHeight="1" x14ac:dyDescent="0.3">
      <c r="A35" s="5">
        <v>237</v>
      </c>
      <c r="B35" s="5" t="s">
        <v>542</v>
      </c>
      <c r="C35" s="5" t="s">
        <v>130</v>
      </c>
      <c r="D35" s="5" t="s">
        <v>130</v>
      </c>
      <c r="E35" s="5" t="s">
        <v>543</v>
      </c>
      <c r="F35" s="5"/>
      <c r="G35" s="5" t="s">
        <v>623</v>
      </c>
      <c r="H35" s="5" t="s">
        <v>624</v>
      </c>
      <c r="I35" s="5" t="s">
        <v>625</v>
      </c>
      <c r="J35" s="3">
        <v>24</v>
      </c>
      <c r="K35" s="3" t="s">
        <v>19</v>
      </c>
      <c r="L35" s="4">
        <v>65.919732338592397</v>
      </c>
      <c r="M35" s="3" t="s">
        <v>33</v>
      </c>
      <c r="N35" s="4">
        <f>Tabla16[[#This Row],[Price]]*Tabla16[[#This Row],[QTY Adjusted]]</f>
        <v>1582.0735761262176</v>
      </c>
      <c r="O35" s="4">
        <v>1582.0735761262176</v>
      </c>
      <c r="P35" s="1" t="s">
        <v>4228</v>
      </c>
    </row>
    <row r="36" spans="1:16" ht="42" customHeight="1" x14ac:dyDescent="0.3">
      <c r="A36" s="5">
        <v>208</v>
      </c>
      <c r="B36" s="5" t="s">
        <v>542</v>
      </c>
      <c r="C36" s="5" t="s">
        <v>130</v>
      </c>
      <c r="D36" s="5" t="s">
        <v>130</v>
      </c>
      <c r="E36" s="5" t="s">
        <v>543</v>
      </c>
      <c r="F36" s="5"/>
      <c r="G36" s="5" t="s">
        <v>546</v>
      </c>
      <c r="H36" s="5" t="s">
        <v>547</v>
      </c>
      <c r="I36" s="5" t="s">
        <v>548</v>
      </c>
      <c r="J36" s="3">
        <v>2</v>
      </c>
      <c r="K36" s="3" t="s">
        <v>19</v>
      </c>
      <c r="L36" s="4">
        <v>729.70344044715171</v>
      </c>
      <c r="M36" s="3" t="s">
        <v>33</v>
      </c>
      <c r="N36" s="4">
        <f>Tabla16[[#This Row],[Price]]*Tabla16[[#This Row],[QTY Adjusted]]</f>
        <v>1459.4068808943034</v>
      </c>
      <c r="O36" s="4">
        <v>1459.4068808943034</v>
      </c>
      <c r="P36" s="1" t="s">
        <v>4228</v>
      </c>
    </row>
    <row r="37" spans="1:16" ht="42" customHeight="1" x14ac:dyDescent="0.3">
      <c r="A37" s="5">
        <v>214</v>
      </c>
      <c r="B37" s="5" t="s">
        <v>542</v>
      </c>
      <c r="C37" s="5" t="s">
        <v>561</v>
      </c>
      <c r="D37" s="5" t="s">
        <v>15</v>
      </c>
      <c r="E37" s="5" t="s">
        <v>543</v>
      </c>
      <c r="F37" s="5"/>
      <c r="G37" s="5" t="s">
        <v>562</v>
      </c>
      <c r="H37" s="5" t="s">
        <v>563</v>
      </c>
      <c r="I37" s="5" t="s">
        <v>564</v>
      </c>
      <c r="J37" s="3">
        <v>48</v>
      </c>
      <c r="K37" s="3" t="s">
        <v>19</v>
      </c>
      <c r="L37" s="4">
        <v>26.565000000000001</v>
      </c>
      <c r="M37" s="3" t="s">
        <v>33</v>
      </c>
      <c r="N37" s="4">
        <f>Tabla16[[#This Row],[Price]]*Tabla16[[#This Row],[QTY Adjusted]]</f>
        <v>1275.1200000000001</v>
      </c>
      <c r="O37" s="4">
        <v>1275.1200000000001</v>
      </c>
      <c r="P37" s="1" t="s">
        <v>4228</v>
      </c>
    </row>
    <row r="38" spans="1:16" ht="42" customHeight="1" x14ac:dyDescent="0.3">
      <c r="A38" s="5">
        <v>226</v>
      </c>
      <c r="B38" s="5" t="s">
        <v>542</v>
      </c>
      <c r="C38" s="5" t="s">
        <v>591</v>
      </c>
      <c r="D38" s="5" t="s">
        <v>44</v>
      </c>
      <c r="E38" s="5" t="s">
        <v>543</v>
      </c>
      <c r="F38" s="5"/>
      <c r="G38" s="5" t="s">
        <v>592</v>
      </c>
      <c r="H38" s="5" t="s">
        <v>593</v>
      </c>
      <c r="I38" s="5" t="s">
        <v>594</v>
      </c>
      <c r="J38" s="3">
        <v>137</v>
      </c>
      <c r="K38" s="3" t="s">
        <v>19</v>
      </c>
      <c r="L38" s="4">
        <v>7.9550000000000001</v>
      </c>
      <c r="M38" s="3" t="s">
        <v>33</v>
      </c>
      <c r="N38" s="4">
        <f>Tabla16[[#This Row],[Price]]*Tabla16[[#This Row],[QTY Adjusted]]</f>
        <v>1089.835</v>
      </c>
      <c r="O38" s="4">
        <v>1089.835</v>
      </c>
      <c r="P38" s="1" t="s">
        <v>4228</v>
      </c>
    </row>
    <row r="39" spans="1:16" ht="42" customHeight="1" x14ac:dyDescent="0.3">
      <c r="A39" s="6">
        <v>227</v>
      </c>
      <c r="B39" s="6" t="s">
        <v>542</v>
      </c>
      <c r="C39" s="6" t="s">
        <v>591</v>
      </c>
      <c r="D39" s="6" t="s">
        <v>44</v>
      </c>
      <c r="E39" s="6" t="s">
        <v>543</v>
      </c>
      <c r="F39" s="6"/>
      <c r="G39" s="6" t="s">
        <v>595</v>
      </c>
      <c r="H39" s="6" t="s">
        <v>593</v>
      </c>
      <c r="I39" s="6" t="s">
        <v>596</v>
      </c>
      <c r="J39">
        <v>137</v>
      </c>
      <c r="K39" t="s">
        <v>19</v>
      </c>
      <c r="L39" s="1">
        <v>7.9550000000000001</v>
      </c>
      <c r="M39" t="s">
        <v>33</v>
      </c>
      <c r="N39" s="1">
        <f>Tabla16[[#This Row],[Price]]*Tabla16[[#This Row],[QTY Adjusted]]</f>
        <v>1089.835</v>
      </c>
      <c r="O39" s="1">
        <v>1089.835</v>
      </c>
      <c r="P39" s="1" t="s">
        <v>4228</v>
      </c>
    </row>
    <row r="40" spans="1:16" ht="42" customHeight="1" x14ac:dyDescent="0.3">
      <c r="A40" s="6">
        <v>235</v>
      </c>
      <c r="B40" s="6" t="s">
        <v>542</v>
      </c>
      <c r="C40" s="6" t="s">
        <v>591</v>
      </c>
      <c r="D40" s="6" t="s">
        <v>44</v>
      </c>
      <c r="E40" s="6" t="s">
        <v>543</v>
      </c>
      <c r="F40" s="6"/>
      <c r="G40" s="6" t="s">
        <v>617</v>
      </c>
      <c r="H40" s="6" t="s">
        <v>618</v>
      </c>
      <c r="I40" s="6" t="s">
        <v>619</v>
      </c>
      <c r="J40">
        <v>36</v>
      </c>
      <c r="K40" t="s">
        <v>19</v>
      </c>
      <c r="L40" s="1">
        <v>29.155000000000001</v>
      </c>
      <c r="M40" t="s">
        <v>33</v>
      </c>
      <c r="N40" s="1">
        <f>Tabla16[[#This Row],[Price]]*Tabla16[[#This Row],[QTY Adjusted]]</f>
        <v>1049.58</v>
      </c>
      <c r="O40" s="1">
        <v>1049.58</v>
      </c>
      <c r="P40" s="1" t="s">
        <v>4228</v>
      </c>
    </row>
    <row r="41" spans="1:16" ht="42" customHeight="1" x14ac:dyDescent="0.3">
      <c r="A41" s="6">
        <v>261</v>
      </c>
      <c r="B41" s="6" t="s">
        <v>542</v>
      </c>
      <c r="C41" s="6" t="s">
        <v>130</v>
      </c>
      <c r="D41" s="6" t="s">
        <v>130</v>
      </c>
      <c r="E41" s="6" t="s">
        <v>543</v>
      </c>
      <c r="F41" s="6"/>
      <c r="G41" s="6" t="s">
        <v>688</v>
      </c>
      <c r="H41" s="6" t="s">
        <v>132</v>
      </c>
      <c r="I41" s="6" t="s">
        <v>689</v>
      </c>
      <c r="J41">
        <v>202</v>
      </c>
      <c r="K41" t="s">
        <v>19</v>
      </c>
      <c r="L41" s="1">
        <v>5.0599679677101799</v>
      </c>
      <c r="M41" t="s">
        <v>33</v>
      </c>
      <c r="N41" s="1">
        <f>Tabla16[[#This Row],[Price]]*Tabla16[[#This Row],[QTY Adjusted]]</f>
        <v>1022.1135294774564</v>
      </c>
      <c r="O41" s="1">
        <v>1022.1135294774564</v>
      </c>
      <c r="P41" s="1" t="s">
        <v>4228</v>
      </c>
    </row>
    <row r="42" spans="1:16" ht="42" customHeight="1" x14ac:dyDescent="0.3">
      <c r="A42" s="6">
        <v>327</v>
      </c>
      <c r="B42" s="6" t="s">
        <v>542</v>
      </c>
      <c r="C42" s="6" t="s">
        <v>361</v>
      </c>
      <c r="D42" s="6" t="s">
        <v>362</v>
      </c>
      <c r="E42" s="6" t="s">
        <v>741</v>
      </c>
      <c r="F42" s="6"/>
      <c r="G42" s="6" t="s">
        <v>369</v>
      </c>
      <c r="H42" s="6" t="s">
        <v>347</v>
      </c>
      <c r="I42" s="6" t="s">
        <v>370</v>
      </c>
      <c r="J42">
        <v>18</v>
      </c>
      <c r="K42" t="s">
        <v>19</v>
      </c>
      <c r="L42" s="1">
        <v>65.73294117647059</v>
      </c>
      <c r="M42" t="s">
        <v>33</v>
      </c>
      <c r="N42" s="1">
        <f>Tabla16[[#This Row],[Price]]*Tabla16[[#This Row],[QTY Adjusted]]</f>
        <v>1183.1929411764706</v>
      </c>
      <c r="O42" s="1">
        <v>1183.1929411764706</v>
      </c>
      <c r="P42" s="1" t="s">
        <v>4228</v>
      </c>
    </row>
    <row r="43" spans="1:16" ht="42" customHeight="1" x14ac:dyDescent="0.3">
      <c r="A43" s="6">
        <v>258</v>
      </c>
      <c r="B43" s="6" t="s">
        <v>542</v>
      </c>
      <c r="C43" s="6" t="s">
        <v>357</v>
      </c>
      <c r="D43" s="6" t="s">
        <v>93</v>
      </c>
      <c r="E43" s="6" t="s">
        <v>543</v>
      </c>
      <c r="F43" s="6"/>
      <c r="G43" s="6" t="s">
        <v>679</v>
      </c>
      <c r="H43" s="6" t="s">
        <v>125</v>
      </c>
      <c r="I43" s="6" t="s">
        <v>680</v>
      </c>
      <c r="J43">
        <v>24</v>
      </c>
      <c r="K43" t="s">
        <v>19</v>
      </c>
      <c r="L43" s="1">
        <v>48.49</v>
      </c>
      <c r="M43" t="s">
        <v>33</v>
      </c>
      <c r="N43" s="1">
        <f>Tabla16[[#This Row],[Price]]*Tabla16[[#This Row],[QTY Adjusted]]</f>
        <v>1163.76</v>
      </c>
      <c r="O43" s="1">
        <v>1163.76</v>
      </c>
      <c r="P43" s="1" t="s">
        <v>4228</v>
      </c>
    </row>
    <row r="44" spans="1:16" ht="42" customHeight="1" x14ac:dyDescent="0.3">
      <c r="A44" s="6">
        <v>259</v>
      </c>
      <c r="B44" s="6" t="s">
        <v>542</v>
      </c>
      <c r="C44" s="6" t="s">
        <v>681</v>
      </c>
      <c r="D44" s="6" t="s">
        <v>1490</v>
      </c>
      <c r="E44" s="6" t="s">
        <v>543</v>
      </c>
      <c r="F44" s="6"/>
      <c r="G44" s="6" t="s">
        <v>682</v>
      </c>
      <c r="H44" s="6" t="s">
        <v>128</v>
      </c>
      <c r="I44" s="6" t="s">
        <v>683</v>
      </c>
      <c r="J44">
        <v>18</v>
      </c>
      <c r="K44" t="s">
        <v>19</v>
      </c>
      <c r="L44" s="1">
        <v>64.540000000000006</v>
      </c>
      <c r="M44" t="s">
        <v>33</v>
      </c>
      <c r="N44" s="1">
        <f>Tabla16[[#This Row],[Price]]*Tabla16[[#This Row],[QTY Adjusted]]</f>
        <v>1161.72</v>
      </c>
      <c r="O44" s="1">
        <v>1161.72</v>
      </c>
      <c r="P44" s="1" t="s">
        <v>4228</v>
      </c>
    </row>
    <row r="45" spans="1:16" ht="42" customHeight="1" x14ac:dyDescent="0.3">
      <c r="A45" s="6">
        <v>265</v>
      </c>
      <c r="B45" s="6" t="s">
        <v>542</v>
      </c>
      <c r="C45" s="6" t="s">
        <v>134</v>
      </c>
      <c r="D45" s="6" t="s">
        <v>44</v>
      </c>
      <c r="E45" s="6" t="s">
        <v>543</v>
      </c>
      <c r="F45" s="6"/>
      <c r="G45" s="6" t="s">
        <v>694</v>
      </c>
      <c r="H45" s="6" t="s">
        <v>695</v>
      </c>
      <c r="I45" s="6" t="s">
        <v>696</v>
      </c>
      <c r="J45">
        <v>81</v>
      </c>
      <c r="K45" t="s">
        <v>19</v>
      </c>
      <c r="L45" s="1">
        <v>10.673</v>
      </c>
      <c r="M45" t="s">
        <v>33</v>
      </c>
      <c r="N45" s="1">
        <f>Tabla16[[#This Row],[Price]]*Tabla16[[#This Row],[QTY Adjusted]]</f>
        <v>864.51300000000003</v>
      </c>
      <c r="O45" s="1">
        <v>864.51300000000003</v>
      </c>
      <c r="P45" s="1" t="s">
        <v>4228</v>
      </c>
    </row>
    <row r="46" spans="1:16" ht="42" customHeight="1" x14ac:dyDescent="0.3">
      <c r="A46" s="6">
        <v>233</v>
      </c>
      <c r="B46" s="6" t="s">
        <v>542</v>
      </c>
      <c r="C46" s="6" t="s">
        <v>130</v>
      </c>
      <c r="D46" s="6" t="s">
        <v>130</v>
      </c>
      <c r="E46" s="6" t="s">
        <v>543</v>
      </c>
      <c r="F46" s="6"/>
      <c r="G46" s="6" t="s">
        <v>611</v>
      </c>
      <c r="H46" s="6" t="s">
        <v>612</v>
      </c>
      <c r="I46" s="6" t="s">
        <v>613</v>
      </c>
      <c r="J46">
        <v>80</v>
      </c>
      <c r="K46" t="s">
        <v>19</v>
      </c>
      <c r="L46" s="1">
        <v>10.479938907131899</v>
      </c>
      <c r="M46" t="s">
        <v>33</v>
      </c>
      <c r="N46" s="1">
        <f>Tabla16[[#This Row],[Price]]*Tabla16[[#This Row],[QTY Adjusted]]</f>
        <v>838.39511257055187</v>
      </c>
      <c r="O46" s="1">
        <v>838.39511257055187</v>
      </c>
      <c r="P46" s="1" t="s">
        <v>4228</v>
      </c>
    </row>
    <row r="47" spans="1:16" ht="42" customHeight="1" x14ac:dyDescent="0.3">
      <c r="A47" s="6">
        <v>276</v>
      </c>
      <c r="B47" s="6" t="s">
        <v>542</v>
      </c>
      <c r="C47" s="6" t="s">
        <v>223</v>
      </c>
      <c r="D47" s="6" t="s">
        <v>199</v>
      </c>
      <c r="E47" s="6" t="s">
        <v>543</v>
      </c>
      <c r="F47" s="6"/>
      <c r="G47" s="6">
        <v>200443</v>
      </c>
      <c r="H47" s="6" t="s">
        <v>190</v>
      </c>
      <c r="I47" s="6" t="s">
        <v>722</v>
      </c>
      <c r="J47">
        <v>18</v>
      </c>
      <c r="K47" t="s">
        <v>19</v>
      </c>
      <c r="L47" s="1">
        <v>46.258117500000004</v>
      </c>
      <c r="M47" t="s">
        <v>33</v>
      </c>
      <c r="N47" s="1">
        <f>Tabla16[[#This Row],[Price]]*Tabla16[[#This Row],[QTY Adjusted]]</f>
        <v>832.64611500000012</v>
      </c>
      <c r="O47" s="1">
        <v>832.64611500000012</v>
      </c>
      <c r="P47" s="1" t="s">
        <v>4228</v>
      </c>
    </row>
    <row r="48" spans="1:16" ht="42" customHeight="1" x14ac:dyDescent="0.3">
      <c r="A48" s="6">
        <v>215</v>
      </c>
      <c r="B48" s="6" t="s">
        <v>542</v>
      </c>
      <c r="C48" s="6" t="s">
        <v>124</v>
      </c>
      <c r="D48" s="6" t="s">
        <v>15</v>
      </c>
      <c r="E48" s="6" t="s">
        <v>543</v>
      </c>
      <c r="F48" s="6"/>
      <c r="G48" s="6" t="s">
        <v>565</v>
      </c>
      <c r="H48" s="6" t="s">
        <v>566</v>
      </c>
      <c r="I48" s="6" t="s">
        <v>567</v>
      </c>
      <c r="J48">
        <v>48</v>
      </c>
      <c r="K48" t="s">
        <v>19</v>
      </c>
      <c r="L48" s="1">
        <v>19</v>
      </c>
      <c r="M48" t="s">
        <v>33</v>
      </c>
      <c r="N48" s="1">
        <f>Tabla16[[#This Row],[Price]]*Tabla16[[#This Row],[QTY Adjusted]]</f>
        <v>912</v>
      </c>
      <c r="O48" s="1">
        <v>912</v>
      </c>
      <c r="P48" s="1" t="s">
        <v>4228</v>
      </c>
    </row>
    <row r="49" spans="1:16" ht="42" customHeight="1" x14ac:dyDescent="0.3">
      <c r="A49" s="6">
        <v>255</v>
      </c>
      <c r="B49" s="6" t="s">
        <v>542</v>
      </c>
      <c r="C49" s="6" t="s">
        <v>591</v>
      </c>
      <c r="D49" s="6" t="s">
        <v>44</v>
      </c>
      <c r="E49" s="6" t="s">
        <v>543</v>
      </c>
      <c r="F49" s="6"/>
      <c r="G49" s="6" t="s">
        <v>671</v>
      </c>
      <c r="H49" s="6" t="s">
        <v>118</v>
      </c>
      <c r="I49" s="6" t="s">
        <v>672</v>
      </c>
      <c r="J49">
        <v>24</v>
      </c>
      <c r="K49" t="s">
        <v>19</v>
      </c>
      <c r="L49" s="1">
        <v>34.034999999999997</v>
      </c>
      <c r="M49" t="s">
        <v>33</v>
      </c>
      <c r="N49" s="1">
        <f>Tabla16[[#This Row],[Price]]*Tabla16[[#This Row],[QTY Adjusted]]</f>
        <v>816.83999999999992</v>
      </c>
      <c r="O49" s="1">
        <v>816.83999999999992</v>
      </c>
      <c r="P49" s="1" t="s">
        <v>4228</v>
      </c>
    </row>
    <row r="50" spans="1:16" ht="42" customHeight="1" x14ac:dyDescent="0.3">
      <c r="A50" s="6">
        <v>244</v>
      </c>
      <c r="B50" s="6" t="s">
        <v>542</v>
      </c>
      <c r="C50" s="6" t="s">
        <v>632</v>
      </c>
      <c r="D50" s="6" t="s">
        <v>130</v>
      </c>
      <c r="E50" s="6" t="s">
        <v>543</v>
      </c>
      <c r="F50" s="6"/>
      <c r="G50" s="6" t="s">
        <v>645</v>
      </c>
      <c r="H50" s="6" t="s">
        <v>646</v>
      </c>
      <c r="I50" s="6" t="s">
        <v>647</v>
      </c>
      <c r="J50">
        <v>58</v>
      </c>
      <c r="K50" t="s">
        <v>19</v>
      </c>
      <c r="L50" s="1">
        <v>11.654865052252537</v>
      </c>
      <c r="M50" t="s">
        <v>33</v>
      </c>
      <c r="N50" s="1">
        <f>Tabla16[[#This Row],[Price]]*Tabla16[[#This Row],[QTY Adjusted]]</f>
        <v>675.98217303064712</v>
      </c>
      <c r="O50" s="1">
        <v>675.98217303064712</v>
      </c>
      <c r="P50" s="1" t="s">
        <v>4228</v>
      </c>
    </row>
    <row r="51" spans="1:16" ht="42" customHeight="1" x14ac:dyDescent="0.3">
      <c r="A51" s="6">
        <v>240</v>
      </c>
      <c r="B51" s="6" t="s">
        <v>542</v>
      </c>
      <c r="C51" s="6" t="s">
        <v>632</v>
      </c>
      <c r="D51" s="6" t="s">
        <v>130</v>
      </c>
      <c r="E51" s="6" t="s">
        <v>543</v>
      </c>
      <c r="F51" s="6"/>
      <c r="G51" s="6" t="s">
        <v>633</v>
      </c>
      <c r="H51" s="6" t="s">
        <v>634</v>
      </c>
      <c r="I51" s="6" t="s">
        <v>635</v>
      </c>
      <c r="J51">
        <v>22</v>
      </c>
      <c r="K51" t="s">
        <v>19</v>
      </c>
      <c r="L51" s="1">
        <v>24.257828167515434</v>
      </c>
      <c r="M51" t="s">
        <v>33</v>
      </c>
      <c r="N51" s="1">
        <f>Tabla16[[#This Row],[Price]]*Tabla16[[#This Row],[QTY Adjusted]]</f>
        <v>533.67221968533954</v>
      </c>
      <c r="O51" s="1">
        <v>533.67221968533954</v>
      </c>
      <c r="P51" s="1" t="s">
        <v>4228</v>
      </c>
    </row>
    <row r="52" spans="1:16" ht="42" customHeight="1" x14ac:dyDescent="0.3">
      <c r="A52" s="6">
        <v>242</v>
      </c>
      <c r="B52" s="6" t="s">
        <v>542</v>
      </c>
      <c r="C52" s="6" t="s">
        <v>632</v>
      </c>
      <c r="D52" s="6" t="s">
        <v>130</v>
      </c>
      <c r="E52" s="6" t="s">
        <v>543</v>
      </c>
      <c r="F52" s="6"/>
      <c r="G52" s="6" t="s">
        <v>639</v>
      </c>
      <c r="H52" s="6" t="s">
        <v>640</v>
      </c>
      <c r="I52" s="6" t="s">
        <v>641</v>
      </c>
      <c r="J52">
        <v>22</v>
      </c>
      <c r="K52" t="s">
        <v>19</v>
      </c>
      <c r="L52" s="1">
        <v>22.623616585703868</v>
      </c>
      <c r="M52" t="s">
        <v>33</v>
      </c>
      <c r="N52" s="1">
        <f>Tabla16[[#This Row],[Price]]*Tabla16[[#This Row],[QTY Adjusted]]</f>
        <v>497.71956488548511</v>
      </c>
      <c r="O52" s="1">
        <v>497.71956488548511</v>
      </c>
      <c r="P52" s="1" t="s">
        <v>4228</v>
      </c>
    </row>
    <row r="53" spans="1:16" ht="42" customHeight="1" x14ac:dyDescent="0.3">
      <c r="A53" s="6">
        <v>313</v>
      </c>
      <c r="B53" s="6" t="s">
        <v>542</v>
      </c>
      <c r="C53" s="6" t="s">
        <v>325</v>
      </c>
      <c r="D53" s="6"/>
      <c r="E53" s="6" t="s">
        <v>741</v>
      </c>
      <c r="F53" s="6"/>
      <c r="G53" s="6" t="s">
        <v>326</v>
      </c>
      <c r="H53" s="6" t="s">
        <v>327</v>
      </c>
      <c r="I53" s="6" t="s">
        <v>328</v>
      </c>
      <c r="J53">
        <v>2</v>
      </c>
      <c r="K53" t="s">
        <v>19</v>
      </c>
      <c r="L53" s="1">
        <v>250</v>
      </c>
      <c r="M53" t="s">
        <v>33</v>
      </c>
      <c r="N53" s="1">
        <f>Tabla16[[#This Row],[Price]]*Tabla16[[#This Row],[QTY Adjusted]]</f>
        <v>500</v>
      </c>
      <c r="O53" s="1">
        <v>500</v>
      </c>
      <c r="P53" s="1" t="s">
        <v>4228</v>
      </c>
    </row>
    <row r="54" spans="1:16" ht="42" customHeight="1" x14ac:dyDescent="0.3">
      <c r="A54" s="6">
        <v>267</v>
      </c>
      <c r="B54" s="6" t="s">
        <v>542</v>
      </c>
      <c r="C54" s="6" t="s">
        <v>134</v>
      </c>
      <c r="D54" s="6" t="s">
        <v>44</v>
      </c>
      <c r="E54" s="6" t="s">
        <v>543</v>
      </c>
      <c r="F54" s="6"/>
      <c r="G54" s="6" t="s">
        <v>699</v>
      </c>
      <c r="H54" s="6" t="s">
        <v>145</v>
      </c>
      <c r="I54" s="6" t="s">
        <v>700</v>
      </c>
      <c r="J54">
        <v>68</v>
      </c>
      <c r="K54" t="s">
        <v>19</v>
      </c>
      <c r="L54" s="1">
        <v>5.7850000000000001</v>
      </c>
      <c r="M54" t="s">
        <v>33</v>
      </c>
      <c r="N54" s="1">
        <f>Tabla16[[#This Row],[Price]]*Tabla16[[#This Row],[QTY Adjusted]]</f>
        <v>393.38</v>
      </c>
      <c r="O54" s="1">
        <v>393.38</v>
      </c>
      <c r="P54" s="1" t="s">
        <v>4228</v>
      </c>
    </row>
    <row r="55" spans="1:16" ht="42" customHeight="1" x14ac:dyDescent="0.3">
      <c r="A55" s="6">
        <v>260</v>
      </c>
      <c r="B55" s="6" t="s">
        <v>542</v>
      </c>
      <c r="C55" s="6" t="s">
        <v>684</v>
      </c>
      <c r="D55" s="6" t="s">
        <v>15</v>
      </c>
      <c r="E55" s="6"/>
      <c r="F55" s="6"/>
      <c r="G55" s="6" t="s">
        <v>685</v>
      </c>
      <c r="H55" s="6" t="s">
        <v>686</v>
      </c>
      <c r="I55" s="6" t="s">
        <v>687</v>
      </c>
      <c r="J55">
        <v>4</v>
      </c>
      <c r="K55" t="s">
        <v>19</v>
      </c>
      <c r="L55" s="1">
        <v>110.07</v>
      </c>
      <c r="M55" t="s">
        <v>33</v>
      </c>
      <c r="N55" s="1">
        <f>Tabla16[[#This Row],[Price]]*Tabla16[[#This Row],[QTY Adjusted]]</f>
        <v>440.28</v>
      </c>
      <c r="O55" s="1">
        <v>440.28</v>
      </c>
      <c r="P55" s="1" t="s">
        <v>4228</v>
      </c>
    </row>
    <row r="56" spans="1:16" ht="42" customHeight="1" x14ac:dyDescent="0.3">
      <c r="A56" s="6">
        <v>241</v>
      </c>
      <c r="B56" s="6" t="s">
        <v>542</v>
      </c>
      <c r="C56" s="6" t="s">
        <v>632</v>
      </c>
      <c r="D56" s="6" t="s">
        <v>130</v>
      </c>
      <c r="E56" s="6" t="s">
        <v>543</v>
      </c>
      <c r="F56" s="6"/>
      <c r="G56" s="6" t="s">
        <v>636</v>
      </c>
      <c r="H56" s="6" t="s">
        <v>637</v>
      </c>
      <c r="I56" s="6" t="s">
        <v>638</v>
      </c>
      <c r="J56">
        <v>36</v>
      </c>
      <c r="K56" t="s">
        <v>19</v>
      </c>
      <c r="L56" s="1">
        <v>9.8313147379545178</v>
      </c>
      <c r="M56" t="s">
        <v>33</v>
      </c>
      <c r="N56" s="1">
        <f>Tabla16[[#This Row],[Price]]*Tabla16[[#This Row],[QTY Adjusted]]</f>
        <v>353.92733056636263</v>
      </c>
      <c r="O56" s="1">
        <v>353.92733056636263</v>
      </c>
      <c r="P56" s="1" t="s">
        <v>4228</v>
      </c>
    </row>
    <row r="57" spans="1:16" ht="42" customHeight="1" x14ac:dyDescent="0.3">
      <c r="A57" s="6">
        <v>264</v>
      </c>
      <c r="B57" s="6" t="s">
        <v>542</v>
      </c>
      <c r="C57" s="6" t="s">
        <v>134</v>
      </c>
      <c r="D57" s="6" t="s">
        <v>44</v>
      </c>
      <c r="E57" s="6" t="s">
        <v>543</v>
      </c>
      <c r="F57" s="6"/>
      <c r="G57" s="6" t="s">
        <v>138</v>
      </c>
      <c r="H57" s="6" t="s">
        <v>139</v>
      </c>
      <c r="I57" s="6" t="s">
        <v>140</v>
      </c>
      <c r="J57">
        <v>29</v>
      </c>
      <c r="K57" t="s">
        <v>19</v>
      </c>
      <c r="L57" s="1">
        <v>12.1225</v>
      </c>
      <c r="M57" t="s">
        <v>33</v>
      </c>
      <c r="N57" s="1">
        <f>Tabla16[[#This Row],[Price]]*Tabla16[[#This Row],[QTY Adjusted]]</f>
        <v>351.55250000000001</v>
      </c>
      <c r="O57" s="1">
        <v>351.55250000000001</v>
      </c>
      <c r="P57" s="1" t="s">
        <v>4228</v>
      </c>
    </row>
    <row r="58" spans="1:16" ht="42" customHeight="1" x14ac:dyDescent="0.3">
      <c r="A58" s="6">
        <v>285</v>
      </c>
      <c r="B58" s="6" t="s">
        <v>542</v>
      </c>
      <c r="C58" s="6" t="s">
        <v>237</v>
      </c>
      <c r="D58" s="6" t="s">
        <v>93</v>
      </c>
      <c r="E58" s="6" t="s">
        <v>741</v>
      </c>
      <c r="F58" s="6"/>
      <c r="G58" s="6" t="s">
        <v>743</v>
      </c>
      <c r="H58" s="6" t="s">
        <v>239</v>
      </c>
      <c r="I58" s="6" t="s">
        <v>744</v>
      </c>
      <c r="J58">
        <v>4</v>
      </c>
      <c r="K58" t="s">
        <v>19</v>
      </c>
      <c r="L58" s="1">
        <v>99.59</v>
      </c>
      <c r="M58" t="s">
        <v>33</v>
      </c>
      <c r="N58" s="1">
        <f>Tabla16[[#This Row],[Price]]*Tabla16[[#This Row],[QTY Adjusted]]</f>
        <v>398.36</v>
      </c>
      <c r="O58" s="1">
        <v>398.36</v>
      </c>
      <c r="P58" s="1" t="s">
        <v>4228</v>
      </c>
    </row>
    <row r="59" spans="1:16" ht="42" customHeight="1" x14ac:dyDescent="0.3">
      <c r="A59" s="6">
        <v>274</v>
      </c>
      <c r="B59" s="6" t="s">
        <v>542</v>
      </c>
      <c r="C59" s="6" t="s">
        <v>134</v>
      </c>
      <c r="D59" s="6" t="s">
        <v>44</v>
      </c>
      <c r="E59" s="6" t="s">
        <v>543</v>
      </c>
      <c r="F59" s="6"/>
      <c r="G59" s="6" t="s">
        <v>150</v>
      </c>
      <c r="H59" s="6" t="s">
        <v>408</v>
      </c>
      <c r="I59" s="6" t="s">
        <v>152</v>
      </c>
      <c r="J59">
        <v>36</v>
      </c>
      <c r="K59" t="s">
        <v>19</v>
      </c>
      <c r="L59" s="1">
        <v>8.8919999999999995</v>
      </c>
      <c r="M59" t="s">
        <v>33</v>
      </c>
      <c r="N59" s="1">
        <f>Tabla16[[#This Row],[Price]]*Tabla16[[#This Row],[QTY Adjusted]]</f>
        <v>320.11199999999997</v>
      </c>
      <c r="O59" s="1">
        <v>320.11199999999997</v>
      </c>
      <c r="P59" s="1" t="s">
        <v>4228</v>
      </c>
    </row>
    <row r="60" spans="1:16" ht="42" customHeight="1" x14ac:dyDescent="0.3">
      <c r="A60" s="6">
        <v>238</v>
      </c>
      <c r="B60" s="6" t="s">
        <v>542</v>
      </c>
      <c r="C60" s="6" t="s">
        <v>232</v>
      </c>
      <c r="D60" s="6" t="s">
        <v>233</v>
      </c>
      <c r="E60" s="6" t="s">
        <v>543</v>
      </c>
      <c r="F60" s="6"/>
      <c r="G60" s="6" t="s">
        <v>626</v>
      </c>
      <c r="H60" s="6" t="s">
        <v>627</v>
      </c>
      <c r="I60" s="6" t="s">
        <v>628</v>
      </c>
      <c r="J60">
        <v>58</v>
      </c>
      <c r="K60" t="s">
        <v>19</v>
      </c>
      <c r="L60" s="1">
        <v>5.44</v>
      </c>
      <c r="M60" t="s">
        <v>33</v>
      </c>
      <c r="N60" s="1">
        <f>Tabla16[[#This Row],[Price]]*Tabla16[[#This Row],[QTY Adjusted]]</f>
        <v>315.52000000000004</v>
      </c>
      <c r="O60" s="1">
        <v>315.52000000000004</v>
      </c>
      <c r="P60" s="1" t="s">
        <v>4228</v>
      </c>
    </row>
    <row r="61" spans="1:16" ht="42" customHeight="1" x14ac:dyDescent="0.3">
      <c r="A61" s="6">
        <v>287</v>
      </c>
      <c r="B61" s="6" t="s">
        <v>542</v>
      </c>
      <c r="C61" s="6" t="s">
        <v>228</v>
      </c>
      <c r="D61" s="6" t="s">
        <v>44</v>
      </c>
      <c r="E61" s="6" t="s">
        <v>741</v>
      </c>
      <c r="F61" s="6"/>
      <c r="G61" s="6" t="s">
        <v>247</v>
      </c>
      <c r="H61" s="6" t="s">
        <v>248</v>
      </c>
      <c r="I61" s="6" t="s">
        <v>249</v>
      </c>
      <c r="J61">
        <v>0</v>
      </c>
      <c r="K61" t="s">
        <v>748</v>
      </c>
      <c r="L61" s="1">
        <v>364.5</v>
      </c>
      <c r="M61" t="s">
        <v>33</v>
      </c>
      <c r="N61" s="1">
        <f>Tabla16[[#This Row],[Price]]*Tabla16[[#This Row],[QTY Adjusted]]</f>
        <v>0</v>
      </c>
      <c r="O61" s="1">
        <v>0</v>
      </c>
      <c r="P61" s="1" t="s">
        <v>4228</v>
      </c>
    </row>
    <row r="62" spans="1:16" ht="42" customHeight="1" x14ac:dyDescent="0.3">
      <c r="A62" s="6">
        <v>288</v>
      </c>
      <c r="B62" s="6" t="s">
        <v>542</v>
      </c>
      <c r="C62" s="6" t="s">
        <v>228</v>
      </c>
      <c r="D62" s="6" t="s">
        <v>44</v>
      </c>
      <c r="E62" s="6" t="s">
        <v>741</v>
      </c>
      <c r="F62" s="6"/>
      <c r="G62" s="6" t="s">
        <v>250</v>
      </c>
      <c r="H62" s="6" t="s">
        <v>248</v>
      </c>
      <c r="I62" s="6" t="s">
        <v>251</v>
      </c>
      <c r="J62">
        <v>0</v>
      </c>
      <c r="K62" t="s">
        <v>748</v>
      </c>
      <c r="L62" s="1">
        <v>364.5</v>
      </c>
      <c r="M62" t="s">
        <v>33</v>
      </c>
      <c r="N62" s="1">
        <f>Tabla16[[#This Row],[Price]]*Tabla16[[#This Row],[QTY Adjusted]]</f>
        <v>0</v>
      </c>
      <c r="O62" s="1">
        <v>0</v>
      </c>
      <c r="P62" s="1" t="s">
        <v>4228</v>
      </c>
    </row>
    <row r="63" spans="1:16" ht="42" customHeight="1" x14ac:dyDescent="0.3">
      <c r="A63" s="6">
        <v>289</v>
      </c>
      <c r="B63" s="6" t="s">
        <v>542</v>
      </c>
      <c r="C63" s="6" t="s">
        <v>228</v>
      </c>
      <c r="D63" s="6" t="s">
        <v>44</v>
      </c>
      <c r="E63" s="6" t="s">
        <v>741</v>
      </c>
      <c r="F63" s="6"/>
      <c r="G63" s="6" t="s">
        <v>252</v>
      </c>
      <c r="H63" s="6" t="s">
        <v>248</v>
      </c>
      <c r="I63" s="6" t="s">
        <v>253</v>
      </c>
      <c r="J63">
        <v>0</v>
      </c>
      <c r="K63" t="s">
        <v>748</v>
      </c>
      <c r="L63" s="1">
        <v>364.5</v>
      </c>
      <c r="M63" t="s">
        <v>33</v>
      </c>
      <c r="N63" s="1">
        <f>Tabla16[[#This Row],[Price]]*Tabla16[[#This Row],[QTY Adjusted]]</f>
        <v>0</v>
      </c>
      <c r="O63" s="1">
        <v>0</v>
      </c>
      <c r="P63" s="1" t="s">
        <v>4228</v>
      </c>
    </row>
    <row r="64" spans="1:16" ht="42" customHeight="1" x14ac:dyDescent="0.3">
      <c r="A64" s="6">
        <v>290</v>
      </c>
      <c r="B64" s="6" t="s">
        <v>542</v>
      </c>
      <c r="C64" s="6" t="s">
        <v>228</v>
      </c>
      <c r="D64" s="6" t="s">
        <v>44</v>
      </c>
      <c r="E64" s="6" t="s">
        <v>741</v>
      </c>
      <c r="F64" s="6"/>
      <c r="G64" s="6" t="s">
        <v>254</v>
      </c>
      <c r="H64" s="6" t="s">
        <v>248</v>
      </c>
      <c r="I64" s="6" t="s">
        <v>255</v>
      </c>
      <c r="J64">
        <v>0</v>
      </c>
      <c r="K64" t="s">
        <v>748</v>
      </c>
      <c r="L64" s="1">
        <v>364.5</v>
      </c>
      <c r="M64" t="s">
        <v>33</v>
      </c>
      <c r="N64" s="1">
        <f>Tabla16[[#This Row],[Price]]*Tabla16[[#This Row],[QTY Adjusted]]</f>
        <v>0</v>
      </c>
      <c r="O64" s="1">
        <v>0</v>
      </c>
      <c r="P64" s="1" t="s">
        <v>4228</v>
      </c>
    </row>
    <row r="65" spans="1:16" ht="42" customHeight="1" x14ac:dyDescent="0.3">
      <c r="A65" s="6">
        <v>291</v>
      </c>
      <c r="B65" s="6" t="s">
        <v>542</v>
      </c>
      <c r="C65" s="6" t="s">
        <v>228</v>
      </c>
      <c r="D65" s="6" t="s">
        <v>44</v>
      </c>
      <c r="E65" s="6" t="s">
        <v>741</v>
      </c>
      <c r="F65" s="6"/>
      <c r="G65" s="6" t="s">
        <v>256</v>
      </c>
      <c r="H65" s="6" t="s">
        <v>248</v>
      </c>
      <c r="I65" s="6" t="s">
        <v>257</v>
      </c>
      <c r="J65">
        <v>0</v>
      </c>
      <c r="K65" t="s">
        <v>748</v>
      </c>
      <c r="L65" s="1">
        <v>364.5</v>
      </c>
      <c r="M65" t="s">
        <v>33</v>
      </c>
      <c r="N65" s="1">
        <f>Tabla16[[#This Row],[Price]]*Tabla16[[#This Row],[QTY Adjusted]]</f>
        <v>0</v>
      </c>
      <c r="O65" s="1">
        <v>0</v>
      </c>
      <c r="P65" s="1" t="s">
        <v>4228</v>
      </c>
    </row>
    <row r="66" spans="1:16" ht="42" customHeight="1" x14ac:dyDescent="0.3">
      <c r="A66" s="6">
        <v>292</v>
      </c>
      <c r="B66" s="6" t="s">
        <v>542</v>
      </c>
      <c r="C66" s="6" t="s">
        <v>228</v>
      </c>
      <c r="D66" s="6" t="s">
        <v>44</v>
      </c>
      <c r="E66" s="6" t="s">
        <v>741</v>
      </c>
      <c r="F66" s="6"/>
      <c r="G66" s="6" t="s">
        <v>258</v>
      </c>
      <c r="H66" s="6" t="s">
        <v>248</v>
      </c>
      <c r="I66" s="6" t="s">
        <v>259</v>
      </c>
      <c r="J66">
        <v>0</v>
      </c>
      <c r="K66" t="s">
        <v>748</v>
      </c>
      <c r="L66" s="1">
        <v>364.5</v>
      </c>
      <c r="M66" t="s">
        <v>33</v>
      </c>
      <c r="N66" s="1">
        <f>Tabla16[[#This Row],[Price]]*Tabla16[[#This Row],[QTY Adjusted]]</f>
        <v>0</v>
      </c>
      <c r="O66" s="1">
        <v>0</v>
      </c>
      <c r="P66" s="1" t="s">
        <v>4228</v>
      </c>
    </row>
    <row r="67" spans="1:16" ht="42" customHeight="1" x14ac:dyDescent="0.3">
      <c r="A67" s="6">
        <v>293</v>
      </c>
      <c r="B67" s="6" t="s">
        <v>542</v>
      </c>
      <c r="C67" s="6" t="s">
        <v>228</v>
      </c>
      <c r="D67" s="6" t="s">
        <v>44</v>
      </c>
      <c r="E67" s="6" t="s">
        <v>741</v>
      </c>
      <c r="F67" s="6"/>
      <c r="G67" s="6" t="s">
        <v>260</v>
      </c>
      <c r="H67" s="6" t="s">
        <v>248</v>
      </c>
      <c r="I67" s="6" t="s">
        <v>261</v>
      </c>
      <c r="J67">
        <v>0</v>
      </c>
      <c r="K67" t="s">
        <v>748</v>
      </c>
      <c r="L67" s="1">
        <v>364.5</v>
      </c>
      <c r="M67" t="s">
        <v>33</v>
      </c>
      <c r="N67" s="1">
        <f>Tabla16[[#This Row],[Price]]*Tabla16[[#This Row],[QTY Adjusted]]</f>
        <v>0</v>
      </c>
      <c r="O67" s="1">
        <v>0</v>
      </c>
      <c r="P67" s="1" t="s">
        <v>4228</v>
      </c>
    </row>
    <row r="68" spans="1:16" ht="42" customHeight="1" x14ac:dyDescent="0.3">
      <c r="A68" s="6">
        <v>294</v>
      </c>
      <c r="B68" s="6" t="s">
        <v>542</v>
      </c>
      <c r="C68" s="6" t="s">
        <v>228</v>
      </c>
      <c r="D68" s="6" t="s">
        <v>44</v>
      </c>
      <c r="E68" s="6" t="s">
        <v>741</v>
      </c>
      <c r="F68" s="6"/>
      <c r="G68" s="6" t="s">
        <v>262</v>
      </c>
      <c r="H68" s="6" t="s">
        <v>248</v>
      </c>
      <c r="I68" s="6" t="s">
        <v>263</v>
      </c>
      <c r="J68">
        <v>0</v>
      </c>
      <c r="K68" t="s">
        <v>748</v>
      </c>
      <c r="L68" s="1">
        <v>364.5</v>
      </c>
      <c r="M68" t="s">
        <v>33</v>
      </c>
      <c r="N68" s="1">
        <f>Tabla16[[#This Row],[Price]]*Tabla16[[#This Row],[QTY Adjusted]]</f>
        <v>0</v>
      </c>
      <c r="O68" s="1">
        <v>0</v>
      </c>
      <c r="P68" s="1" t="s">
        <v>4228</v>
      </c>
    </row>
    <row r="69" spans="1:16" ht="42" customHeight="1" x14ac:dyDescent="0.3">
      <c r="A69" s="6">
        <v>295</v>
      </c>
      <c r="B69" s="6" t="s">
        <v>542</v>
      </c>
      <c r="C69" s="6" t="s">
        <v>228</v>
      </c>
      <c r="D69" s="6" t="s">
        <v>44</v>
      </c>
      <c r="E69" s="6" t="s">
        <v>741</v>
      </c>
      <c r="F69" s="6"/>
      <c r="G69" s="6" t="s">
        <v>264</v>
      </c>
      <c r="H69" s="6" t="s">
        <v>248</v>
      </c>
      <c r="I69" s="6" t="s">
        <v>265</v>
      </c>
      <c r="J69">
        <v>0</v>
      </c>
      <c r="K69" t="s">
        <v>748</v>
      </c>
      <c r="L69" s="1">
        <v>364.5</v>
      </c>
      <c r="M69" t="s">
        <v>33</v>
      </c>
      <c r="N69" s="1">
        <f>Tabla16[[#This Row],[Price]]*Tabla16[[#This Row],[QTY Adjusted]]</f>
        <v>0</v>
      </c>
      <c r="O69" s="1">
        <v>0</v>
      </c>
      <c r="P69" s="1" t="s">
        <v>4228</v>
      </c>
    </row>
    <row r="70" spans="1:16" ht="42" customHeight="1" x14ac:dyDescent="0.3">
      <c r="A70" s="6">
        <v>221</v>
      </c>
      <c r="B70" s="6" t="s">
        <v>542</v>
      </c>
      <c r="C70" s="6" t="s">
        <v>219</v>
      </c>
      <c r="D70" s="6" t="s">
        <v>44</v>
      </c>
      <c r="E70" s="6" t="s">
        <v>543</v>
      </c>
      <c r="F70" s="6"/>
      <c r="G70" s="6" t="s">
        <v>580</v>
      </c>
      <c r="H70" s="6" t="s">
        <v>61</v>
      </c>
      <c r="I70" s="6" t="s">
        <v>581</v>
      </c>
      <c r="J70">
        <v>60</v>
      </c>
      <c r="K70" t="s">
        <v>19</v>
      </c>
      <c r="L70" s="1">
        <v>5.3280000000000003</v>
      </c>
      <c r="M70" t="s">
        <v>33</v>
      </c>
      <c r="N70" s="1">
        <f>Tabla16[[#This Row],[Price]]*Tabla16[[#This Row],[QTY Adjusted]]</f>
        <v>319.68</v>
      </c>
      <c r="O70" s="1">
        <v>319.68</v>
      </c>
      <c r="P70" s="1" t="s">
        <v>4228</v>
      </c>
    </row>
    <row r="71" spans="1:16" ht="42" customHeight="1" x14ac:dyDescent="0.3">
      <c r="A71" s="6">
        <v>266</v>
      </c>
      <c r="B71" s="6" t="s">
        <v>542</v>
      </c>
      <c r="C71" s="6" t="s">
        <v>134</v>
      </c>
      <c r="D71" s="6" t="s">
        <v>44</v>
      </c>
      <c r="E71" s="6" t="s">
        <v>543</v>
      </c>
      <c r="F71" s="6"/>
      <c r="G71" s="6" t="s">
        <v>697</v>
      </c>
      <c r="H71" s="6" t="s">
        <v>156</v>
      </c>
      <c r="I71" s="6" t="s">
        <v>698</v>
      </c>
      <c r="J71">
        <v>44</v>
      </c>
      <c r="K71" t="s">
        <v>19</v>
      </c>
      <c r="L71" s="1">
        <v>6.0839999999999996</v>
      </c>
      <c r="M71" t="s">
        <v>33</v>
      </c>
      <c r="N71" s="1">
        <f>Tabla16[[#This Row],[Price]]*Tabla16[[#This Row],[QTY Adjusted]]</f>
        <v>267.69599999999997</v>
      </c>
      <c r="O71" s="1">
        <v>267.69599999999997</v>
      </c>
      <c r="P71" s="1" t="s">
        <v>4228</v>
      </c>
    </row>
    <row r="72" spans="1:16" ht="42" customHeight="1" x14ac:dyDescent="0.3">
      <c r="A72" s="6">
        <v>271</v>
      </c>
      <c r="B72" s="6" t="s">
        <v>542</v>
      </c>
      <c r="C72" s="6" t="s">
        <v>130</v>
      </c>
      <c r="D72" s="6" t="s">
        <v>130</v>
      </c>
      <c r="E72" s="6" t="s">
        <v>543</v>
      </c>
      <c r="F72" s="6"/>
      <c r="G72" s="6" t="s">
        <v>708</v>
      </c>
      <c r="H72" s="6" t="s">
        <v>709</v>
      </c>
      <c r="I72" s="6" t="s">
        <v>710</v>
      </c>
      <c r="J72">
        <v>36</v>
      </c>
      <c r="K72" t="s">
        <v>19</v>
      </c>
      <c r="L72" s="1">
        <v>7.2186573737298803</v>
      </c>
      <c r="M72" t="s">
        <v>33</v>
      </c>
      <c r="N72" s="1">
        <f>Tabla16[[#This Row],[Price]]*Tabla16[[#This Row],[QTY Adjusted]]</f>
        <v>259.87166545427567</v>
      </c>
      <c r="O72" s="1">
        <v>259.87166545427567</v>
      </c>
      <c r="P72" s="1" t="s">
        <v>4228</v>
      </c>
    </row>
    <row r="73" spans="1:16" ht="42" customHeight="1" x14ac:dyDescent="0.3">
      <c r="A73" s="6">
        <v>273</v>
      </c>
      <c r="B73" s="6" t="s">
        <v>542</v>
      </c>
      <c r="C73" s="6" t="s">
        <v>130</v>
      </c>
      <c r="D73" s="6" t="s">
        <v>130</v>
      </c>
      <c r="E73" s="6" t="s">
        <v>543</v>
      </c>
      <c r="F73" s="6"/>
      <c r="G73" s="6" t="s">
        <v>714</v>
      </c>
      <c r="H73" s="6" t="s">
        <v>715</v>
      </c>
      <c r="I73" s="6" t="s">
        <v>716</v>
      </c>
      <c r="J73">
        <v>36</v>
      </c>
      <c r="K73" t="s">
        <v>19</v>
      </c>
      <c r="L73" s="1">
        <v>6.9742273117559499</v>
      </c>
      <c r="M73" t="s">
        <v>33</v>
      </c>
      <c r="N73" s="1">
        <f>Tabla16[[#This Row],[Price]]*Tabla16[[#This Row],[QTY Adjusted]]</f>
        <v>251.07218322321421</v>
      </c>
      <c r="O73" s="1">
        <v>251.07218322321421</v>
      </c>
      <c r="P73" s="1" t="s">
        <v>4228</v>
      </c>
    </row>
    <row r="74" spans="1:16" ht="42" customHeight="1" x14ac:dyDescent="0.3">
      <c r="A74" s="6">
        <v>272</v>
      </c>
      <c r="B74" s="6" t="s">
        <v>542</v>
      </c>
      <c r="C74" s="6" t="s">
        <v>130</v>
      </c>
      <c r="D74" s="6" t="s">
        <v>130</v>
      </c>
      <c r="E74" s="6" t="s">
        <v>543</v>
      </c>
      <c r="F74" s="6"/>
      <c r="G74" s="6" t="s">
        <v>711</v>
      </c>
      <c r="H74" s="6" t="s">
        <v>712</v>
      </c>
      <c r="I74" s="6" t="s">
        <v>713</v>
      </c>
      <c r="J74">
        <v>36</v>
      </c>
      <c r="K74" t="s">
        <v>19</v>
      </c>
      <c r="L74" s="1">
        <v>6.8579901898933597</v>
      </c>
      <c r="M74" t="s">
        <v>33</v>
      </c>
      <c r="N74" s="1">
        <f>Tabla16[[#This Row],[Price]]*Tabla16[[#This Row],[QTY Adjusted]]</f>
        <v>246.88764683616094</v>
      </c>
      <c r="O74" s="1">
        <v>246.88764683616094</v>
      </c>
      <c r="P74" s="1" t="s">
        <v>4228</v>
      </c>
    </row>
    <row r="75" spans="1:16" ht="42" customHeight="1" x14ac:dyDescent="0.3">
      <c r="A75" s="6">
        <v>225</v>
      </c>
      <c r="B75" s="6" t="s">
        <v>542</v>
      </c>
      <c r="C75" s="6" t="s">
        <v>130</v>
      </c>
      <c r="D75" s="6" t="s">
        <v>130</v>
      </c>
      <c r="E75" s="6" t="s">
        <v>543</v>
      </c>
      <c r="F75" s="6"/>
      <c r="G75" s="6" t="s">
        <v>588</v>
      </c>
      <c r="H75" s="6" t="s">
        <v>589</v>
      </c>
      <c r="I75" s="6" t="s">
        <v>590</v>
      </c>
      <c r="J75">
        <v>60</v>
      </c>
      <c r="K75" t="s">
        <v>19</v>
      </c>
      <c r="L75" s="1">
        <v>4.7358324507447564</v>
      </c>
      <c r="M75" t="s">
        <v>33</v>
      </c>
      <c r="N75" s="1">
        <f>Tabla16[[#This Row],[Price]]*Tabla16[[#This Row],[QTY Adjusted]]</f>
        <v>284.1499470446854</v>
      </c>
      <c r="O75" s="1">
        <v>284.1499470446854</v>
      </c>
      <c r="P75" s="1" t="s">
        <v>4228</v>
      </c>
    </row>
    <row r="76" spans="1:16" ht="42" customHeight="1" x14ac:dyDescent="0.3">
      <c r="A76" s="6">
        <v>268</v>
      </c>
      <c r="B76" s="6" t="s">
        <v>542</v>
      </c>
      <c r="C76" s="6" t="s">
        <v>134</v>
      </c>
      <c r="D76" s="6" t="s">
        <v>44</v>
      </c>
      <c r="E76" s="6" t="s">
        <v>543</v>
      </c>
      <c r="F76" s="6"/>
      <c r="G76" s="6" t="s">
        <v>701</v>
      </c>
      <c r="H76" s="6" t="s">
        <v>148</v>
      </c>
      <c r="I76" s="6" t="s">
        <v>702</v>
      </c>
      <c r="J76">
        <v>36</v>
      </c>
      <c r="K76" t="s">
        <v>19</v>
      </c>
      <c r="L76" s="1">
        <v>5.7850000000000001</v>
      </c>
      <c r="M76" t="s">
        <v>33</v>
      </c>
      <c r="N76" s="1">
        <f>Tabla16[[#This Row],[Price]]*Tabla16[[#This Row],[QTY Adjusted]]</f>
        <v>208.26</v>
      </c>
      <c r="O76" s="1">
        <v>208.26</v>
      </c>
      <c r="P76" s="1" t="s">
        <v>4228</v>
      </c>
    </row>
    <row r="77" spans="1:16" ht="42" customHeight="1" x14ac:dyDescent="0.3">
      <c r="A77" s="6">
        <v>239</v>
      </c>
      <c r="B77" s="6" t="s">
        <v>542</v>
      </c>
      <c r="C77" s="6" t="s">
        <v>232</v>
      </c>
      <c r="D77" s="6" t="s">
        <v>233</v>
      </c>
      <c r="E77" s="6" t="s">
        <v>543</v>
      </c>
      <c r="F77" s="6"/>
      <c r="G77" s="6" t="s">
        <v>629</v>
      </c>
      <c r="H77" s="6" t="s">
        <v>630</v>
      </c>
      <c r="I77" s="6" t="s">
        <v>631</v>
      </c>
      <c r="J77">
        <v>36</v>
      </c>
      <c r="K77" t="s">
        <v>19</v>
      </c>
      <c r="L77" s="1">
        <v>5.34</v>
      </c>
      <c r="M77" t="s">
        <v>33</v>
      </c>
      <c r="N77" s="1">
        <f>Tabla16[[#This Row],[Price]]*Tabla16[[#This Row],[QTY Adjusted]]</f>
        <v>192.24</v>
      </c>
      <c r="O77" s="1">
        <v>192.24</v>
      </c>
      <c r="P77" s="1" t="s">
        <v>4228</v>
      </c>
    </row>
    <row r="78" spans="1:16" ht="42" customHeight="1" x14ac:dyDescent="0.3">
      <c r="A78" s="6">
        <v>269</v>
      </c>
      <c r="B78" s="6" t="s">
        <v>542</v>
      </c>
      <c r="C78" s="6" t="s">
        <v>228</v>
      </c>
      <c r="D78" s="6" t="s">
        <v>44</v>
      </c>
      <c r="E78" s="6" t="s">
        <v>543</v>
      </c>
      <c r="F78" s="6"/>
      <c r="G78" s="6" t="s">
        <v>703</v>
      </c>
      <c r="H78" s="6" t="s">
        <v>154</v>
      </c>
      <c r="I78" s="6" t="s">
        <v>704</v>
      </c>
      <c r="J78">
        <v>36</v>
      </c>
      <c r="K78" t="s">
        <v>19</v>
      </c>
      <c r="L78" s="1">
        <v>4.95</v>
      </c>
      <c r="M78" t="s">
        <v>33</v>
      </c>
      <c r="N78" s="1">
        <f>Tabla16[[#This Row],[Price]]*Tabla16[[#This Row],[QTY Adjusted]]</f>
        <v>178.20000000000002</v>
      </c>
      <c r="O78" s="1">
        <v>178.20000000000002</v>
      </c>
      <c r="P78" s="1" t="s">
        <v>4228</v>
      </c>
    </row>
    <row r="79" spans="1:16" ht="42" customHeight="1" x14ac:dyDescent="0.3">
      <c r="A79" s="6">
        <v>275</v>
      </c>
      <c r="B79" s="6" t="s">
        <v>542</v>
      </c>
      <c r="C79" s="6" t="s">
        <v>717</v>
      </c>
      <c r="D79" s="6" t="s">
        <v>718</v>
      </c>
      <c r="E79" s="6" t="s">
        <v>543</v>
      </c>
      <c r="F79" s="6"/>
      <c r="G79" s="6" t="s">
        <v>719</v>
      </c>
      <c r="H79" s="6" t="s">
        <v>720</v>
      </c>
      <c r="I79" s="6" t="s">
        <v>721</v>
      </c>
      <c r="J79">
        <v>6</v>
      </c>
      <c r="K79" t="s">
        <v>19</v>
      </c>
      <c r="L79" s="1">
        <v>33</v>
      </c>
      <c r="M79" t="s">
        <v>33</v>
      </c>
      <c r="N79" s="1">
        <f>Tabla16[[#This Row],[Price]]*Tabla16[[#This Row],[QTY Adjusted]]</f>
        <v>198</v>
      </c>
      <c r="O79" s="1">
        <v>198</v>
      </c>
      <c r="P79" s="1" t="s">
        <v>4228</v>
      </c>
    </row>
    <row r="80" spans="1:16" ht="42" customHeight="1" x14ac:dyDescent="0.3">
      <c r="A80" s="6">
        <v>249</v>
      </c>
      <c r="B80" s="6" t="s">
        <v>542</v>
      </c>
      <c r="C80" s="6" t="s">
        <v>130</v>
      </c>
      <c r="D80" s="6" t="s">
        <v>130</v>
      </c>
      <c r="E80" s="6" t="s">
        <v>543</v>
      </c>
      <c r="F80" s="6"/>
      <c r="G80" s="6" t="s">
        <v>659</v>
      </c>
      <c r="H80" s="6" t="s">
        <v>106</v>
      </c>
      <c r="I80" s="6" t="s">
        <v>660</v>
      </c>
      <c r="J80">
        <v>48</v>
      </c>
      <c r="K80" t="s">
        <v>19</v>
      </c>
      <c r="L80" s="1">
        <v>3.8192197183425498</v>
      </c>
      <c r="M80" t="s">
        <v>33</v>
      </c>
      <c r="N80" s="1">
        <f>Tabla16[[#This Row],[Price]]*Tabla16[[#This Row],[QTY Adjusted]]</f>
        <v>183.32254648044238</v>
      </c>
      <c r="O80" s="1">
        <v>183.32254648044238</v>
      </c>
      <c r="P80" s="1" t="s">
        <v>4228</v>
      </c>
    </row>
    <row r="81" spans="1:16" ht="42" customHeight="1" x14ac:dyDescent="0.3">
      <c r="A81" s="6">
        <v>310</v>
      </c>
      <c r="B81" s="6" t="s">
        <v>542</v>
      </c>
      <c r="C81" s="6" t="s">
        <v>314</v>
      </c>
      <c r="D81" s="6" t="s">
        <v>93</v>
      </c>
      <c r="E81" s="6" t="s">
        <v>741</v>
      </c>
      <c r="F81" s="6"/>
      <c r="G81" s="6" t="s">
        <v>315</v>
      </c>
      <c r="H81" s="6" t="s">
        <v>316</v>
      </c>
      <c r="I81" s="6" t="s">
        <v>317</v>
      </c>
      <c r="J81">
        <v>1</v>
      </c>
      <c r="K81" t="s">
        <v>19</v>
      </c>
      <c r="L81" s="1">
        <v>175.87</v>
      </c>
      <c r="M81" t="s">
        <v>33</v>
      </c>
      <c r="N81" s="1">
        <f>Tabla16[[#This Row],[Price]]*Tabla16[[#This Row],[QTY Adjusted]]</f>
        <v>175.87</v>
      </c>
      <c r="O81" s="1">
        <v>175.87</v>
      </c>
      <c r="P81" s="1" t="s">
        <v>4228</v>
      </c>
    </row>
    <row r="82" spans="1:16" ht="42" customHeight="1" x14ac:dyDescent="0.3">
      <c r="A82" s="6">
        <v>270</v>
      </c>
      <c r="B82" s="6" t="s">
        <v>542</v>
      </c>
      <c r="C82" s="6" t="s">
        <v>228</v>
      </c>
      <c r="D82" s="6" t="s">
        <v>44</v>
      </c>
      <c r="E82" s="6" t="s">
        <v>543</v>
      </c>
      <c r="F82" s="6"/>
      <c r="G82" s="6" t="s">
        <v>705</v>
      </c>
      <c r="H82" s="6" t="s">
        <v>706</v>
      </c>
      <c r="I82" s="6" t="s">
        <v>707</v>
      </c>
      <c r="J82">
        <v>36</v>
      </c>
      <c r="K82" t="s">
        <v>19</v>
      </c>
      <c r="L82" s="1">
        <v>4.1399999999999997</v>
      </c>
      <c r="M82" t="s">
        <v>33</v>
      </c>
      <c r="N82" s="1">
        <f>Tabla16[[#This Row],[Price]]*Tabla16[[#This Row],[QTY Adjusted]]</f>
        <v>149.04</v>
      </c>
      <c r="O82" s="1">
        <v>149.04</v>
      </c>
      <c r="P82" s="1" t="s">
        <v>4228</v>
      </c>
    </row>
    <row r="83" spans="1:16" ht="42" customHeight="1" x14ac:dyDescent="0.3">
      <c r="A83" s="6">
        <v>247</v>
      </c>
      <c r="B83" s="6" t="s">
        <v>542</v>
      </c>
      <c r="C83" s="6" t="s">
        <v>130</v>
      </c>
      <c r="D83" s="6" t="s">
        <v>130</v>
      </c>
      <c r="E83" s="6" t="s">
        <v>543</v>
      </c>
      <c r="F83" s="6"/>
      <c r="G83" s="6" t="s">
        <v>655</v>
      </c>
      <c r="H83" s="6" t="s">
        <v>104</v>
      </c>
      <c r="I83" s="6" t="s">
        <v>656</v>
      </c>
      <c r="J83">
        <v>36</v>
      </c>
      <c r="K83" t="s">
        <v>19</v>
      </c>
      <c r="L83" s="1">
        <v>4.3997411155306096</v>
      </c>
      <c r="M83" t="s">
        <v>33</v>
      </c>
      <c r="N83" s="1">
        <f>Tabla16[[#This Row],[Price]]*Tabla16[[#This Row],[QTY Adjusted]]</f>
        <v>158.39068015910195</v>
      </c>
      <c r="O83" s="1">
        <v>158.39068015910195</v>
      </c>
      <c r="P83" s="1" t="s">
        <v>4228</v>
      </c>
    </row>
    <row r="84" spans="1:16" ht="42" customHeight="1" x14ac:dyDescent="0.3">
      <c r="A84" s="6">
        <v>250</v>
      </c>
      <c r="B84" s="6" t="s">
        <v>542</v>
      </c>
      <c r="C84" s="6" t="s">
        <v>130</v>
      </c>
      <c r="D84" s="6" t="s">
        <v>130</v>
      </c>
      <c r="E84" s="6" t="s">
        <v>543</v>
      </c>
      <c r="F84" s="6"/>
      <c r="G84" s="6" t="s">
        <v>661</v>
      </c>
      <c r="H84" s="6" t="s">
        <v>662</v>
      </c>
      <c r="I84" s="6" t="s">
        <v>663</v>
      </c>
      <c r="J84">
        <v>48</v>
      </c>
      <c r="K84" t="s">
        <v>19</v>
      </c>
      <c r="L84" s="1">
        <v>3.2845289577745902</v>
      </c>
      <c r="M84" t="s">
        <v>33</v>
      </c>
      <c r="N84" s="1">
        <f>Tabla16[[#This Row],[Price]]*Tabla16[[#This Row],[QTY Adjusted]]</f>
        <v>157.65738997318033</v>
      </c>
      <c r="O84" s="1">
        <v>157.65738997318033</v>
      </c>
      <c r="P84" s="1" t="s">
        <v>4228</v>
      </c>
    </row>
    <row r="85" spans="1:16" ht="42" customHeight="1" x14ac:dyDescent="0.3">
      <c r="A85" s="6">
        <v>277</v>
      </c>
      <c r="B85" s="6" t="s">
        <v>542</v>
      </c>
      <c r="C85" s="6" t="s">
        <v>723</v>
      </c>
      <c r="D85" s="6" t="s">
        <v>310</v>
      </c>
      <c r="E85" s="6" t="s">
        <v>724</v>
      </c>
      <c r="F85" s="6"/>
      <c r="G85" s="6" t="s">
        <v>725</v>
      </c>
      <c r="H85" s="6" t="s">
        <v>726</v>
      </c>
      <c r="I85" s="6" t="s">
        <v>727</v>
      </c>
      <c r="J85">
        <v>4</v>
      </c>
      <c r="K85" t="s">
        <v>19</v>
      </c>
      <c r="L85" s="1">
        <v>37.22</v>
      </c>
      <c r="M85" t="s">
        <v>33</v>
      </c>
      <c r="N85" s="1">
        <f>Tabla16[[#This Row],[Price]]*Tabla16[[#This Row],[QTY Adjusted]]</f>
        <v>148.88</v>
      </c>
      <c r="O85" s="1">
        <v>148.88</v>
      </c>
      <c r="P85" s="1" t="s">
        <v>4228</v>
      </c>
    </row>
    <row r="86" spans="1:16" ht="42" customHeight="1" x14ac:dyDescent="0.3">
      <c r="A86" s="6">
        <v>248</v>
      </c>
      <c r="B86" s="6" t="s">
        <v>542</v>
      </c>
      <c r="C86" s="6" t="s">
        <v>130</v>
      </c>
      <c r="D86" s="6" t="s">
        <v>130</v>
      </c>
      <c r="E86" s="6" t="s">
        <v>543</v>
      </c>
      <c r="F86" s="6"/>
      <c r="G86" s="6" t="s">
        <v>657</v>
      </c>
      <c r="H86" s="6" t="s">
        <v>517</v>
      </c>
      <c r="I86" s="6" t="s">
        <v>658</v>
      </c>
      <c r="J86">
        <v>36</v>
      </c>
      <c r="K86" t="s">
        <v>19</v>
      </c>
      <c r="L86" s="1">
        <v>3.8192197183425498</v>
      </c>
      <c r="M86" t="s">
        <v>33</v>
      </c>
      <c r="N86" s="1">
        <f>Tabla16[[#This Row],[Price]]*Tabla16[[#This Row],[QTY Adjusted]]</f>
        <v>137.49190986033179</v>
      </c>
      <c r="O86" s="1">
        <v>137.49190986033179</v>
      </c>
      <c r="P86" s="1" t="s">
        <v>4228</v>
      </c>
    </row>
    <row r="87" spans="1:16" ht="42" customHeight="1" x14ac:dyDescent="0.3">
      <c r="A87" s="6">
        <v>279</v>
      </c>
      <c r="B87" s="6" t="s">
        <v>542</v>
      </c>
      <c r="C87" s="6" t="s">
        <v>723</v>
      </c>
      <c r="D87" s="6" t="s">
        <v>310</v>
      </c>
      <c r="E87" s="6" t="s">
        <v>724</v>
      </c>
      <c r="F87" s="6"/>
      <c r="G87" s="6" t="s">
        <v>731</v>
      </c>
      <c r="H87" s="6" t="s">
        <v>729</v>
      </c>
      <c r="I87" s="6" t="s">
        <v>732</v>
      </c>
      <c r="J87">
        <v>4</v>
      </c>
      <c r="K87" t="s">
        <v>19</v>
      </c>
      <c r="L87" s="1">
        <v>34.340000000000003</v>
      </c>
      <c r="M87" t="s">
        <v>33</v>
      </c>
      <c r="N87" s="1">
        <f>Tabla16[[#This Row],[Price]]*Tabla16[[#This Row],[QTY Adjusted]]</f>
        <v>137.36000000000001</v>
      </c>
      <c r="O87" s="1">
        <v>137.36000000000001</v>
      </c>
      <c r="P87" s="1" t="s">
        <v>4228</v>
      </c>
    </row>
    <row r="88" spans="1:16" ht="42" customHeight="1" x14ac:dyDescent="0.3">
      <c r="A88" s="6">
        <v>325</v>
      </c>
      <c r="B88" s="6" t="s">
        <v>542</v>
      </c>
      <c r="C88" s="6" t="s">
        <v>361</v>
      </c>
      <c r="D88" s="6" t="s">
        <v>362</v>
      </c>
      <c r="E88" s="6" t="s">
        <v>741</v>
      </c>
      <c r="F88" s="6"/>
      <c r="G88" s="6" t="s">
        <v>363</v>
      </c>
      <c r="H88" s="6" t="s">
        <v>364</v>
      </c>
      <c r="I88" s="6" t="s">
        <v>365</v>
      </c>
      <c r="J88">
        <v>3</v>
      </c>
      <c r="K88" t="s">
        <v>19</v>
      </c>
      <c r="L88" s="1">
        <v>44.937176470588234</v>
      </c>
      <c r="M88" t="s">
        <v>33</v>
      </c>
      <c r="N88" s="1">
        <f>Tabla16[[#This Row],[Price]]*Tabla16[[#This Row],[QTY Adjusted]]</f>
        <v>134.8115294117647</v>
      </c>
      <c r="O88" s="1">
        <v>134.8115294117647</v>
      </c>
      <c r="P88" s="1" t="s">
        <v>4228</v>
      </c>
    </row>
    <row r="89" spans="1:16" ht="42" customHeight="1" x14ac:dyDescent="0.3">
      <c r="A89" s="6">
        <v>317</v>
      </c>
      <c r="B89" s="6" t="s">
        <v>542</v>
      </c>
      <c r="C89" s="6" t="s">
        <v>237</v>
      </c>
      <c r="D89" s="6" t="s">
        <v>93</v>
      </c>
      <c r="E89" s="6" t="s">
        <v>741</v>
      </c>
      <c r="F89" s="6"/>
      <c r="G89" s="6" t="s">
        <v>339</v>
      </c>
      <c r="H89" s="6" t="s">
        <v>334</v>
      </c>
      <c r="I89" s="6" t="s">
        <v>340</v>
      </c>
      <c r="J89">
        <v>3</v>
      </c>
      <c r="K89" t="s">
        <v>19</v>
      </c>
      <c r="L89" s="1">
        <v>41.19</v>
      </c>
      <c r="M89" t="s">
        <v>33</v>
      </c>
      <c r="N89" s="1">
        <f>Tabla16[[#This Row],[Price]]*Tabla16[[#This Row],[QTY Adjusted]]</f>
        <v>123.57</v>
      </c>
      <c r="O89" s="1">
        <v>123.57</v>
      </c>
      <c r="P89" s="1" t="s">
        <v>4228</v>
      </c>
    </row>
    <row r="90" spans="1:16" ht="42" customHeight="1" x14ac:dyDescent="0.3">
      <c r="A90" s="6">
        <v>246</v>
      </c>
      <c r="B90" s="6" t="s">
        <v>542</v>
      </c>
      <c r="C90" s="6" t="s">
        <v>198</v>
      </c>
      <c r="D90" s="6" t="s">
        <v>199</v>
      </c>
      <c r="E90" s="6" t="s">
        <v>543</v>
      </c>
      <c r="F90" s="6"/>
      <c r="G90" s="6" t="s">
        <v>652</v>
      </c>
      <c r="H90" s="6" t="s">
        <v>653</v>
      </c>
      <c r="I90" s="6" t="s">
        <v>654</v>
      </c>
      <c r="J90">
        <v>4</v>
      </c>
      <c r="K90" t="s">
        <v>19</v>
      </c>
      <c r="L90" s="1">
        <v>30.8154</v>
      </c>
      <c r="M90" t="s">
        <v>33</v>
      </c>
      <c r="N90" s="1">
        <f>Tabla16[[#This Row],[Price]]*Tabla16[[#This Row],[QTY Adjusted]]</f>
        <v>123.2616</v>
      </c>
      <c r="O90" s="1">
        <v>123.2616</v>
      </c>
      <c r="P90" s="1" t="s">
        <v>4228</v>
      </c>
    </row>
    <row r="91" spans="1:16" ht="42" customHeight="1" x14ac:dyDescent="0.3">
      <c r="A91" s="6">
        <v>308</v>
      </c>
      <c r="B91" s="6" t="s">
        <v>542</v>
      </c>
      <c r="C91" s="6" t="s">
        <v>272</v>
      </c>
      <c r="D91" s="6"/>
      <c r="E91" s="6" t="s">
        <v>741</v>
      </c>
      <c r="F91" s="6"/>
      <c r="G91" s="6" t="s">
        <v>306</v>
      </c>
      <c r="H91" s="6" t="s">
        <v>307</v>
      </c>
      <c r="I91" s="6" t="s">
        <v>308</v>
      </c>
      <c r="J91">
        <v>48</v>
      </c>
      <c r="K91" t="s">
        <v>19</v>
      </c>
      <c r="L91" s="1">
        <v>2.2799999999999998</v>
      </c>
      <c r="M91" t="s">
        <v>33</v>
      </c>
      <c r="N91" s="1">
        <f>Tabla16[[#This Row],[Price]]*Tabla16[[#This Row],[QTY Adjusted]]</f>
        <v>109.44</v>
      </c>
      <c r="O91" s="1">
        <v>109.44</v>
      </c>
      <c r="P91" s="1" t="s">
        <v>4228</v>
      </c>
    </row>
    <row r="92" spans="1:16" ht="42" customHeight="1" x14ac:dyDescent="0.3">
      <c r="A92" s="6">
        <v>278</v>
      </c>
      <c r="B92" s="6" t="s">
        <v>542</v>
      </c>
      <c r="C92" s="6" t="s">
        <v>723</v>
      </c>
      <c r="D92" s="6" t="s">
        <v>310</v>
      </c>
      <c r="E92" s="6" t="s">
        <v>724</v>
      </c>
      <c r="F92" s="6"/>
      <c r="G92" s="6" t="s">
        <v>728</v>
      </c>
      <c r="H92" s="6" t="s">
        <v>729</v>
      </c>
      <c r="I92" s="6" t="s">
        <v>730</v>
      </c>
      <c r="J92">
        <v>4</v>
      </c>
      <c r="K92" t="s">
        <v>19</v>
      </c>
      <c r="L92" s="1">
        <v>26.49</v>
      </c>
      <c r="M92" t="s">
        <v>33</v>
      </c>
      <c r="N92" s="1">
        <f>Tabla16[[#This Row],[Price]]*Tabla16[[#This Row],[QTY Adjusted]]</f>
        <v>105.96</v>
      </c>
      <c r="O92" s="1">
        <v>105.96</v>
      </c>
      <c r="P92" s="1" t="s">
        <v>4228</v>
      </c>
    </row>
    <row r="93" spans="1:16" ht="42" customHeight="1" x14ac:dyDescent="0.3">
      <c r="A93" s="6">
        <v>309</v>
      </c>
      <c r="B93" s="6" t="s">
        <v>542</v>
      </c>
      <c r="C93" s="6" t="s">
        <v>309</v>
      </c>
      <c r="D93" s="6" t="s">
        <v>44</v>
      </c>
      <c r="E93" s="6" t="s">
        <v>741</v>
      </c>
      <c r="F93" s="6"/>
      <c r="G93" s="6">
        <v>186700</v>
      </c>
      <c r="H93" s="6" t="s">
        <v>312</v>
      </c>
      <c r="I93" s="6" t="s">
        <v>313</v>
      </c>
      <c r="J93">
        <v>1</v>
      </c>
      <c r="K93" t="s">
        <v>19</v>
      </c>
      <c r="L93" s="1">
        <v>105.01</v>
      </c>
      <c r="M93" t="s">
        <v>33</v>
      </c>
      <c r="N93" s="1">
        <f>Tabla16[[#This Row],[Price]]*Tabla16[[#This Row],[QTY Adjusted]]</f>
        <v>105.01</v>
      </c>
      <c r="O93" s="1">
        <v>105.01</v>
      </c>
      <c r="P93" s="1" t="s">
        <v>4228</v>
      </c>
    </row>
    <row r="94" spans="1:16" ht="42" customHeight="1" x14ac:dyDescent="0.3">
      <c r="A94" s="6">
        <v>315</v>
      </c>
      <c r="B94" s="6" t="s">
        <v>542</v>
      </c>
      <c r="C94" s="6" t="s">
        <v>237</v>
      </c>
      <c r="D94" s="6" t="s">
        <v>93</v>
      </c>
      <c r="E94" s="6" t="s">
        <v>741</v>
      </c>
      <c r="F94" s="6"/>
      <c r="G94" s="6" t="s">
        <v>333</v>
      </c>
      <c r="H94" s="6" t="s">
        <v>334</v>
      </c>
      <c r="I94" s="6" t="s">
        <v>335</v>
      </c>
      <c r="J94">
        <v>3</v>
      </c>
      <c r="K94" t="s">
        <v>19</v>
      </c>
      <c r="L94" s="1">
        <v>28.36</v>
      </c>
      <c r="M94" t="s">
        <v>33</v>
      </c>
      <c r="N94" s="1">
        <f>Tabla16[[#This Row],[Price]]*Tabla16[[#This Row],[QTY Adjusted]]</f>
        <v>85.08</v>
      </c>
      <c r="O94" s="1">
        <v>85.08</v>
      </c>
      <c r="P94" s="1" t="s">
        <v>4228</v>
      </c>
    </row>
    <row r="95" spans="1:16" ht="42" customHeight="1" x14ac:dyDescent="0.3">
      <c r="A95" s="6">
        <v>320</v>
      </c>
      <c r="B95" s="6" t="s">
        <v>542</v>
      </c>
      <c r="C95" s="6" t="s">
        <v>329</v>
      </c>
      <c r="D95" s="6" t="s">
        <v>199</v>
      </c>
      <c r="E95" s="6" t="s">
        <v>741</v>
      </c>
      <c r="F95" s="6"/>
      <c r="G95" s="6" t="s">
        <v>346</v>
      </c>
      <c r="H95" s="6" t="s">
        <v>347</v>
      </c>
      <c r="I95" s="6" t="s">
        <v>348</v>
      </c>
      <c r="J95">
        <v>3</v>
      </c>
      <c r="K95" t="s">
        <v>19</v>
      </c>
      <c r="L95" s="1">
        <v>27.350190000000001</v>
      </c>
      <c r="M95" t="s">
        <v>33</v>
      </c>
      <c r="N95" s="1">
        <f>Tabla16[[#This Row],[Price]]*Tabla16[[#This Row],[QTY Adjusted]]</f>
        <v>82.050570000000008</v>
      </c>
      <c r="O95" s="1">
        <v>82.050570000000008</v>
      </c>
      <c r="P95" s="1" t="s">
        <v>4228</v>
      </c>
    </row>
    <row r="96" spans="1:16" ht="42" customHeight="1" x14ac:dyDescent="0.3">
      <c r="A96" s="6">
        <v>281</v>
      </c>
      <c r="B96" s="6" t="s">
        <v>542</v>
      </c>
      <c r="C96" s="6" t="s">
        <v>723</v>
      </c>
      <c r="D96" s="6" t="s">
        <v>310</v>
      </c>
      <c r="E96" s="6" t="s">
        <v>724</v>
      </c>
      <c r="F96" s="6"/>
      <c r="G96" s="6" t="s">
        <v>736</v>
      </c>
      <c r="H96" s="6" t="s">
        <v>734</v>
      </c>
      <c r="I96" s="6" t="s">
        <v>737</v>
      </c>
      <c r="J96">
        <v>4</v>
      </c>
      <c r="K96" t="s">
        <v>19</v>
      </c>
      <c r="L96" s="1">
        <v>19.77</v>
      </c>
      <c r="M96" t="s">
        <v>33</v>
      </c>
      <c r="N96" s="1">
        <f>Tabla16[[#This Row],[Price]]*Tabla16[[#This Row],[QTY Adjusted]]</f>
        <v>79.08</v>
      </c>
      <c r="O96" s="1">
        <v>79.08</v>
      </c>
      <c r="P96" s="1" t="s">
        <v>4228</v>
      </c>
    </row>
    <row r="97" spans="1:16" ht="42" customHeight="1" x14ac:dyDescent="0.3">
      <c r="A97" s="6">
        <v>286</v>
      </c>
      <c r="B97" s="6" t="s">
        <v>542</v>
      </c>
      <c r="C97" s="6" t="s">
        <v>745</v>
      </c>
      <c r="D97" s="6" t="s">
        <v>93</v>
      </c>
      <c r="E97" s="6" t="s">
        <v>741</v>
      </c>
      <c r="F97" s="6"/>
      <c r="G97" s="6">
        <v>330899</v>
      </c>
      <c r="H97" s="6" t="s">
        <v>746</v>
      </c>
      <c r="I97" s="6" t="s">
        <v>747</v>
      </c>
      <c r="J97">
        <v>1</v>
      </c>
      <c r="K97" t="s">
        <v>19</v>
      </c>
      <c r="L97" s="1">
        <v>70</v>
      </c>
      <c r="M97" t="s">
        <v>33</v>
      </c>
      <c r="N97" s="1">
        <f>Tabla16[[#This Row],[Price]]*Tabla16[[#This Row],[QTY Adjusted]]</f>
        <v>70</v>
      </c>
      <c r="O97" s="1">
        <v>70</v>
      </c>
      <c r="P97" s="1" t="s">
        <v>4228</v>
      </c>
    </row>
    <row r="98" spans="1:16" ht="42" customHeight="1" x14ac:dyDescent="0.3">
      <c r="A98" s="6">
        <v>298</v>
      </c>
      <c r="B98" s="6" t="s">
        <v>542</v>
      </c>
      <c r="C98" s="6" t="s">
        <v>228</v>
      </c>
      <c r="D98" s="6" t="s">
        <v>44</v>
      </c>
      <c r="E98" s="6" t="s">
        <v>741</v>
      </c>
      <c r="F98" s="6"/>
      <c r="G98" s="6" t="s">
        <v>751</v>
      </c>
      <c r="H98" s="6" t="s">
        <v>277</v>
      </c>
      <c r="I98" s="6" t="s">
        <v>752</v>
      </c>
      <c r="J98">
        <v>6</v>
      </c>
      <c r="K98" t="s">
        <v>19</v>
      </c>
      <c r="L98" s="1">
        <v>9.5310000000000006</v>
      </c>
      <c r="M98" t="s">
        <v>33</v>
      </c>
      <c r="N98" s="1">
        <f>Tabla16[[#This Row],[Price]]*Tabla16[[#This Row],[QTY Adjusted]]</f>
        <v>57.186000000000007</v>
      </c>
      <c r="O98" s="1">
        <v>57.186000000000007</v>
      </c>
      <c r="P98" s="1" t="s">
        <v>4228</v>
      </c>
    </row>
    <row r="99" spans="1:16" ht="42" customHeight="1" x14ac:dyDescent="0.3">
      <c r="A99" s="6">
        <v>304</v>
      </c>
      <c r="B99" s="6" t="s">
        <v>542</v>
      </c>
      <c r="C99" s="6" t="s">
        <v>228</v>
      </c>
      <c r="D99" s="6" t="s">
        <v>44</v>
      </c>
      <c r="E99" s="6" t="s">
        <v>741</v>
      </c>
      <c r="F99" s="6"/>
      <c r="G99" s="6" t="s">
        <v>764</v>
      </c>
      <c r="H99" s="6" t="s">
        <v>295</v>
      </c>
      <c r="I99" s="6" t="s">
        <v>765</v>
      </c>
      <c r="J99">
        <v>8</v>
      </c>
      <c r="K99" t="s">
        <v>19</v>
      </c>
      <c r="L99" s="1">
        <v>7.11</v>
      </c>
      <c r="M99" t="s">
        <v>33</v>
      </c>
      <c r="N99" s="1">
        <f>Tabla16[[#This Row],[Price]]*Tabla16[[#This Row],[QTY Adjusted]]</f>
        <v>56.88</v>
      </c>
      <c r="O99" s="1">
        <v>56.88</v>
      </c>
      <c r="P99" s="1" t="s">
        <v>4228</v>
      </c>
    </row>
    <row r="100" spans="1:16" ht="42" customHeight="1" x14ac:dyDescent="0.3">
      <c r="A100" s="6">
        <v>318</v>
      </c>
      <c r="B100" s="6" t="s">
        <v>542</v>
      </c>
      <c r="C100" s="6" t="s">
        <v>237</v>
      </c>
      <c r="D100" s="6" t="s">
        <v>93</v>
      </c>
      <c r="E100" s="6" t="s">
        <v>741</v>
      </c>
      <c r="F100" s="6"/>
      <c r="G100" s="6" t="s">
        <v>341</v>
      </c>
      <c r="H100" s="6" t="s">
        <v>337</v>
      </c>
      <c r="I100" s="6" t="s">
        <v>342</v>
      </c>
      <c r="J100">
        <v>3</v>
      </c>
      <c r="K100" t="s">
        <v>19</v>
      </c>
      <c r="L100" s="1">
        <v>16.690000000000001</v>
      </c>
      <c r="M100" t="s">
        <v>33</v>
      </c>
      <c r="N100" s="1">
        <f>Tabla16[[#This Row],[Price]]*Tabla16[[#This Row],[QTY Adjusted]]</f>
        <v>50.070000000000007</v>
      </c>
      <c r="O100" s="1">
        <v>50.070000000000007</v>
      </c>
      <c r="P100" s="1" t="s">
        <v>4228</v>
      </c>
    </row>
    <row r="101" spans="1:16" ht="42" customHeight="1" x14ac:dyDescent="0.3">
      <c r="A101" s="6">
        <v>296</v>
      </c>
      <c r="B101" s="6" t="s">
        <v>542</v>
      </c>
      <c r="C101" s="6" t="s">
        <v>228</v>
      </c>
      <c r="D101" s="6" t="s">
        <v>44</v>
      </c>
      <c r="E101" s="6" t="s">
        <v>741</v>
      </c>
      <c r="F101" s="6"/>
      <c r="G101" s="6" t="s">
        <v>749</v>
      </c>
      <c r="H101" s="6" t="s">
        <v>268</v>
      </c>
      <c r="I101" s="6" t="s">
        <v>750</v>
      </c>
      <c r="J101">
        <v>18</v>
      </c>
      <c r="K101" t="s">
        <v>19</v>
      </c>
      <c r="L101" s="1">
        <v>2.637</v>
      </c>
      <c r="M101" t="s">
        <v>33</v>
      </c>
      <c r="N101" s="1">
        <f>Tabla16[[#This Row],[Price]]*Tabla16[[#This Row],[QTY Adjusted]]</f>
        <v>47.466000000000001</v>
      </c>
      <c r="O101" s="1">
        <v>47.466000000000001</v>
      </c>
      <c r="P101" s="1" t="s">
        <v>4228</v>
      </c>
    </row>
    <row r="102" spans="1:16" ht="42" customHeight="1" x14ac:dyDescent="0.3">
      <c r="A102" s="6">
        <v>299</v>
      </c>
      <c r="B102" s="6" t="s">
        <v>542</v>
      </c>
      <c r="C102" s="6" t="s">
        <v>228</v>
      </c>
      <c r="D102" s="6" t="s">
        <v>44</v>
      </c>
      <c r="E102" s="6" t="s">
        <v>741</v>
      </c>
      <c r="F102" s="6"/>
      <c r="G102" s="6" t="s">
        <v>753</v>
      </c>
      <c r="H102" s="6" t="s">
        <v>280</v>
      </c>
      <c r="I102" s="6" t="s">
        <v>754</v>
      </c>
      <c r="J102">
        <v>4</v>
      </c>
      <c r="K102" t="s">
        <v>19</v>
      </c>
      <c r="L102" s="1">
        <v>11.682</v>
      </c>
      <c r="M102" t="s">
        <v>33</v>
      </c>
      <c r="N102" s="1">
        <f>Tabla16[[#This Row],[Price]]*Tabla16[[#This Row],[QTY Adjusted]]</f>
        <v>46.728000000000002</v>
      </c>
      <c r="O102" s="1">
        <v>46.728000000000002</v>
      </c>
      <c r="P102" s="1" t="s">
        <v>4228</v>
      </c>
    </row>
    <row r="103" spans="1:16" ht="42" customHeight="1" x14ac:dyDescent="0.3">
      <c r="A103" s="6">
        <v>280</v>
      </c>
      <c r="B103" s="6" t="s">
        <v>542</v>
      </c>
      <c r="C103" s="6" t="s">
        <v>723</v>
      </c>
      <c r="D103" s="6" t="s">
        <v>310</v>
      </c>
      <c r="E103" s="6" t="s">
        <v>724</v>
      </c>
      <c r="F103" s="6"/>
      <c r="G103" s="6" t="s">
        <v>733</v>
      </c>
      <c r="H103" s="6" t="s">
        <v>734</v>
      </c>
      <c r="I103" s="6" t="s">
        <v>735</v>
      </c>
      <c r="J103">
        <v>4</v>
      </c>
      <c r="K103" t="s">
        <v>19</v>
      </c>
      <c r="L103" s="1">
        <v>11.42</v>
      </c>
      <c r="M103" t="s">
        <v>33</v>
      </c>
      <c r="N103" s="1">
        <f>Tabla16[[#This Row],[Price]]*Tabla16[[#This Row],[QTY Adjusted]]</f>
        <v>45.68</v>
      </c>
      <c r="O103" s="1">
        <v>45.68</v>
      </c>
      <c r="P103" s="1" t="s">
        <v>4228</v>
      </c>
    </row>
    <row r="104" spans="1:16" ht="42" customHeight="1" x14ac:dyDescent="0.3">
      <c r="A104" s="6">
        <v>312</v>
      </c>
      <c r="B104" s="6" t="s">
        <v>542</v>
      </c>
      <c r="C104" s="6" t="s">
        <v>321</v>
      </c>
      <c r="D104" s="6" t="s">
        <v>199</v>
      </c>
      <c r="E104" s="6" t="s">
        <v>741</v>
      </c>
      <c r="F104" s="6"/>
      <c r="G104" s="6" t="s">
        <v>322</v>
      </c>
      <c r="H104" s="6" t="s">
        <v>323</v>
      </c>
      <c r="I104" s="6" t="s">
        <v>324</v>
      </c>
      <c r="J104">
        <v>2</v>
      </c>
      <c r="K104" t="s">
        <v>19</v>
      </c>
      <c r="L104" s="1">
        <v>20.500824093750008</v>
      </c>
      <c r="M104" t="s">
        <v>33</v>
      </c>
      <c r="N104" s="1">
        <f>Tabla16[[#This Row],[Price]]*Tabla16[[#This Row],[QTY Adjusted]]</f>
        <v>41.001648187500017</v>
      </c>
      <c r="O104" s="1">
        <v>41.001648187500017</v>
      </c>
      <c r="P104" s="1" t="s">
        <v>4228</v>
      </c>
    </row>
    <row r="105" spans="1:16" ht="42" customHeight="1" x14ac:dyDescent="0.3">
      <c r="A105" s="6">
        <v>323</v>
      </c>
      <c r="B105" s="6" t="s">
        <v>542</v>
      </c>
      <c r="C105" s="6" t="s">
        <v>272</v>
      </c>
      <c r="D105" s="6"/>
      <c r="E105" s="6" t="s">
        <v>741</v>
      </c>
      <c r="F105" s="6"/>
      <c r="G105" s="6" t="s">
        <v>355</v>
      </c>
      <c r="H105" s="6" t="s">
        <v>347</v>
      </c>
      <c r="I105" s="6" t="s">
        <v>356</v>
      </c>
      <c r="J105">
        <v>4</v>
      </c>
      <c r="K105" t="s">
        <v>19</v>
      </c>
      <c r="L105" s="1">
        <v>9.08</v>
      </c>
      <c r="M105" t="s">
        <v>33</v>
      </c>
      <c r="N105" s="1">
        <f>Tabla16[[#This Row],[Price]]*Tabla16[[#This Row],[QTY Adjusted]]</f>
        <v>36.32</v>
      </c>
      <c r="O105" s="1">
        <v>36.32</v>
      </c>
      <c r="P105" s="1" t="s">
        <v>4228</v>
      </c>
    </row>
    <row r="106" spans="1:16" ht="42" customHeight="1" x14ac:dyDescent="0.3">
      <c r="A106" s="6">
        <v>305</v>
      </c>
      <c r="B106" s="6" t="s">
        <v>542</v>
      </c>
      <c r="C106" s="6" t="s">
        <v>228</v>
      </c>
      <c r="D106" s="6" t="s">
        <v>44</v>
      </c>
      <c r="E106" s="6" t="s">
        <v>741</v>
      </c>
      <c r="F106" s="6"/>
      <c r="G106" s="6" t="s">
        <v>297</v>
      </c>
      <c r="H106" s="6" t="s">
        <v>298</v>
      </c>
      <c r="I106" s="6" t="s">
        <v>299</v>
      </c>
      <c r="J106">
        <v>4</v>
      </c>
      <c r="K106" t="s">
        <v>19</v>
      </c>
      <c r="L106" s="1">
        <v>9.07</v>
      </c>
      <c r="M106" t="s">
        <v>33</v>
      </c>
      <c r="N106" s="1">
        <f>Tabla16[[#This Row],[Price]]*Tabla16[[#This Row],[QTY Adjusted]]</f>
        <v>36.28</v>
      </c>
      <c r="O106" s="1">
        <v>36.28</v>
      </c>
      <c r="P106" s="1" t="s">
        <v>4228</v>
      </c>
    </row>
    <row r="107" spans="1:16" ht="42" customHeight="1" x14ac:dyDescent="0.3">
      <c r="A107" s="6">
        <v>283</v>
      </c>
      <c r="B107" s="6" t="s">
        <v>542</v>
      </c>
      <c r="C107" s="6" t="s">
        <v>228</v>
      </c>
      <c r="D107" s="6" t="s">
        <v>44</v>
      </c>
      <c r="E107" s="6" t="s">
        <v>741</v>
      </c>
      <c r="F107" s="6"/>
      <c r="G107" s="6" t="s">
        <v>229</v>
      </c>
      <c r="H107" s="6" t="s">
        <v>230</v>
      </c>
      <c r="I107" s="6" t="s">
        <v>231</v>
      </c>
      <c r="J107">
        <v>4</v>
      </c>
      <c r="K107" t="s">
        <v>19</v>
      </c>
      <c r="L107" s="1">
        <v>8.9600000000000009</v>
      </c>
      <c r="M107" t="s">
        <v>33</v>
      </c>
      <c r="N107" s="1">
        <f>Tabla16[[#This Row],[Price]]*Tabla16[[#This Row],[QTY Adjusted]]</f>
        <v>35.840000000000003</v>
      </c>
      <c r="O107" s="1">
        <v>35.840000000000003</v>
      </c>
      <c r="P107" s="1" t="s">
        <v>4228</v>
      </c>
    </row>
    <row r="108" spans="1:16" ht="42" customHeight="1" x14ac:dyDescent="0.3">
      <c r="A108" s="6">
        <v>316</v>
      </c>
      <c r="B108" s="6" t="s">
        <v>542</v>
      </c>
      <c r="C108" s="6" t="s">
        <v>237</v>
      </c>
      <c r="D108" s="6" t="s">
        <v>93</v>
      </c>
      <c r="E108" s="6" t="s">
        <v>741</v>
      </c>
      <c r="F108" s="6"/>
      <c r="G108" s="6" t="s">
        <v>336</v>
      </c>
      <c r="H108" s="6" t="s">
        <v>337</v>
      </c>
      <c r="I108" s="6" t="s">
        <v>338</v>
      </c>
      <c r="J108">
        <v>3</v>
      </c>
      <c r="K108" t="s">
        <v>19</v>
      </c>
      <c r="L108" s="1">
        <v>11.86</v>
      </c>
      <c r="M108" t="s">
        <v>33</v>
      </c>
      <c r="N108" s="1">
        <f>Tabla16[[#This Row],[Price]]*Tabla16[[#This Row],[QTY Adjusted]]</f>
        <v>35.58</v>
      </c>
      <c r="O108" s="1">
        <v>35.58</v>
      </c>
      <c r="P108" s="1" t="s">
        <v>4228</v>
      </c>
    </row>
    <row r="109" spans="1:16" ht="42" customHeight="1" x14ac:dyDescent="0.3">
      <c r="A109" s="6">
        <v>300</v>
      </c>
      <c r="B109" s="6" t="s">
        <v>542</v>
      </c>
      <c r="C109" s="6" t="s">
        <v>228</v>
      </c>
      <c r="D109" s="6" t="s">
        <v>44</v>
      </c>
      <c r="E109" s="6" t="s">
        <v>741</v>
      </c>
      <c r="F109" s="6"/>
      <c r="G109" s="6" t="s">
        <v>755</v>
      </c>
      <c r="H109" s="6" t="s">
        <v>756</v>
      </c>
      <c r="I109" s="6" t="s">
        <v>757</v>
      </c>
      <c r="J109">
        <v>4</v>
      </c>
      <c r="K109" t="s">
        <v>19</v>
      </c>
      <c r="L109" s="1">
        <v>8.8559999999999999</v>
      </c>
      <c r="M109" t="s">
        <v>33</v>
      </c>
      <c r="N109" s="1">
        <f>Tabla16[[#This Row],[Price]]*Tabla16[[#This Row],[QTY Adjusted]]</f>
        <v>35.423999999999999</v>
      </c>
      <c r="O109" s="1">
        <v>35.423999999999999</v>
      </c>
      <c r="P109" s="1" t="s">
        <v>4228</v>
      </c>
    </row>
    <row r="110" spans="1:16" ht="42" customHeight="1" x14ac:dyDescent="0.3">
      <c r="A110" s="6">
        <v>301</v>
      </c>
      <c r="B110" s="6" t="s">
        <v>542</v>
      </c>
      <c r="C110" s="6" t="s">
        <v>228</v>
      </c>
      <c r="D110" s="6" t="s">
        <v>44</v>
      </c>
      <c r="E110" s="6" t="s">
        <v>741</v>
      </c>
      <c r="F110" s="6"/>
      <c r="G110" s="6" t="s">
        <v>758</v>
      </c>
      <c r="H110" s="6" t="s">
        <v>286</v>
      </c>
      <c r="I110" s="6" t="s">
        <v>759</v>
      </c>
      <c r="J110">
        <v>4</v>
      </c>
      <c r="K110" t="s">
        <v>19</v>
      </c>
      <c r="L110" s="1">
        <v>7.6859999999999999</v>
      </c>
      <c r="M110" t="s">
        <v>33</v>
      </c>
      <c r="N110" s="1">
        <f>Tabla16[[#This Row],[Price]]*Tabla16[[#This Row],[QTY Adjusted]]</f>
        <v>30.744</v>
      </c>
      <c r="O110" s="1">
        <v>30.744</v>
      </c>
      <c r="P110" s="1" t="s">
        <v>4228</v>
      </c>
    </row>
    <row r="111" spans="1:16" ht="42" customHeight="1" x14ac:dyDescent="0.3">
      <c r="A111" s="6">
        <v>303</v>
      </c>
      <c r="B111" s="6" t="s">
        <v>542</v>
      </c>
      <c r="C111" s="6" t="s">
        <v>228</v>
      </c>
      <c r="D111" s="6" t="s">
        <v>44</v>
      </c>
      <c r="E111" s="6" t="s">
        <v>741</v>
      </c>
      <c r="F111" s="6"/>
      <c r="G111" s="6" t="s">
        <v>762</v>
      </c>
      <c r="H111" s="6" t="s">
        <v>292</v>
      </c>
      <c r="I111" s="6" t="s">
        <v>763</v>
      </c>
      <c r="J111">
        <v>4</v>
      </c>
      <c r="K111" t="s">
        <v>19</v>
      </c>
      <c r="L111" s="1">
        <v>7.65</v>
      </c>
      <c r="M111" t="s">
        <v>33</v>
      </c>
      <c r="N111" s="1">
        <f>Tabla16[[#This Row],[Price]]*Tabla16[[#This Row],[QTY Adjusted]]</f>
        <v>30.6</v>
      </c>
      <c r="O111" s="1">
        <v>30.6</v>
      </c>
      <c r="P111" s="1" t="s">
        <v>4228</v>
      </c>
    </row>
    <row r="112" spans="1:16" ht="42" customHeight="1" x14ac:dyDescent="0.3">
      <c r="A112" s="6">
        <v>297</v>
      </c>
      <c r="B112" s="6" t="s">
        <v>542</v>
      </c>
      <c r="C112" s="6" t="s">
        <v>272</v>
      </c>
      <c r="D112" s="6"/>
      <c r="E112" s="6" t="s">
        <v>741</v>
      </c>
      <c r="F112" s="6"/>
      <c r="G112" s="6" t="s">
        <v>273</v>
      </c>
      <c r="H112" s="6" t="s">
        <v>274</v>
      </c>
      <c r="I112" s="6" t="s">
        <v>275</v>
      </c>
      <c r="J112">
        <v>1</v>
      </c>
      <c r="K112" t="s">
        <v>748</v>
      </c>
      <c r="L112" s="1">
        <v>28.8</v>
      </c>
      <c r="M112" t="s">
        <v>33</v>
      </c>
      <c r="N112" s="1">
        <f>Tabla16[[#This Row],[Price]]*Tabla16[[#This Row],[QTY Adjusted]]</f>
        <v>28.8</v>
      </c>
      <c r="O112" s="1">
        <v>28.8</v>
      </c>
      <c r="P112" s="1" t="s">
        <v>4228</v>
      </c>
    </row>
    <row r="113" spans="1:16" ht="42" customHeight="1" x14ac:dyDescent="0.3">
      <c r="A113" s="6">
        <v>302</v>
      </c>
      <c r="B113" s="6" t="s">
        <v>542</v>
      </c>
      <c r="C113" s="6" t="s">
        <v>228</v>
      </c>
      <c r="D113" s="6" t="s">
        <v>44</v>
      </c>
      <c r="E113" s="6" t="s">
        <v>741</v>
      </c>
      <c r="F113" s="6"/>
      <c r="G113" s="6" t="s">
        <v>760</v>
      </c>
      <c r="H113" s="6" t="s">
        <v>289</v>
      </c>
      <c r="I113" s="6" t="s">
        <v>761</v>
      </c>
      <c r="J113">
        <v>4</v>
      </c>
      <c r="K113" t="s">
        <v>19</v>
      </c>
      <c r="L113" s="1">
        <v>6.8579999999999997</v>
      </c>
      <c r="M113" t="s">
        <v>33</v>
      </c>
      <c r="N113" s="1">
        <f>Tabla16[[#This Row],[Price]]*Tabla16[[#This Row],[QTY Adjusted]]</f>
        <v>27.431999999999999</v>
      </c>
      <c r="O113" s="1">
        <v>27.431999999999999</v>
      </c>
      <c r="P113" s="1" t="s">
        <v>4228</v>
      </c>
    </row>
    <row r="114" spans="1:16" ht="42" customHeight="1" x14ac:dyDescent="0.3">
      <c r="A114" s="6">
        <v>319</v>
      </c>
      <c r="B114" s="6" t="s">
        <v>542</v>
      </c>
      <c r="C114" s="6" t="s">
        <v>321</v>
      </c>
      <c r="D114" s="6" t="s">
        <v>199</v>
      </c>
      <c r="E114" s="6" t="s">
        <v>741</v>
      </c>
      <c r="F114" s="6"/>
      <c r="G114" s="6" t="s">
        <v>343</v>
      </c>
      <c r="H114" s="6" t="s">
        <v>344</v>
      </c>
      <c r="I114" s="6" t="s">
        <v>345</v>
      </c>
      <c r="J114">
        <v>1</v>
      </c>
      <c r="K114" t="s">
        <v>19</v>
      </c>
      <c r="L114" s="1">
        <v>24.180459187500002</v>
      </c>
      <c r="M114" t="s">
        <v>33</v>
      </c>
      <c r="N114" s="1">
        <f>Tabla16[[#This Row],[Price]]*Tabla16[[#This Row],[QTY Adjusted]]</f>
        <v>24.180459187500002</v>
      </c>
      <c r="O114" s="1">
        <v>24.180459187500002</v>
      </c>
      <c r="P114" s="1" t="s">
        <v>4228</v>
      </c>
    </row>
    <row r="115" spans="1:16" ht="42" customHeight="1" x14ac:dyDescent="0.3">
      <c r="A115" s="6">
        <v>332</v>
      </c>
      <c r="B115" s="6" t="s">
        <v>542</v>
      </c>
      <c r="C115" s="6" t="s">
        <v>329</v>
      </c>
      <c r="D115" s="6" t="s">
        <v>199</v>
      </c>
      <c r="E115" s="6" t="s">
        <v>741</v>
      </c>
      <c r="F115" s="6"/>
      <c r="G115" s="6" t="s">
        <v>382</v>
      </c>
      <c r="H115" s="6" t="s">
        <v>383</v>
      </c>
      <c r="I115" s="6" t="s">
        <v>384</v>
      </c>
      <c r="J115">
        <v>1</v>
      </c>
      <c r="K115" t="s">
        <v>19</v>
      </c>
      <c r="L115" s="1">
        <v>22.307670000000002</v>
      </c>
      <c r="M115" t="s">
        <v>33</v>
      </c>
      <c r="N115" s="1">
        <f>Tabla16[[#This Row],[Price]]*Tabla16[[#This Row],[QTY Adjusted]]</f>
        <v>22.307670000000002</v>
      </c>
      <c r="O115" s="1">
        <v>22.307670000000002</v>
      </c>
      <c r="P115" s="1" t="s">
        <v>4228</v>
      </c>
    </row>
    <row r="116" spans="1:16" ht="42" customHeight="1" x14ac:dyDescent="0.3">
      <c r="A116" s="6">
        <v>326</v>
      </c>
      <c r="B116" s="6" t="s">
        <v>542</v>
      </c>
      <c r="C116" s="6" t="s">
        <v>329</v>
      </c>
      <c r="D116" s="6" t="s">
        <v>199</v>
      </c>
      <c r="E116" s="6" t="s">
        <v>741</v>
      </c>
      <c r="F116" s="6"/>
      <c r="G116" s="6" t="s">
        <v>366</v>
      </c>
      <c r="H116" s="6" t="s">
        <v>367</v>
      </c>
      <c r="I116" s="6" t="s">
        <v>368</v>
      </c>
      <c r="J116">
        <v>3</v>
      </c>
      <c r="K116" t="s">
        <v>19</v>
      </c>
      <c r="L116" s="1">
        <v>7.3993499999999992</v>
      </c>
      <c r="M116" t="s">
        <v>33</v>
      </c>
      <c r="N116" s="1">
        <f>Tabla16[[#This Row],[Price]]*Tabla16[[#This Row],[QTY Adjusted]]</f>
        <v>22.198049999999999</v>
      </c>
      <c r="O116" s="1">
        <v>22.198049999999999</v>
      </c>
      <c r="P116" s="1" t="s">
        <v>4228</v>
      </c>
    </row>
    <row r="117" spans="1:16" ht="42" customHeight="1" x14ac:dyDescent="0.3">
      <c r="A117" s="6">
        <v>321</v>
      </c>
      <c r="B117" s="6" t="s">
        <v>542</v>
      </c>
      <c r="C117" s="6" t="s">
        <v>228</v>
      </c>
      <c r="D117" s="6" t="s">
        <v>44</v>
      </c>
      <c r="E117" s="6" t="s">
        <v>741</v>
      </c>
      <c r="F117" s="6"/>
      <c r="G117" s="6" t="s">
        <v>349</v>
      </c>
      <c r="H117" s="6" t="s">
        <v>350</v>
      </c>
      <c r="I117" s="6" t="s">
        <v>351</v>
      </c>
      <c r="J117">
        <v>2</v>
      </c>
      <c r="K117" t="s">
        <v>19</v>
      </c>
      <c r="L117" s="1">
        <v>9.8800000000000008</v>
      </c>
      <c r="M117" t="s">
        <v>33</v>
      </c>
      <c r="N117" s="1">
        <f>Tabla16[[#This Row],[Price]]*Tabla16[[#This Row],[QTY Adjusted]]</f>
        <v>19.760000000000002</v>
      </c>
      <c r="O117" s="1">
        <v>19.760000000000002</v>
      </c>
      <c r="P117" s="1" t="s">
        <v>4228</v>
      </c>
    </row>
    <row r="118" spans="1:16" ht="42" customHeight="1" x14ac:dyDescent="0.3">
      <c r="A118" s="6">
        <v>284</v>
      </c>
      <c r="B118" s="6" t="s">
        <v>542</v>
      </c>
      <c r="C118" s="6" t="s">
        <v>232</v>
      </c>
      <c r="D118" s="6" t="s">
        <v>233</v>
      </c>
      <c r="E118" s="6" t="s">
        <v>741</v>
      </c>
      <c r="F118" s="6"/>
      <c r="G118" s="6" t="s">
        <v>234</v>
      </c>
      <c r="H118" s="6" t="s">
        <v>742</v>
      </c>
      <c r="I118" s="6" t="s">
        <v>236</v>
      </c>
      <c r="J118">
        <v>4</v>
      </c>
      <c r="K118" t="s">
        <v>19</v>
      </c>
      <c r="L118" s="1">
        <v>4.71</v>
      </c>
      <c r="M118" t="s">
        <v>33</v>
      </c>
      <c r="N118" s="1">
        <f>Tabla16[[#This Row],[Price]]*Tabla16[[#This Row],[QTY Adjusted]]</f>
        <v>18.84</v>
      </c>
      <c r="O118" s="1">
        <v>18.84</v>
      </c>
      <c r="P118" s="1" t="s">
        <v>4228</v>
      </c>
    </row>
    <row r="119" spans="1:16" ht="42" customHeight="1" x14ac:dyDescent="0.3">
      <c r="A119" s="6">
        <v>330</v>
      </c>
      <c r="B119" s="6" t="s">
        <v>542</v>
      </c>
      <c r="C119" s="6" t="s">
        <v>92</v>
      </c>
      <c r="D119" s="6" t="s">
        <v>93</v>
      </c>
      <c r="E119" s="6" t="s">
        <v>741</v>
      </c>
      <c r="F119" s="6"/>
      <c r="G119" s="6" t="s">
        <v>377</v>
      </c>
      <c r="H119" s="6" t="s">
        <v>373</v>
      </c>
      <c r="I119" s="6" t="s">
        <v>378</v>
      </c>
      <c r="J119">
        <v>2</v>
      </c>
      <c r="K119" t="s">
        <v>19</v>
      </c>
      <c r="L119" s="1">
        <v>9.2200000000000006</v>
      </c>
      <c r="M119" t="s">
        <v>33</v>
      </c>
      <c r="N119" s="1">
        <f>Tabla16[[#This Row],[Price]]*Tabla16[[#This Row],[QTY Adjusted]]</f>
        <v>18.440000000000001</v>
      </c>
      <c r="O119" s="1">
        <v>18.440000000000001</v>
      </c>
      <c r="P119" s="1" t="s">
        <v>4228</v>
      </c>
    </row>
    <row r="120" spans="1:16" ht="42" customHeight="1" x14ac:dyDescent="0.3">
      <c r="A120" s="6">
        <v>322</v>
      </c>
      <c r="B120" s="6" t="s">
        <v>542</v>
      </c>
      <c r="C120" s="6" t="s">
        <v>329</v>
      </c>
      <c r="D120" s="6" t="s">
        <v>199</v>
      </c>
      <c r="E120" s="6" t="s">
        <v>741</v>
      </c>
      <c r="F120" s="6"/>
      <c r="G120" s="6" t="s">
        <v>352</v>
      </c>
      <c r="H120" s="6" t="s">
        <v>353</v>
      </c>
      <c r="I120" s="6" t="s">
        <v>354</v>
      </c>
      <c r="J120">
        <v>1</v>
      </c>
      <c r="K120" t="s">
        <v>19</v>
      </c>
      <c r="L120" s="1">
        <v>14.935724999999998</v>
      </c>
      <c r="M120" t="s">
        <v>33</v>
      </c>
      <c r="N120" s="1">
        <f>Tabla16[[#This Row],[Price]]*Tabla16[[#This Row],[QTY Adjusted]]</f>
        <v>14.935724999999998</v>
      </c>
      <c r="O120" s="1">
        <v>14.935724999999998</v>
      </c>
      <c r="P120" s="1" t="s">
        <v>4228</v>
      </c>
    </row>
    <row r="121" spans="1:16" ht="42" customHeight="1" x14ac:dyDescent="0.3">
      <c r="A121" s="6">
        <v>306</v>
      </c>
      <c r="B121" s="6" t="s">
        <v>542</v>
      </c>
      <c r="C121" s="6" t="s">
        <v>228</v>
      </c>
      <c r="D121" s="6" t="s">
        <v>44</v>
      </c>
      <c r="E121" s="6" t="s">
        <v>741</v>
      </c>
      <c r="F121" s="6"/>
      <c r="G121" s="6" t="s">
        <v>300</v>
      </c>
      <c r="H121" s="6" t="s">
        <v>301</v>
      </c>
      <c r="I121" s="6" t="s">
        <v>302</v>
      </c>
      <c r="J121">
        <v>4</v>
      </c>
      <c r="K121" t="s">
        <v>19</v>
      </c>
      <c r="L121" s="1">
        <v>3.5910000000000002</v>
      </c>
      <c r="M121" t="s">
        <v>33</v>
      </c>
      <c r="N121" s="1">
        <f>Tabla16[[#This Row],[Price]]*Tabla16[[#This Row],[QTY Adjusted]]</f>
        <v>14.364000000000001</v>
      </c>
      <c r="O121" s="1">
        <v>14.364000000000001</v>
      </c>
      <c r="P121" s="1" t="s">
        <v>4228</v>
      </c>
    </row>
    <row r="122" spans="1:16" ht="42" customHeight="1" x14ac:dyDescent="0.3">
      <c r="A122" s="6">
        <v>328</v>
      </c>
      <c r="B122" s="6" t="s">
        <v>542</v>
      </c>
      <c r="C122" s="6" t="s">
        <v>371</v>
      </c>
      <c r="D122" s="6"/>
      <c r="E122" s="6" t="s">
        <v>741</v>
      </c>
      <c r="F122" s="6"/>
      <c r="G122" s="6" t="s">
        <v>372</v>
      </c>
      <c r="H122" s="6" t="s">
        <v>373</v>
      </c>
      <c r="I122" s="6" t="s">
        <v>374</v>
      </c>
      <c r="J122">
        <v>2</v>
      </c>
      <c r="K122" t="s">
        <v>19</v>
      </c>
      <c r="L122" s="1">
        <v>6.5</v>
      </c>
      <c r="M122" t="s">
        <v>33</v>
      </c>
      <c r="N122" s="1">
        <f>Tabla16[[#This Row],[Price]]*Tabla16[[#This Row],[QTY Adjusted]]</f>
        <v>13</v>
      </c>
      <c r="O122" s="1">
        <v>13</v>
      </c>
      <c r="P122" s="1" t="s">
        <v>4228</v>
      </c>
    </row>
    <row r="123" spans="1:16" ht="42" customHeight="1" x14ac:dyDescent="0.3">
      <c r="A123" s="6">
        <v>311</v>
      </c>
      <c r="B123" s="6" t="s">
        <v>542</v>
      </c>
      <c r="C123" s="6" t="s">
        <v>314</v>
      </c>
      <c r="D123" s="6" t="s">
        <v>93</v>
      </c>
      <c r="E123" s="6" t="s">
        <v>741</v>
      </c>
      <c r="F123" s="6"/>
      <c r="G123" s="6">
        <v>396</v>
      </c>
      <c r="H123" s="6" t="s">
        <v>319</v>
      </c>
      <c r="I123" s="6" t="s">
        <v>320</v>
      </c>
      <c r="J123">
        <v>6</v>
      </c>
      <c r="K123" t="s">
        <v>19</v>
      </c>
      <c r="L123" s="1">
        <v>1.63</v>
      </c>
      <c r="M123" t="s">
        <v>33</v>
      </c>
      <c r="N123" s="1">
        <f>Tabla16[[#This Row],[Price]]*Tabla16[[#This Row],[QTY Adjusted]]</f>
        <v>9.7799999999999994</v>
      </c>
      <c r="O123" s="1">
        <v>9.7799999999999994</v>
      </c>
      <c r="P123" s="1" t="s">
        <v>4228</v>
      </c>
    </row>
    <row r="124" spans="1:16" ht="42" customHeight="1" x14ac:dyDescent="0.3">
      <c r="A124" s="6">
        <v>324</v>
      </c>
      <c r="B124" s="6" t="s">
        <v>542</v>
      </c>
      <c r="C124" s="6" t="s">
        <v>357</v>
      </c>
      <c r="D124" s="6" t="s">
        <v>93</v>
      </c>
      <c r="E124" s="6" t="s">
        <v>741</v>
      </c>
      <c r="F124" s="6"/>
      <c r="G124" s="6" t="s">
        <v>358</v>
      </c>
      <c r="H124" s="6" t="s">
        <v>359</v>
      </c>
      <c r="I124" s="6" t="s">
        <v>360</v>
      </c>
      <c r="J124">
        <v>1</v>
      </c>
      <c r="K124" t="s">
        <v>19</v>
      </c>
      <c r="L124" s="1">
        <v>9.5299999999999994</v>
      </c>
      <c r="M124" t="s">
        <v>33</v>
      </c>
      <c r="N124" s="1">
        <f>Tabla16[[#This Row],[Price]]*Tabla16[[#This Row],[QTY Adjusted]]</f>
        <v>9.5299999999999994</v>
      </c>
      <c r="O124" s="1">
        <v>9.5299999999999994</v>
      </c>
      <c r="P124" s="1" t="s">
        <v>4228</v>
      </c>
    </row>
    <row r="125" spans="1:16" ht="42" customHeight="1" x14ac:dyDescent="0.3">
      <c r="A125" s="6">
        <v>331</v>
      </c>
      <c r="B125" s="6" t="s">
        <v>542</v>
      </c>
      <c r="C125" s="6" t="s">
        <v>314</v>
      </c>
      <c r="D125" s="6" t="s">
        <v>93</v>
      </c>
      <c r="E125" s="6" t="s">
        <v>741</v>
      </c>
      <c r="F125" s="6"/>
      <c r="G125" s="6" t="s">
        <v>379</v>
      </c>
      <c r="H125" s="6" t="s">
        <v>380</v>
      </c>
      <c r="I125" s="6" t="s">
        <v>381</v>
      </c>
      <c r="J125">
        <v>2</v>
      </c>
      <c r="K125" t="s">
        <v>19</v>
      </c>
      <c r="L125" s="1">
        <v>4.4000000000000004</v>
      </c>
      <c r="M125" t="s">
        <v>33</v>
      </c>
      <c r="N125" s="1">
        <f>Tabla16[[#This Row],[Price]]*Tabla16[[#This Row],[QTY Adjusted]]</f>
        <v>8.8000000000000007</v>
      </c>
      <c r="O125" s="1">
        <v>8.8000000000000007</v>
      </c>
      <c r="P125" s="1" t="s">
        <v>4228</v>
      </c>
    </row>
    <row r="126" spans="1:16" ht="42" customHeight="1" x14ac:dyDescent="0.3">
      <c r="A126" s="6">
        <v>307</v>
      </c>
      <c r="B126" s="6" t="s">
        <v>542</v>
      </c>
      <c r="C126" s="6" t="s">
        <v>321</v>
      </c>
      <c r="D126" s="6" t="s">
        <v>199</v>
      </c>
      <c r="E126" s="6" t="s">
        <v>741</v>
      </c>
      <c r="F126" s="6"/>
      <c r="G126" s="6" t="s">
        <v>766</v>
      </c>
      <c r="H126" s="6" t="s">
        <v>304</v>
      </c>
      <c r="I126" s="6" t="s">
        <v>767</v>
      </c>
      <c r="J126">
        <v>1</v>
      </c>
      <c r="K126" t="s">
        <v>19</v>
      </c>
      <c r="L126" s="1">
        <v>6.3079458750000006</v>
      </c>
      <c r="M126" t="s">
        <v>33</v>
      </c>
      <c r="N126" s="1">
        <f>Tabla16[[#This Row],[Price]]*Tabla16[[#This Row],[QTY Adjusted]]</f>
        <v>6.3079458750000006</v>
      </c>
      <c r="O126" s="1">
        <v>6.3079458750000006</v>
      </c>
      <c r="P126" s="1" t="s">
        <v>4228</v>
      </c>
    </row>
    <row r="127" spans="1:16" ht="42" customHeight="1" x14ac:dyDescent="0.3">
      <c r="A127" s="6">
        <v>329</v>
      </c>
      <c r="B127" s="6" t="s">
        <v>542</v>
      </c>
      <c r="C127" s="6" t="s">
        <v>371</v>
      </c>
      <c r="D127" s="6"/>
      <c r="E127" s="6" t="s">
        <v>741</v>
      </c>
      <c r="F127" s="6"/>
      <c r="G127" s="6" t="s">
        <v>375</v>
      </c>
      <c r="H127" s="6" t="s">
        <v>373</v>
      </c>
      <c r="I127" s="6" t="s">
        <v>376</v>
      </c>
      <c r="J127">
        <v>2</v>
      </c>
      <c r="K127" t="s">
        <v>19</v>
      </c>
      <c r="L127" s="1">
        <v>3</v>
      </c>
      <c r="M127" t="s">
        <v>33</v>
      </c>
      <c r="N127" s="1">
        <f>Tabla16[[#This Row],[Price]]*Tabla16[[#This Row],[QTY Adjusted]]</f>
        <v>6</v>
      </c>
      <c r="O127" s="1">
        <v>6</v>
      </c>
      <c r="P127" s="1" t="s">
        <v>4228</v>
      </c>
    </row>
    <row r="128" spans="1:16" ht="42" customHeight="1" x14ac:dyDescent="0.3">
      <c r="A128" s="6">
        <v>333</v>
      </c>
      <c r="B128" s="6" t="s">
        <v>542</v>
      </c>
      <c r="C128" s="6" t="s">
        <v>92</v>
      </c>
      <c r="D128" s="6" t="s">
        <v>93</v>
      </c>
      <c r="E128" s="6" t="s">
        <v>741</v>
      </c>
      <c r="F128" s="6"/>
      <c r="G128" s="6" t="s">
        <v>385</v>
      </c>
      <c r="H128" s="6" t="s">
        <v>386</v>
      </c>
      <c r="I128" s="6" t="s">
        <v>387</v>
      </c>
      <c r="J128">
        <v>2</v>
      </c>
      <c r="K128" t="s">
        <v>19</v>
      </c>
      <c r="L128" s="1">
        <v>2.85</v>
      </c>
      <c r="M128" t="s">
        <v>33</v>
      </c>
      <c r="N128" s="1">
        <f>Tabla16[[#This Row],[Price]]*Tabla16[[#This Row],[QTY Adjusted]]</f>
        <v>5.7</v>
      </c>
      <c r="O128" s="1">
        <v>5.7</v>
      </c>
      <c r="P128" s="1" t="s">
        <v>4228</v>
      </c>
    </row>
    <row r="129" spans="1:16" ht="42" customHeight="1" x14ac:dyDescent="0.3">
      <c r="A129" s="6">
        <v>314</v>
      </c>
      <c r="B129" s="6" t="s">
        <v>542</v>
      </c>
      <c r="C129" s="6" t="s">
        <v>329</v>
      </c>
      <c r="D129" s="6" t="s">
        <v>199</v>
      </c>
      <c r="E129" s="6" t="s">
        <v>741</v>
      </c>
      <c r="F129" s="6"/>
      <c r="G129" s="6" t="s">
        <v>330</v>
      </c>
      <c r="H129" s="6" t="s">
        <v>331</v>
      </c>
      <c r="I129" s="6" t="s">
        <v>332</v>
      </c>
      <c r="J129">
        <v>1</v>
      </c>
      <c r="K129" t="s">
        <v>19</v>
      </c>
      <c r="L129" s="1">
        <v>3.34341</v>
      </c>
      <c r="M129" t="s">
        <v>33</v>
      </c>
      <c r="N129" s="1">
        <f>Tabla16[[#This Row],[Price]]*Tabla16[[#This Row],[QTY Adjusted]]</f>
        <v>3.34341</v>
      </c>
      <c r="O129" s="1">
        <v>3.34341</v>
      </c>
      <c r="P129" s="1" t="s">
        <v>4228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8CD8-71C7-4559-823F-EDAF49EC5EAF}">
  <dimension ref="A1:Q126"/>
  <sheetViews>
    <sheetView showGridLines="0" topLeftCell="G1" zoomScale="70" zoomScaleNormal="70" workbookViewId="0">
      <selection activeCell="P7" sqref="P7"/>
    </sheetView>
  </sheetViews>
  <sheetFormatPr baseColWidth="10" defaultColWidth="11.44140625" defaultRowHeight="14.4" x14ac:dyDescent="0.3"/>
  <cols>
    <col min="2" max="3" width="11.5546875" customWidth="1"/>
    <col min="4" max="4" width="24" bestFit="1" customWidth="1"/>
    <col min="5" max="5" width="24" customWidth="1"/>
    <col min="6" max="6" width="27.33203125" bestFit="1" customWidth="1"/>
    <col min="7" max="7" width="25.6640625" customWidth="1"/>
    <col min="8" max="8" width="24.44140625" customWidth="1"/>
    <col min="9" max="9" width="27.5546875" customWidth="1"/>
    <col min="10" max="10" width="14.33203125" customWidth="1"/>
    <col min="11" max="11" width="11.5546875" customWidth="1"/>
    <col min="12" max="12" width="15.88671875" bestFit="1" customWidth="1"/>
    <col min="13" max="13" width="11.5546875" customWidth="1"/>
    <col min="14" max="14" width="15.33203125" bestFit="1" customWidth="1"/>
    <col min="15" max="15" width="16.6640625" customWidth="1"/>
    <col min="16" max="16" width="45.109375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4214</v>
      </c>
      <c r="Q2" t="s">
        <v>4247</v>
      </c>
    </row>
    <row r="3" spans="1:17" ht="42" customHeight="1" x14ac:dyDescent="0.3">
      <c r="A3" s="3">
        <v>71</v>
      </c>
      <c r="B3" s="3" t="s">
        <v>13</v>
      </c>
      <c r="C3" s="3" t="s">
        <v>223</v>
      </c>
      <c r="D3" s="18" t="s">
        <v>44</v>
      </c>
      <c r="E3" s="18"/>
      <c r="F3" s="3" t="s">
        <v>4059</v>
      </c>
      <c r="G3" s="3" t="s">
        <v>224</v>
      </c>
      <c r="H3" s="3" t="s">
        <v>225</v>
      </c>
      <c r="I3" s="3" t="s">
        <v>226</v>
      </c>
      <c r="J3" s="3">
        <v>12</v>
      </c>
      <c r="K3" s="3" t="s">
        <v>19</v>
      </c>
      <c r="L3" s="4">
        <v>928.83</v>
      </c>
      <c r="M3" s="3" t="s">
        <v>33</v>
      </c>
      <c r="N3" s="4">
        <v>11145.960000000001</v>
      </c>
      <c r="O3" s="16">
        <v>85.92</v>
      </c>
      <c r="P3" t="s">
        <v>4225</v>
      </c>
      <c r="Q3">
        <v>0</v>
      </c>
    </row>
    <row r="4" spans="1:17" ht="42" customHeight="1" x14ac:dyDescent="0.3">
      <c r="A4" s="3">
        <v>40</v>
      </c>
      <c r="B4" s="3" t="s">
        <v>13</v>
      </c>
      <c r="C4" s="3" t="s">
        <v>120</v>
      </c>
      <c r="D4" s="18" t="s">
        <v>44</v>
      </c>
      <c r="E4" s="18"/>
      <c r="F4" s="3" t="s">
        <v>4059</v>
      </c>
      <c r="G4" s="3" t="s">
        <v>121</v>
      </c>
      <c r="H4" s="3" t="s">
        <v>122</v>
      </c>
      <c r="I4" s="3" t="s">
        <v>123</v>
      </c>
      <c r="J4" s="3">
        <v>8</v>
      </c>
      <c r="K4" s="3" t="s">
        <v>19</v>
      </c>
      <c r="L4" s="16">
        <v>259.36</v>
      </c>
      <c r="M4" s="3" t="s">
        <v>33</v>
      </c>
      <c r="N4" s="4">
        <v>2074.88</v>
      </c>
      <c r="O4" s="16">
        <v>2074.88</v>
      </c>
      <c r="P4" s="26">
        <v>46117</v>
      </c>
      <c r="Q4">
        <v>0</v>
      </c>
    </row>
    <row r="5" spans="1:17" ht="42" customHeight="1" x14ac:dyDescent="0.3">
      <c r="A5" s="3">
        <v>4</v>
      </c>
      <c r="B5" s="3" t="s">
        <v>13</v>
      </c>
      <c r="C5" s="3" t="s">
        <v>29</v>
      </c>
      <c r="D5" s="3" t="str">
        <f>Tabla17[[#This Row],[Vendor]]</f>
        <v>Blue Pheasant</v>
      </c>
      <c r="E5" s="3"/>
      <c r="F5" s="3" t="s">
        <v>4059</v>
      </c>
      <c r="G5" s="3" t="s">
        <v>30</v>
      </c>
      <c r="H5" s="3" t="s">
        <v>31</v>
      </c>
      <c r="I5" s="3" t="s">
        <v>32</v>
      </c>
      <c r="J5" s="3">
        <v>122</v>
      </c>
      <c r="K5" s="3" t="s">
        <v>19</v>
      </c>
      <c r="L5" s="4">
        <v>55</v>
      </c>
      <c r="M5" s="3" t="s">
        <v>33</v>
      </c>
      <c r="N5" s="4">
        <v>6710</v>
      </c>
      <c r="O5" s="4">
        <v>6710</v>
      </c>
      <c r="P5" t="s">
        <v>4218</v>
      </c>
      <c r="Q5" t="s">
        <v>4245</v>
      </c>
    </row>
    <row r="6" spans="1:17" ht="42" customHeight="1" x14ac:dyDescent="0.3">
      <c r="A6" s="3">
        <v>39</v>
      </c>
      <c r="B6" s="3" t="s">
        <v>13</v>
      </c>
      <c r="C6" s="3" t="s">
        <v>43</v>
      </c>
      <c r="D6" s="3" t="s">
        <v>44</v>
      </c>
      <c r="E6" s="3"/>
      <c r="F6" s="3" t="s">
        <v>4059</v>
      </c>
      <c r="G6" s="3">
        <v>653593</v>
      </c>
      <c r="H6" s="3" t="s">
        <v>118</v>
      </c>
      <c r="I6" s="3" t="s">
        <v>119</v>
      </c>
      <c r="J6" s="3">
        <v>15</v>
      </c>
      <c r="K6" s="3" t="s">
        <v>19</v>
      </c>
      <c r="L6" s="4">
        <v>200.3</v>
      </c>
      <c r="M6" s="3" t="s">
        <v>33</v>
      </c>
      <c r="N6" s="4">
        <v>3004.5</v>
      </c>
      <c r="O6" s="4">
        <v>3004.5</v>
      </c>
      <c r="P6" t="s">
        <v>4225</v>
      </c>
      <c r="Q6">
        <v>0</v>
      </c>
    </row>
    <row r="7" spans="1:17" ht="42" customHeight="1" x14ac:dyDescent="0.3">
      <c r="A7" s="3">
        <v>63</v>
      </c>
      <c r="B7" s="3" t="s">
        <v>13</v>
      </c>
      <c r="C7" s="3" t="s">
        <v>120</v>
      </c>
      <c r="D7" s="3" t="str">
        <f>Tabla17[[#This Row],[Vendor]]</f>
        <v>Maxim World</v>
      </c>
      <c r="E7" s="3"/>
      <c r="F7" s="3" t="s">
        <v>4059</v>
      </c>
      <c r="G7" s="3" t="s">
        <v>192</v>
      </c>
      <c r="H7" s="3" t="s">
        <v>193</v>
      </c>
      <c r="I7" s="3" t="s">
        <v>194</v>
      </c>
      <c r="J7" s="3">
        <v>22</v>
      </c>
      <c r="K7" s="3" t="s">
        <v>19</v>
      </c>
      <c r="L7" s="4">
        <v>128</v>
      </c>
      <c r="M7" s="3" t="s">
        <v>33</v>
      </c>
      <c r="N7" s="4">
        <v>2816</v>
      </c>
      <c r="O7" s="4">
        <v>2816</v>
      </c>
      <c r="P7" t="s">
        <v>4228</v>
      </c>
      <c r="Q7" t="s">
        <v>4246</v>
      </c>
    </row>
    <row r="8" spans="1:17" ht="42" customHeight="1" x14ac:dyDescent="0.3">
      <c r="A8" s="3">
        <v>68</v>
      </c>
      <c r="B8" s="3" t="s">
        <v>13</v>
      </c>
      <c r="C8" s="3" t="s">
        <v>208</v>
      </c>
      <c r="D8" s="3" t="s">
        <v>199</v>
      </c>
      <c r="E8" s="3"/>
      <c r="F8" s="3" t="s">
        <v>4059</v>
      </c>
      <c r="G8" s="3" t="s">
        <v>212</v>
      </c>
      <c r="H8" s="3" t="s">
        <v>213</v>
      </c>
      <c r="I8" s="3" t="s">
        <v>214</v>
      </c>
      <c r="J8" s="3">
        <v>3</v>
      </c>
      <c r="K8" s="3" t="s">
        <v>19</v>
      </c>
      <c r="L8" s="4">
        <v>926.75</v>
      </c>
      <c r="M8" s="3" t="s">
        <v>33</v>
      </c>
      <c r="N8" s="4">
        <v>2780.25</v>
      </c>
      <c r="O8" s="4">
        <v>2780.25</v>
      </c>
      <c r="P8" t="s">
        <v>4239</v>
      </c>
      <c r="Q8">
        <v>0</v>
      </c>
    </row>
    <row r="9" spans="1:17" ht="42" customHeight="1" x14ac:dyDescent="0.3">
      <c r="A9" s="3">
        <v>2</v>
      </c>
      <c r="B9" s="3" t="s">
        <v>13</v>
      </c>
      <c r="C9" s="3" t="s">
        <v>21</v>
      </c>
      <c r="D9" s="3" t="str">
        <f>Tabla17[[#This Row],[Vendor]]</f>
        <v>Taller Ruiz Lopez</v>
      </c>
      <c r="E9" s="3"/>
      <c r="F9" s="3" t="s">
        <v>4059</v>
      </c>
      <c r="G9" s="3" t="s">
        <v>22</v>
      </c>
      <c r="H9" s="3" t="s">
        <v>23</v>
      </c>
      <c r="I9" s="3" t="s">
        <v>24</v>
      </c>
      <c r="J9" s="3">
        <v>33</v>
      </c>
      <c r="K9" s="3" t="s">
        <v>19</v>
      </c>
      <c r="L9" s="4">
        <v>1536.25</v>
      </c>
      <c r="M9" s="3" t="s">
        <v>20</v>
      </c>
      <c r="N9" s="4">
        <v>50696.25</v>
      </c>
      <c r="O9" s="4">
        <v>2599.8076923076924</v>
      </c>
      <c r="P9" t="s">
        <v>4233</v>
      </c>
      <c r="Q9">
        <v>0</v>
      </c>
    </row>
    <row r="10" spans="1:17" ht="42" customHeight="1" x14ac:dyDescent="0.3">
      <c r="A10" s="3">
        <v>3</v>
      </c>
      <c r="B10" s="3" t="s">
        <v>13</v>
      </c>
      <c r="C10" s="3" t="s">
        <v>25</v>
      </c>
      <c r="D10" s="3" t="s">
        <v>130</v>
      </c>
      <c r="E10" s="3"/>
      <c r="F10" s="3" t="s">
        <v>4059</v>
      </c>
      <c r="G10" s="3">
        <v>991667</v>
      </c>
      <c r="H10" s="3" t="s">
        <v>26</v>
      </c>
      <c r="I10" s="3" t="s">
        <v>27</v>
      </c>
      <c r="J10" s="3">
        <v>36</v>
      </c>
      <c r="K10" s="3" t="s">
        <v>19</v>
      </c>
      <c r="L10" s="4">
        <v>69.569999999999993</v>
      </c>
      <c r="M10" s="3" t="s">
        <v>33</v>
      </c>
      <c r="N10" s="4">
        <v>2504.5199999999995</v>
      </c>
      <c r="O10" s="4">
        <v>2504.5199999999995</v>
      </c>
      <c r="P10" t="s">
        <v>4241</v>
      </c>
      <c r="Q10">
        <v>0</v>
      </c>
    </row>
    <row r="11" spans="1:17" ht="42" customHeight="1" x14ac:dyDescent="0.3">
      <c r="A11" s="3">
        <v>118</v>
      </c>
      <c r="B11" s="3" t="s">
        <v>227</v>
      </c>
      <c r="C11" s="3" t="s">
        <v>361</v>
      </c>
      <c r="D11" s="3" t="s">
        <v>362</v>
      </c>
      <c r="E11" s="3"/>
      <c r="F11" s="3" t="s">
        <v>4059</v>
      </c>
      <c r="G11" s="3" t="s">
        <v>369</v>
      </c>
      <c r="H11" s="3" t="s">
        <v>347</v>
      </c>
      <c r="I11" s="3" t="s">
        <v>370</v>
      </c>
      <c r="J11" s="3">
        <v>36</v>
      </c>
      <c r="K11" s="3" t="s">
        <v>19</v>
      </c>
      <c r="L11" s="3">
        <v>65.73294117647059</v>
      </c>
      <c r="M11" s="3" t="s">
        <v>33</v>
      </c>
      <c r="N11" s="4">
        <v>2366.3858823529413</v>
      </c>
      <c r="O11" s="4">
        <v>2366.3858823529413</v>
      </c>
      <c r="P11" t="s">
        <v>4225</v>
      </c>
      <c r="Q11">
        <v>0</v>
      </c>
    </row>
    <row r="12" spans="1:17" ht="42" customHeight="1" x14ac:dyDescent="0.3">
      <c r="A12" s="3">
        <v>34</v>
      </c>
      <c r="B12" s="3" t="s">
        <v>13</v>
      </c>
      <c r="C12" s="3" t="s">
        <v>43</v>
      </c>
      <c r="D12" s="3" t="s">
        <v>44</v>
      </c>
      <c r="E12" s="3"/>
      <c r="F12" s="3" t="s">
        <v>4060</v>
      </c>
      <c r="G12" s="3">
        <v>653630</v>
      </c>
      <c r="H12" s="3" t="s">
        <v>108</v>
      </c>
      <c r="I12" s="3" t="s">
        <v>109</v>
      </c>
      <c r="J12" s="3">
        <v>56</v>
      </c>
      <c r="K12" s="3" t="s">
        <v>19</v>
      </c>
      <c r="L12" s="4">
        <v>28.524999999999999</v>
      </c>
      <c r="M12" s="3" t="s">
        <v>33</v>
      </c>
      <c r="N12" s="4">
        <v>1597.3999999999999</v>
      </c>
      <c r="O12" s="4">
        <v>1597.3999999999999</v>
      </c>
      <c r="P12" t="s">
        <v>4225</v>
      </c>
      <c r="Q12">
        <v>0</v>
      </c>
    </row>
    <row r="13" spans="1:17" ht="42" customHeight="1" x14ac:dyDescent="0.3">
      <c r="A13" s="3">
        <v>41</v>
      </c>
      <c r="B13" s="3" t="s">
        <v>13</v>
      </c>
      <c r="C13" s="3" t="s">
        <v>124</v>
      </c>
      <c r="D13" s="3" t="str">
        <f>Tabla17[[#This Row],[Vendor]]</f>
        <v>Impulse</v>
      </c>
      <c r="E13" s="3"/>
      <c r="F13" s="3" t="s">
        <v>4059</v>
      </c>
      <c r="G13" s="3">
        <v>7660</v>
      </c>
      <c r="H13" s="3" t="s">
        <v>125</v>
      </c>
      <c r="I13" s="3" t="s">
        <v>126</v>
      </c>
      <c r="J13" s="3">
        <v>18</v>
      </c>
      <c r="K13" s="3" t="s">
        <v>19</v>
      </c>
      <c r="L13" s="4">
        <v>100</v>
      </c>
      <c r="M13" s="3" t="s">
        <v>33</v>
      </c>
      <c r="N13" s="4">
        <v>1800</v>
      </c>
      <c r="O13" s="4">
        <v>1800</v>
      </c>
      <c r="P13" t="s">
        <v>4224</v>
      </c>
      <c r="Q13">
        <v>0</v>
      </c>
    </row>
    <row r="14" spans="1:17" ht="42" customHeight="1" x14ac:dyDescent="0.3">
      <c r="A14" s="3">
        <v>64</v>
      </c>
      <c r="B14" s="3" t="s">
        <v>13</v>
      </c>
      <c r="C14" s="3" t="s">
        <v>120</v>
      </c>
      <c r="D14" s="3" t="str">
        <f>Tabla17[[#This Row],[Vendor]]</f>
        <v>Maxim World</v>
      </c>
      <c r="E14" s="3"/>
      <c r="F14" s="3" t="s">
        <v>4059</v>
      </c>
      <c r="G14" s="3" t="s">
        <v>195</v>
      </c>
      <c r="H14" s="3" t="s">
        <v>196</v>
      </c>
      <c r="I14" s="3" t="s">
        <v>197</v>
      </c>
      <c r="J14" s="3">
        <v>15</v>
      </c>
      <c r="K14" s="3" t="s">
        <v>19</v>
      </c>
      <c r="L14" s="4">
        <v>98</v>
      </c>
      <c r="M14" s="3" t="s">
        <v>33</v>
      </c>
      <c r="N14" s="4">
        <v>1470</v>
      </c>
      <c r="O14" s="4">
        <v>1470</v>
      </c>
      <c r="P14" t="s">
        <v>4228</v>
      </c>
      <c r="Q14" t="s">
        <v>4246</v>
      </c>
    </row>
    <row r="15" spans="1:17" ht="42" customHeight="1" x14ac:dyDescent="0.3">
      <c r="A15" s="3">
        <v>67</v>
      </c>
      <c r="B15" s="3" t="s">
        <v>13</v>
      </c>
      <c r="C15" s="3" t="s">
        <v>208</v>
      </c>
      <c r="D15" s="3" t="s">
        <v>199</v>
      </c>
      <c r="E15" s="3"/>
      <c r="F15" s="3" t="s">
        <v>4059</v>
      </c>
      <c r="G15" s="3" t="s">
        <v>209</v>
      </c>
      <c r="H15" s="3" t="s">
        <v>210</v>
      </c>
      <c r="I15" s="3" t="s">
        <v>211</v>
      </c>
      <c r="J15" s="3">
        <v>3</v>
      </c>
      <c r="K15" s="3" t="s">
        <v>19</v>
      </c>
      <c r="L15" s="4">
        <v>553.58000000000004</v>
      </c>
      <c r="M15" s="3" t="s">
        <v>33</v>
      </c>
      <c r="N15" s="4">
        <v>1660.7400000000002</v>
      </c>
      <c r="O15" s="4">
        <v>1660.7400000000002</v>
      </c>
      <c r="P15" t="s">
        <v>4239</v>
      </c>
      <c r="Q15">
        <v>0</v>
      </c>
    </row>
    <row r="16" spans="1:17" ht="42" customHeight="1" x14ac:dyDescent="0.3">
      <c r="A16" s="3">
        <v>75</v>
      </c>
      <c r="B16" s="3" t="s">
        <v>227</v>
      </c>
      <c r="C16" s="3" t="s">
        <v>223</v>
      </c>
      <c r="D16" s="3" t="s">
        <v>199</v>
      </c>
      <c r="E16" s="3"/>
      <c r="F16" s="3" t="s">
        <v>4059</v>
      </c>
      <c r="G16" s="3" t="s">
        <v>241</v>
      </c>
      <c r="H16" s="3" t="s">
        <v>242</v>
      </c>
      <c r="I16" s="3" t="s">
        <v>243</v>
      </c>
      <c r="J16" s="3">
        <v>2</v>
      </c>
      <c r="K16" s="3" t="s">
        <v>19</v>
      </c>
      <c r="L16" s="4">
        <v>765.85</v>
      </c>
      <c r="M16" s="3" t="s">
        <v>33</v>
      </c>
      <c r="N16" s="4">
        <v>1531.7</v>
      </c>
      <c r="O16" s="4">
        <v>1531.7</v>
      </c>
      <c r="P16" t="s">
        <v>4239</v>
      </c>
      <c r="Q16">
        <v>0</v>
      </c>
    </row>
    <row r="17" spans="1:17" ht="42" customHeight="1" x14ac:dyDescent="0.3">
      <c r="A17" s="3">
        <v>42</v>
      </c>
      <c r="B17" s="3" t="s">
        <v>13</v>
      </c>
      <c r="C17" s="3" t="s">
        <v>14</v>
      </c>
      <c r="D17" s="3" t="str">
        <f>Tabla17[[#This Row],[Vendor]]</f>
        <v>Oaxifornia</v>
      </c>
      <c r="E17" s="3"/>
      <c r="F17" s="3" t="s">
        <v>4059</v>
      </c>
      <c r="G17" s="3" t="s">
        <v>127</v>
      </c>
      <c r="H17" s="3" t="s">
        <v>128</v>
      </c>
      <c r="I17" s="3" t="s">
        <v>129</v>
      </c>
      <c r="J17" s="3">
        <v>18</v>
      </c>
      <c r="K17" s="3" t="s">
        <v>19</v>
      </c>
      <c r="L17" s="4">
        <v>1608</v>
      </c>
      <c r="M17" s="3" t="s">
        <v>20</v>
      </c>
      <c r="N17" s="4">
        <v>28944</v>
      </c>
      <c r="O17" s="4">
        <v>1484.3076923076924</v>
      </c>
      <c r="P17" t="s">
        <v>4232</v>
      </c>
      <c r="Q17">
        <v>0</v>
      </c>
    </row>
    <row r="18" spans="1:17" ht="42" customHeight="1" x14ac:dyDescent="0.3">
      <c r="A18" s="3">
        <v>5</v>
      </c>
      <c r="B18" s="3" t="s">
        <v>13</v>
      </c>
      <c r="C18" s="3" t="s">
        <v>34</v>
      </c>
      <c r="D18" s="3" t="str">
        <f>Tabla17[[#This Row],[Vendor]]</f>
        <v>Casa Rovea</v>
      </c>
      <c r="E18" s="3"/>
      <c r="F18" s="3" t="s">
        <v>4061</v>
      </c>
      <c r="G18" s="3" t="s">
        <v>35</v>
      </c>
      <c r="H18" s="3" t="s">
        <v>36</v>
      </c>
      <c r="I18" s="3" t="s">
        <v>37</v>
      </c>
      <c r="J18" s="3">
        <v>244</v>
      </c>
      <c r="K18" s="3" t="s">
        <v>19</v>
      </c>
      <c r="L18" s="4">
        <v>4.58</v>
      </c>
      <c r="M18" s="3" t="s">
        <v>28</v>
      </c>
      <c r="N18" s="4">
        <v>1117.52</v>
      </c>
      <c r="O18" s="4">
        <v>1296.3231999999998</v>
      </c>
      <c r="P18" t="s">
        <v>4224</v>
      </c>
      <c r="Q18">
        <v>0</v>
      </c>
    </row>
    <row r="19" spans="1:17" ht="42" customHeight="1" x14ac:dyDescent="0.3">
      <c r="A19" s="3">
        <v>32</v>
      </c>
      <c r="B19" s="3" t="s">
        <v>13</v>
      </c>
      <c r="C19" s="3" t="s">
        <v>43</v>
      </c>
      <c r="D19" s="3" t="s">
        <v>44</v>
      </c>
      <c r="E19" s="3"/>
      <c r="F19" s="3" t="s">
        <v>4060</v>
      </c>
      <c r="G19" s="3">
        <v>653851</v>
      </c>
      <c r="H19" s="3" t="s">
        <v>104</v>
      </c>
      <c r="I19" s="3" t="s">
        <v>105</v>
      </c>
      <c r="J19" s="3">
        <v>37</v>
      </c>
      <c r="K19" s="3" t="s">
        <v>19</v>
      </c>
      <c r="L19" s="4">
        <v>29.24</v>
      </c>
      <c r="M19" s="3" t="s">
        <v>33</v>
      </c>
      <c r="N19" s="4">
        <v>1081.8799999999999</v>
      </c>
      <c r="O19" s="4">
        <v>1081.8799999999999</v>
      </c>
      <c r="P19" t="s">
        <v>4225</v>
      </c>
      <c r="Q19">
        <v>0</v>
      </c>
    </row>
    <row r="20" spans="1:17" ht="42" customHeight="1" x14ac:dyDescent="0.3">
      <c r="A20" s="3">
        <v>104</v>
      </c>
      <c r="B20" s="3" t="s">
        <v>227</v>
      </c>
      <c r="C20" s="3" t="s">
        <v>325</v>
      </c>
      <c r="D20" s="3" t="str">
        <f>Tabla17[[#This Row],[Vendor]]</f>
        <v>John Boos</v>
      </c>
      <c r="E20" s="3"/>
      <c r="F20" s="3" t="s">
        <v>4059</v>
      </c>
      <c r="G20" s="3" t="s">
        <v>326</v>
      </c>
      <c r="H20" s="3" t="s">
        <v>327</v>
      </c>
      <c r="I20" s="3" t="s">
        <v>328</v>
      </c>
      <c r="J20" s="3">
        <v>4</v>
      </c>
      <c r="K20" s="3" t="s">
        <v>19</v>
      </c>
      <c r="L20" s="3">
        <v>250</v>
      </c>
      <c r="M20" s="3" t="s">
        <v>33</v>
      </c>
      <c r="N20" s="4">
        <v>1000</v>
      </c>
      <c r="O20" s="4">
        <v>1000</v>
      </c>
      <c r="P20" t="s">
        <v>4218</v>
      </c>
      <c r="Q20" t="s">
        <v>4245</v>
      </c>
    </row>
    <row r="21" spans="1:17" ht="42" customHeight="1" x14ac:dyDescent="0.3">
      <c r="A21" s="3">
        <v>35</v>
      </c>
      <c r="B21" s="3" t="s">
        <v>13</v>
      </c>
      <c r="C21" s="3" t="s">
        <v>43</v>
      </c>
      <c r="D21" s="3" t="s">
        <v>44</v>
      </c>
      <c r="E21" s="3"/>
      <c r="F21" s="3" t="s">
        <v>4060</v>
      </c>
      <c r="G21" s="3">
        <v>653634</v>
      </c>
      <c r="H21" s="3" t="s">
        <v>110</v>
      </c>
      <c r="I21" s="3" t="s">
        <v>111</v>
      </c>
      <c r="J21" s="3">
        <v>20</v>
      </c>
      <c r="K21" s="3" t="s">
        <v>19</v>
      </c>
      <c r="L21" s="4">
        <v>39.97</v>
      </c>
      <c r="M21" s="3" t="s">
        <v>33</v>
      </c>
      <c r="N21" s="4">
        <v>799.4</v>
      </c>
      <c r="O21" s="4">
        <v>799.4</v>
      </c>
      <c r="P21" t="s">
        <v>4225</v>
      </c>
      <c r="Q21">
        <v>0</v>
      </c>
    </row>
    <row r="22" spans="1:17" ht="42" customHeight="1" x14ac:dyDescent="0.3">
      <c r="A22" s="3">
        <v>51</v>
      </c>
      <c r="B22" s="3" t="s">
        <v>13</v>
      </c>
      <c r="C22" s="3" t="s">
        <v>134</v>
      </c>
      <c r="D22" s="3" t="s">
        <v>44</v>
      </c>
      <c r="E22" s="3"/>
      <c r="F22" s="3" t="s">
        <v>4062</v>
      </c>
      <c r="G22" s="3">
        <v>1200019</v>
      </c>
      <c r="H22" s="3" t="s">
        <v>156</v>
      </c>
      <c r="I22" s="3" t="s">
        <v>157</v>
      </c>
      <c r="J22" s="3">
        <v>56</v>
      </c>
      <c r="K22" s="3" t="s">
        <v>19</v>
      </c>
      <c r="L22" s="4">
        <v>12.1225</v>
      </c>
      <c r="M22" s="3" t="s">
        <v>33</v>
      </c>
      <c r="N22" s="4">
        <v>678.86</v>
      </c>
      <c r="O22" s="4">
        <v>678.86</v>
      </c>
      <c r="P22" s="26">
        <v>46096</v>
      </c>
      <c r="Q22">
        <v>0</v>
      </c>
    </row>
    <row r="23" spans="1:17" ht="42" customHeight="1" x14ac:dyDescent="0.3">
      <c r="A23" s="3">
        <v>53</v>
      </c>
      <c r="B23" s="3" t="s">
        <v>13</v>
      </c>
      <c r="C23" s="3" t="s">
        <v>124</v>
      </c>
      <c r="D23" s="3" t="str">
        <f>Tabla17[[#This Row],[Vendor]]</f>
        <v>Impulse</v>
      </c>
      <c r="E23" s="3"/>
      <c r="F23" s="3" t="s">
        <v>4062</v>
      </c>
      <c r="G23" s="3" t="s">
        <v>161</v>
      </c>
      <c r="H23" s="3" t="s">
        <v>162</v>
      </c>
      <c r="I23" s="3" t="s">
        <v>163</v>
      </c>
      <c r="J23" s="3">
        <v>37</v>
      </c>
      <c r="K23" s="3" t="s">
        <v>19</v>
      </c>
      <c r="L23" s="4">
        <v>18</v>
      </c>
      <c r="M23" s="3" t="s">
        <v>33</v>
      </c>
      <c r="N23" s="4">
        <v>666</v>
      </c>
      <c r="O23" s="4">
        <v>666</v>
      </c>
      <c r="P23" t="s">
        <v>4224</v>
      </c>
      <c r="Q23">
        <v>0</v>
      </c>
    </row>
    <row r="24" spans="1:17" ht="42" customHeight="1" x14ac:dyDescent="0.3">
      <c r="A24" s="3">
        <v>30</v>
      </c>
      <c r="B24" s="3" t="s">
        <v>13</v>
      </c>
      <c r="C24" s="3" t="s">
        <v>92</v>
      </c>
      <c r="D24" s="3" t="s">
        <v>93</v>
      </c>
      <c r="E24" s="3"/>
      <c r="F24" s="3" t="s">
        <v>4059</v>
      </c>
      <c r="G24" s="3" t="s">
        <v>97</v>
      </c>
      <c r="H24" s="3" t="s">
        <v>98</v>
      </c>
      <c r="I24" s="3" t="s">
        <v>99</v>
      </c>
      <c r="J24" s="3">
        <v>24</v>
      </c>
      <c r="K24" s="3" t="s">
        <v>19</v>
      </c>
      <c r="L24" s="4">
        <v>31.43</v>
      </c>
      <c r="M24" s="3" t="s">
        <v>33</v>
      </c>
      <c r="N24" s="4">
        <v>754.31999999999994</v>
      </c>
      <c r="O24" s="4">
        <v>754.31999999999994</v>
      </c>
      <c r="P24" t="s">
        <v>4225</v>
      </c>
      <c r="Q24">
        <v>0</v>
      </c>
    </row>
    <row r="25" spans="1:17" ht="42" customHeight="1" x14ac:dyDescent="0.3">
      <c r="A25" s="3">
        <v>46</v>
      </c>
      <c r="B25" s="3" t="s">
        <v>13</v>
      </c>
      <c r="C25" s="3" t="s">
        <v>134</v>
      </c>
      <c r="D25" s="3" t="s">
        <v>44</v>
      </c>
      <c r="E25" s="3"/>
      <c r="F25" s="3" t="s">
        <v>4062</v>
      </c>
      <c r="G25" s="3" t="s">
        <v>141</v>
      </c>
      <c r="H25" s="3" t="s">
        <v>142</v>
      </c>
      <c r="I25" s="3" t="s">
        <v>143</v>
      </c>
      <c r="J25" s="3">
        <v>56</v>
      </c>
      <c r="K25" s="3" t="s">
        <v>19</v>
      </c>
      <c r="L25" s="4">
        <v>11.576499999999999</v>
      </c>
      <c r="M25" s="3" t="s">
        <v>33</v>
      </c>
      <c r="N25" s="4">
        <v>648.28399999999999</v>
      </c>
      <c r="O25" s="4">
        <v>648.28399999999999</v>
      </c>
      <c r="P25" t="s">
        <v>4225</v>
      </c>
      <c r="Q25">
        <v>0</v>
      </c>
    </row>
    <row r="26" spans="1:17" ht="42" customHeight="1" x14ac:dyDescent="0.3">
      <c r="A26" s="3">
        <v>77</v>
      </c>
      <c r="B26" s="3" t="s">
        <v>227</v>
      </c>
      <c r="C26" s="3" t="s">
        <v>228</v>
      </c>
      <c r="D26" s="3" t="s">
        <v>44</v>
      </c>
      <c r="E26" s="3"/>
      <c r="F26" s="3" t="s">
        <v>4059</v>
      </c>
      <c r="G26" s="3" t="s">
        <v>247</v>
      </c>
      <c r="H26" s="3" t="s">
        <v>248</v>
      </c>
      <c r="I26" s="3" t="s">
        <v>249</v>
      </c>
      <c r="J26" s="3">
        <v>0</v>
      </c>
      <c r="K26" s="3" t="s">
        <v>748</v>
      </c>
      <c r="L26" s="4">
        <v>364.5</v>
      </c>
      <c r="M26" s="3" t="s">
        <v>33</v>
      </c>
      <c r="N26" s="4">
        <v>0</v>
      </c>
      <c r="O26" s="4">
        <v>0</v>
      </c>
      <c r="P26" t="s">
        <v>4240</v>
      </c>
      <c r="Q26" t="s">
        <v>4245</v>
      </c>
    </row>
    <row r="27" spans="1:17" ht="42" customHeight="1" x14ac:dyDescent="0.3">
      <c r="A27" s="3">
        <v>78</v>
      </c>
      <c r="B27" s="3" t="s">
        <v>227</v>
      </c>
      <c r="C27" s="3" t="s">
        <v>228</v>
      </c>
      <c r="D27" s="3" t="s">
        <v>44</v>
      </c>
      <c r="E27" s="3"/>
      <c r="F27" s="3" t="s">
        <v>4059</v>
      </c>
      <c r="G27" s="3" t="s">
        <v>250</v>
      </c>
      <c r="H27" s="3" t="s">
        <v>248</v>
      </c>
      <c r="I27" s="3" t="s">
        <v>251</v>
      </c>
      <c r="J27" s="3">
        <v>0</v>
      </c>
      <c r="K27" s="3" t="s">
        <v>748</v>
      </c>
      <c r="L27" s="4">
        <v>364.5</v>
      </c>
      <c r="M27" s="3" t="s">
        <v>33</v>
      </c>
      <c r="N27" s="4">
        <v>0</v>
      </c>
      <c r="O27" s="4">
        <v>0</v>
      </c>
      <c r="P27" t="s">
        <v>4240</v>
      </c>
      <c r="Q27" t="s">
        <v>4245</v>
      </c>
    </row>
    <row r="28" spans="1:17" ht="42" customHeight="1" x14ac:dyDescent="0.3">
      <c r="A28" s="3">
        <v>79</v>
      </c>
      <c r="B28" s="3" t="s">
        <v>227</v>
      </c>
      <c r="C28" s="3" t="s">
        <v>228</v>
      </c>
      <c r="D28" s="3" t="s">
        <v>44</v>
      </c>
      <c r="E28" s="3"/>
      <c r="F28" s="3" t="s">
        <v>4059</v>
      </c>
      <c r="G28" s="3" t="s">
        <v>252</v>
      </c>
      <c r="H28" s="3" t="s">
        <v>248</v>
      </c>
      <c r="I28" s="3" t="s">
        <v>253</v>
      </c>
      <c r="J28" s="3">
        <v>0</v>
      </c>
      <c r="K28" s="3" t="s">
        <v>748</v>
      </c>
      <c r="L28" s="4">
        <v>364.5</v>
      </c>
      <c r="M28" s="3" t="s">
        <v>33</v>
      </c>
      <c r="N28" s="4">
        <v>0</v>
      </c>
      <c r="O28" s="4">
        <v>0</v>
      </c>
      <c r="P28" t="s">
        <v>4240</v>
      </c>
      <c r="Q28" t="s">
        <v>4245</v>
      </c>
    </row>
    <row r="29" spans="1:17" ht="42" customHeight="1" x14ac:dyDescent="0.3">
      <c r="A29" s="3">
        <v>80</v>
      </c>
      <c r="B29" s="3" t="s">
        <v>227</v>
      </c>
      <c r="C29" s="3" t="s">
        <v>228</v>
      </c>
      <c r="D29" s="3" t="s">
        <v>44</v>
      </c>
      <c r="E29" s="3"/>
      <c r="F29" s="3" t="s">
        <v>4059</v>
      </c>
      <c r="G29" s="3" t="s">
        <v>254</v>
      </c>
      <c r="H29" s="3" t="s">
        <v>248</v>
      </c>
      <c r="I29" s="3" t="s">
        <v>255</v>
      </c>
      <c r="J29" s="3">
        <v>0</v>
      </c>
      <c r="K29" s="3" t="s">
        <v>748</v>
      </c>
      <c r="L29" s="4">
        <v>364.5</v>
      </c>
      <c r="M29" s="3" t="s">
        <v>33</v>
      </c>
      <c r="N29" s="4">
        <v>0</v>
      </c>
      <c r="O29" s="4">
        <v>0</v>
      </c>
      <c r="P29" t="s">
        <v>4240</v>
      </c>
      <c r="Q29" t="s">
        <v>4245</v>
      </c>
    </row>
    <row r="30" spans="1:17" ht="42" customHeight="1" x14ac:dyDescent="0.3">
      <c r="A30" s="3">
        <v>81</v>
      </c>
      <c r="B30" s="3" t="s">
        <v>227</v>
      </c>
      <c r="C30" s="3" t="s">
        <v>228</v>
      </c>
      <c r="D30" s="3" t="s">
        <v>44</v>
      </c>
      <c r="E30" s="3"/>
      <c r="F30" s="3" t="s">
        <v>4059</v>
      </c>
      <c r="G30" s="3" t="s">
        <v>256</v>
      </c>
      <c r="H30" s="3" t="s">
        <v>248</v>
      </c>
      <c r="I30" s="3" t="s">
        <v>257</v>
      </c>
      <c r="J30" s="3">
        <v>0</v>
      </c>
      <c r="K30" s="3" t="s">
        <v>748</v>
      </c>
      <c r="L30" s="4">
        <v>364.5</v>
      </c>
      <c r="M30" s="3" t="s">
        <v>33</v>
      </c>
      <c r="N30" s="4">
        <v>0</v>
      </c>
      <c r="O30" s="4">
        <v>0</v>
      </c>
      <c r="P30" t="s">
        <v>4240</v>
      </c>
      <c r="Q30" t="s">
        <v>4245</v>
      </c>
    </row>
    <row r="31" spans="1:17" ht="42" customHeight="1" x14ac:dyDescent="0.3">
      <c r="A31" s="3">
        <v>82</v>
      </c>
      <c r="B31" s="3" t="s">
        <v>227</v>
      </c>
      <c r="C31" s="3" t="s">
        <v>228</v>
      </c>
      <c r="D31" s="3" t="s">
        <v>44</v>
      </c>
      <c r="E31" s="3"/>
      <c r="F31" s="3" t="s">
        <v>4059</v>
      </c>
      <c r="G31" s="3" t="s">
        <v>258</v>
      </c>
      <c r="H31" s="3" t="s">
        <v>248</v>
      </c>
      <c r="I31" s="3" t="s">
        <v>259</v>
      </c>
      <c r="J31" s="3">
        <v>0</v>
      </c>
      <c r="K31" s="3" t="s">
        <v>748</v>
      </c>
      <c r="L31" s="4">
        <v>364.5</v>
      </c>
      <c r="M31" s="3" t="s">
        <v>33</v>
      </c>
      <c r="N31" s="4">
        <v>0</v>
      </c>
      <c r="O31" s="4">
        <v>0</v>
      </c>
      <c r="P31" t="s">
        <v>4240</v>
      </c>
      <c r="Q31" t="s">
        <v>4245</v>
      </c>
    </row>
    <row r="32" spans="1:17" ht="42" customHeight="1" x14ac:dyDescent="0.3">
      <c r="A32" s="3">
        <v>83</v>
      </c>
      <c r="B32" s="3" t="s">
        <v>227</v>
      </c>
      <c r="C32" s="3" t="s">
        <v>228</v>
      </c>
      <c r="D32" s="3" t="s">
        <v>44</v>
      </c>
      <c r="E32" s="3"/>
      <c r="F32" s="3" t="s">
        <v>4059</v>
      </c>
      <c r="G32" s="3" t="s">
        <v>260</v>
      </c>
      <c r="H32" s="3" t="s">
        <v>248</v>
      </c>
      <c r="I32" s="3" t="s">
        <v>261</v>
      </c>
      <c r="J32" s="3">
        <v>0</v>
      </c>
      <c r="K32" s="3" t="s">
        <v>748</v>
      </c>
      <c r="L32" s="4">
        <v>364.5</v>
      </c>
      <c r="M32" s="3" t="s">
        <v>33</v>
      </c>
      <c r="N32" s="4">
        <v>0</v>
      </c>
      <c r="O32" s="4">
        <v>0</v>
      </c>
      <c r="P32" t="s">
        <v>4240</v>
      </c>
      <c r="Q32" t="s">
        <v>4245</v>
      </c>
    </row>
    <row r="33" spans="1:17" ht="42" customHeight="1" x14ac:dyDescent="0.3">
      <c r="A33" s="3">
        <v>84</v>
      </c>
      <c r="B33" s="3" t="s">
        <v>227</v>
      </c>
      <c r="C33" s="3" t="s">
        <v>228</v>
      </c>
      <c r="D33" s="3" t="s">
        <v>44</v>
      </c>
      <c r="E33" s="3"/>
      <c r="F33" s="3" t="s">
        <v>4059</v>
      </c>
      <c r="G33" s="3" t="s">
        <v>262</v>
      </c>
      <c r="H33" s="3" t="s">
        <v>248</v>
      </c>
      <c r="I33" s="3" t="s">
        <v>263</v>
      </c>
      <c r="J33" s="3">
        <v>0</v>
      </c>
      <c r="K33" s="3" t="s">
        <v>748</v>
      </c>
      <c r="L33" s="4">
        <v>364.5</v>
      </c>
      <c r="M33" s="3" t="s">
        <v>33</v>
      </c>
      <c r="N33" s="4">
        <v>0</v>
      </c>
      <c r="O33" s="4">
        <v>0</v>
      </c>
      <c r="P33" t="s">
        <v>4240</v>
      </c>
      <c r="Q33" t="s">
        <v>4245</v>
      </c>
    </row>
    <row r="34" spans="1:17" ht="42" customHeight="1" x14ac:dyDescent="0.3">
      <c r="A34" s="3">
        <v>85</v>
      </c>
      <c r="B34" s="3" t="s">
        <v>227</v>
      </c>
      <c r="C34" s="3" t="s">
        <v>228</v>
      </c>
      <c r="D34" s="3" t="s">
        <v>44</v>
      </c>
      <c r="E34" s="3"/>
      <c r="F34" s="3" t="s">
        <v>4059</v>
      </c>
      <c r="G34" s="3" t="s">
        <v>264</v>
      </c>
      <c r="H34" s="3" t="s">
        <v>248</v>
      </c>
      <c r="I34" s="3" t="s">
        <v>265</v>
      </c>
      <c r="J34" s="3">
        <v>0</v>
      </c>
      <c r="K34" s="3" t="s">
        <v>748</v>
      </c>
      <c r="L34" s="4">
        <v>364.5</v>
      </c>
      <c r="M34" s="3" t="s">
        <v>33</v>
      </c>
      <c r="N34" s="4">
        <v>0</v>
      </c>
      <c r="O34" s="4">
        <v>0</v>
      </c>
      <c r="P34" t="s">
        <v>4240</v>
      </c>
      <c r="Q34" t="s">
        <v>4245</v>
      </c>
    </row>
    <row r="35" spans="1:17" ht="42" customHeight="1" x14ac:dyDescent="0.3">
      <c r="A35" s="3">
        <v>44</v>
      </c>
      <c r="B35" s="3" t="s">
        <v>13</v>
      </c>
      <c r="C35" s="3" t="s">
        <v>134</v>
      </c>
      <c r="D35" s="3" t="s">
        <v>44</v>
      </c>
      <c r="E35" s="3"/>
      <c r="F35" s="3" t="s">
        <v>4062</v>
      </c>
      <c r="G35" s="3" t="s">
        <v>135</v>
      </c>
      <c r="H35" s="3" t="s">
        <v>136</v>
      </c>
      <c r="I35" s="3" t="s">
        <v>137</v>
      </c>
      <c r="J35" s="3">
        <v>56</v>
      </c>
      <c r="K35" s="3" t="s">
        <v>19</v>
      </c>
      <c r="L35" s="4">
        <v>11.186500000000001</v>
      </c>
      <c r="M35" s="3" t="s">
        <v>33</v>
      </c>
      <c r="N35" s="4">
        <v>626.44400000000007</v>
      </c>
      <c r="O35" s="4">
        <v>626.44400000000007</v>
      </c>
      <c r="P35" t="s">
        <v>4225</v>
      </c>
      <c r="Q35">
        <v>0</v>
      </c>
    </row>
    <row r="36" spans="1:17" ht="42" customHeight="1" x14ac:dyDescent="0.3">
      <c r="A36" s="3">
        <v>38</v>
      </c>
      <c r="B36" s="3" t="s">
        <v>13</v>
      </c>
      <c r="C36" s="3" t="s">
        <v>43</v>
      </c>
      <c r="D36" s="3" t="s">
        <v>44</v>
      </c>
      <c r="E36" s="3"/>
      <c r="F36" s="3" t="s">
        <v>4059</v>
      </c>
      <c r="G36" s="3">
        <v>656392</v>
      </c>
      <c r="H36" s="3" t="s">
        <v>116</v>
      </c>
      <c r="I36" s="3" t="s">
        <v>117</v>
      </c>
      <c r="J36" s="3">
        <v>15</v>
      </c>
      <c r="K36" s="3" t="s">
        <v>19</v>
      </c>
      <c r="L36" s="4">
        <v>41.475000000000001</v>
      </c>
      <c r="M36" s="3" t="s">
        <v>33</v>
      </c>
      <c r="N36" s="4">
        <v>622.125</v>
      </c>
      <c r="O36" s="4">
        <v>622.125</v>
      </c>
      <c r="P36" t="s">
        <v>4225</v>
      </c>
      <c r="Q36">
        <v>0</v>
      </c>
    </row>
    <row r="37" spans="1:17" ht="42" customHeight="1" x14ac:dyDescent="0.3">
      <c r="A37" s="3">
        <v>36</v>
      </c>
      <c r="B37" s="3" t="s">
        <v>13</v>
      </c>
      <c r="C37" s="3" t="s">
        <v>43</v>
      </c>
      <c r="D37" s="3" t="s">
        <v>44</v>
      </c>
      <c r="E37" s="3"/>
      <c r="F37" s="3" t="s">
        <v>4060</v>
      </c>
      <c r="G37" s="3">
        <v>653619</v>
      </c>
      <c r="H37" s="3" t="s">
        <v>112</v>
      </c>
      <c r="I37" s="3" t="s">
        <v>113</v>
      </c>
      <c r="J37" s="3">
        <v>20</v>
      </c>
      <c r="K37" s="3" t="s">
        <v>19</v>
      </c>
      <c r="L37" s="4">
        <v>27.945</v>
      </c>
      <c r="M37" s="3" t="s">
        <v>33</v>
      </c>
      <c r="N37" s="4">
        <v>558.9</v>
      </c>
      <c r="O37" s="4">
        <v>558.9</v>
      </c>
      <c r="P37" s="26">
        <v>46101</v>
      </c>
      <c r="Q37">
        <v>0</v>
      </c>
    </row>
    <row r="38" spans="1:17" ht="42" customHeight="1" x14ac:dyDescent="0.3">
      <c r="A38" s="3">
        <v>8</v>
      </c>
      <c r="B38" s="3" t="s">
        <v>13</v>
      </c>
      <c r="C38" s="3" t="s">
        <v>43</v>
      </c>
      <c r="D38" s="3" t="s">
        <v>44</v>
      </c>
      <c r="E38" s="3"/>
      <c r="F38" s="3" t="s">
        <v>4059</v>
      </c>
      <c r="G38" s="3">
        <v>656355</v>
      </c>
      <c r="H38" s="3" t="s">
        <v>45</v>
      </c>
      <c r="I38" s="3" t="s">
        <v>46</v>
      </c>
      <c r="J38" s="3">
        <v>22</v>
      </c>
      <c r="K38" s="3" t="s">
        <v>19</v>
      </c>
      <c r="L38" s="4">
        <v>24.274999999999999</v>
      </c>
      <c r="M38" s="3" t="s">
        <v>33</v>
      </c>
      <c r="N38" s="4">
        <v>534.04999999999995</v>
      </c>
      <c r="O38" s="4">
        <v>534.04999999999995</v>
      </c>
      <c r="P38" t="s">
        <v>4225</v>
      </c>
      <c r="Q38">
        <v>0</v>
      </c>
    </row>
    <row r="39" spans="1:17" ht="42" customHeight="1" x14ac:dyDescent="0.3">
      <c r="A39" s="3">
        <v>37</v>
      </c>
      <c r="B39" s="3" t="s">
        <v>13</v>
      </c>
      <c r="C39" s="3" t="s">
        <v>43</v>
      </c>
      <c r="D39" s="3" t="s">
        <v>44</v>
      </c>
      <c r="E39" s="3"/>
      <c r="F39" s="3" t="s">
        <v>4059</v>
      </c>
      <c r="G39" s="3">
        <v>653097</v>
      </c>
      <c r="H39" s="3" t="s">
        <v>114</v>
      </c>
      <c r="I39" s="3" t="s">
        <v>115</v>
      </c>
      <c r="J39" s="3">
        <v>20</v>
      </c>
      <c r="K39" s="3" t="s">
        <v>19</v>
      </c>
      <c r="L39" s="4">
        <v>25.66</v>
      </c>
      <c r="M39" s="3" t="s">
        <v>33</v>
      </c>
      <c r="N39" s="4">
        <v>513.20000000000005</v>
      </c>
      <c r="O39" s="4">
        <v>513.20000000000005</v>
      </c>
      <c r="P39" s="26">
        <v>46101</v>
      </c>
      <c r="Q39">
        <v>0</v>
      </c>
    </row>
    <row r="40" spans="1:17" ht="42" customHeight="1" x14ac:dyDescent="0.3">
      <c r="A40" s="3">
        <v>21</v>
      </c>
      <c r="B40" s="3" t="s">
        <v>13</v>
      </c>
      <c r="C40" s="3" t="s">
        <v>21</v>
      </c>
      <c r="D40" s="3" t="str">
        <f>Tabla17[[#This Row],[Vendor]]</f>
        <v>Taller Ruiz Lopez</v>
      </c>
      <c r="E40" s="3"/>
      <c r="F40" s="3" t="s">
        <v>4060</v>
      </c>
      <c r="G40" s="3" t="s">
        <v>81</v>
      </c>
      <c r="H40" s="3" t="s">
        <v>82</v>
      </c>
      <c r="I40" s="3" t="s">
        <v>74</v>
      </c>
      <c r="J40" s="3">
        <v>37</v>
      </c>
      <c r="K40" s="3" t="s">
        <v>19</v>
      </c>
      <c r="L40" s="4">
        <v>266.28444358503333</v>
      </c>
      <c r="M40" s="3" t="s">
        <v>20</v>
      </c>
      <c r="N40" s="4">
        <v>9852.524412646233</v>
      </c>
      <c r="O40" s="4">
        <v>505.25766218698629</v>
      </c>
      <c r="P40" t="s">
        <v>4233</v>
      </c>
      <c r="Q40">
        <v>0</v>
      </c>
    </row>
    <row r="41" spans="1:17" ht="42" customHeight="1" x14ac:dyDescent="0.3">
      <c r="A41" s="3">
        <v>27</v>
      </c>
      <c r="B41" s="3" t="s">
        <v>13</v>
      </c>
      <c r="C41" s="3" t="s">
        <v>21</v>
      </c>
      <c r="D41" s="3" t="str">
        <f>Tabla17[[#This Row],[Vendor]]</f>
        <v>Taller Ruiz Lopez</v>
      </c>
      <c r="E41" s="3"/>
      <c r="F41" s="3" t="s">
        <v>4060</v>
      </c>
      <c r="G41" s="3" t="s">
        <v>90</v>
      </c>
      <c r="H41" s="3" t="s">
        <v>82</v>
      </c>
      <c r="I41" s="3" t="s">
        <v>86</v>
      </c>
      <c r="J41" s="3">
        <v>37</v>
      </c>
      <c r="K41" s="3" t="s">
        <v>19</v>
      </c>
      <c r="L41" s="4">
        <v>266.28444358503333</v>
      </c>
      <c r="M41" s="3" t="s">
        <v>20</v>
      </c>
      <c r="N41" s="4">
        <v>9852.524412646233</v>
      </c>
      <c r="O41" s="4">
        <v>505.25766218698629</v>
      </c>
      <c r="P41" t="s">
        <v>4233</v>
      </c>
      <c r="Q41">
        <v>0</v>
      </c>
    </row>
    <row r="42" spans="1:17" ht="42" customHeight="1" x14ac:dyDescent="0.3">
      <c r="A42" s="3">
        <v>1</v>
      </c>
      <c r="B42" s="3" t="s">
        <v>13</v>
      </c>
      <c r="C42" s="3" t="s">
        <v>14</v>
      </c>
      <c r="D42" s="3" t="str">
        <f>Tabla17[[#This Row],[Vendor]]</f>
        <v>Oaxifornia</v>
      </c>
      <c r="E42" s="3"/>
      <c r="F42" s="3" t="s">
        <v>4059</v>
      </c>
      <c r="G42" s="3" t="s">
        <v>16</v>
      </c>
      <c r="H42" s="3" t="s">
        <v>17</v>
      </c>
      <c r="I42" s="3" t="s">
        <v>18</v>
      </c>
      <c r="J42" s="3">
        <v>33</v>
      </c>
      <c r="K42" s="3" t="s">
        <v>19</v>
      </c>
      <c r="L42" s="4">
        <v>337</v>
      </c>
      <c r="M42" s="3" t="s">
        <v>20</v>
      </c>
      <c r="N42" s="4">
        <v>11121</v>
      </c>
      <c r="O42" s="4">
        <v>570.30769230769226</v>
      </c>
      <c r="P42" t="s">
        <v>4232</v>
      </c>
      <c r="Q42">
        <v>0</v>
      </c>
    </row>
    <row r="43" spans="1:17" ht="42" customHeight="1" x14ac:dyDescent="0.3">
      <c r="A43" s="3">
        <v>17</v>
      </c>
      <c r="B43" s="3" t="s">
        <v>13</v>
      </c>
      <c r="C43" s="3" t="s">
        <v>21</v>
      </c>
      <c r="D43" s="3" t="str">
        <f>Tabla17[[#This Row],[Vendor]]</f>
        <v>Taller Ruiz Lopez</v>
      </c>
      <c r="E43" s="3"/>
      <c r="F43" s="3" t="s">
        <v>4060</v>
      </c>
      <c r="G43" s="3" t="s">
        <v>72</v>
      </c>
      <c r="H43" s="3" t="s">
        <v>73</v>
      </c>
      <c r="I43" s="3" t="s">
        <v>74</v>
      </c>
      <c r="J43" s="3">
        <v>37</v>
      </c>
      <c r="K43" s="3" t="s">
        <v>19</v>
      </c>
      <c r="L43" s="4">
        <v>256.04273421637822</v>
      </c>
      <c r="M43" s="3" t="s">
        <v>20</v>
      </c>
      <c r="N43" s="4">
        <v>9473.5811660059935</v>
      </c>
      <c r="O43" s="4">
        <v>485.82467517979455</v>
      </c>
      <c r="P43" t="s">
        <v>4233</v>
      </c>
      <c r="Q43">
        <v>0</v>
      </c>
    </row>
    <row r="44" spans="1:17" ht="42" customHeight="1" x14ac:dyDescent="0.3">
      <c r="A44">
        <v>23</v>
      </c>
      <c r="B44" t="s">
        <v>13</v>
      </c>
      <c r="C44" t="s">
        <v>21</v>
      </c>
      <c r="D44" t="str">
        <f>Tabla17[[#This Row],[Vendor]]</f>
        <v>Taller Ruiz Lopez</v>
      </c>
      <c r="F44" t="s">
        <v>4060</v>
      </c>
      <c r="G44" t="s">
        <v>85</v>
      </c>
      <c r="H44" t="s">
        <v>73</v>
      </c>
      <c r="I44" t="s">
        <v>86</v>
      </c>
      <c r="J44">
        <v>37</v>
      </c>
      <c r="K44" t="s">
        <v>19</v>
      </c>
      <c r="L44" s="1">
        <v>256.04273421637822</v>
      </c>
      <c r="M44" t="s">
        <v>20</v>
      </c>
      <c r="N44" s="1">
        <v>9473.5811660059935</v>
      </c>
      <c r="O44" s="1">
        <v>485.82467517979455</v>
      </c>
      <c r="P44" t="s">
        <v>4233</v>
      </c>
      <c r="Q44">
        <v>0</v>
      </c>
    </row>
    <row r="45" spans="1:17" ht="42" customHeight="1" x14ac:dyDescent="0.3">
      <c r="A45">
        <v>48</v>
      </c>
      <c r="B45" t="s">
        <v>13</v>
      </c>
      <c r="C45" t="s">
        <v>134</v>
      </c>
      <c r="D45" t="s">
        <v>44</v>
      </c>
      <c r="F45" t="s">
        <v>4062</v>
      </c>
      <c r="G45" t="s">
        <v>147</v>
      </c>
      <c r="H45" t="s">
        <v>148</v>
      </c>
      <c r="I45" t="s">
        <v>149</v>
      </c>
      <c r="J45">
        <v>56</v>
      </c>
      <c r="K45" t="s">
        <v>19</v>
      </c>
      <c r="L45" s="1">
        <v>8.6125000000000007</v>
      </c>
      <c r="M45" t="s">
        <v>33</v>
      </c>
      <c r="N45" s="1">
        <v>482.30000000000007</v>
      </c>
      <c r="O45" s="1">
        <v>482.30000000000007</v>
      </c>
      <c r="P45" t="s">
        <v>4225</v>
      </c>
      <c r="Q45">
        <v>0</v>
      </c>
    </row>
    <row r="46" spans="1:17" ht="42" customHeight="1" x14ac:dyDescent="0.3">
      <c r="A46">
        <v>19</v>
      </c>
      <c r="B46" t="s">
        <v>13</v>
      </c>
      <c r="C46" t="s">
        <v>21</v>
      </c>
      <c r="D46" t="str">
        <f>Tabla17[[#This Row],[Vendor]]</f>
        <v>Taller Ruiz Lopez</v>
      </c>
      <c r="F46" t="s">
        <v>4060</v>
      </c>
      <c r="G46" t="s">
        <v>77</v>
      </c>
      <c r="H46" t="s">
        <v>78</v>
      </c>
      <c r="I46" t="s">
        <v>74</v>
      </c>
      <c r="J46">
        <v>28</v>
      </c>
      <c r="K46" t="s">
        <v>19</v>
      </c>
      <c r="L46" s="1">
        <v>322.61384511263657</v>
      </c>
      <c r="M46" t="s">
        <v>20</v>
      </c>
      <c r="N46" s="1">
        <v>9033.1876631538235</v>
      </c>
      <c r="O46" s="1">
        <v>463.24039298224733</v>
      </c>
      <c r="P46" t="s">
        <v>4233</v>
      </c>
      <c r="Q46">
        <v>0</v>
      </c>
    </row>
    <row r="47" spans="1:17" ht="42" customHeight="1" x14ac:dyDescent="0.3">
      <c r="A47">
        <v>25</v>
      </c>
      <c r="B47" t="s">
        <v>13</v>
      </c>
      <c r="C47" t="s">
        <v>21</v>
      </c>
      <c r="D47" t="str">
        <f>Tabla17[[#This Row],[Vendor]]</f>
        <v>Taller Ruiz Lopez</v>
      </c>
      <c r="F47" t="s">
        <v>4060</v>
      </c>
      <c r="G47" t="s">
        <v>88</v>
      </c>
      <c r="H47" t="s">
        <v>78</v>
      </c>
      <c r="I47" t="s">
        <v>86</v>
      </c>
      <c r="J47">
        <v>28</v>
      </c>
      <c r="K47" t="s">
        <v>19</v>
      </c>
      <c r="L47" s="1">
        <v>322.61384511263657</v>
      </c>
      <c r="M47" t="s">
        <v>20</v>
      </c>
      <c r="N47" s="1">
        <v>9033.1876631538235</v>
      </c>
      <c r="O47" s="1">
        <v>463.24039298224733</v>
      </c>
      <c r="P47" t="s">
        <v>4233</v>
      </c>
      <c r="Q47">
        <v>0</v>
      </c>
    </row>
    <row r="48" spans="1:17" ht="42" customHeight="1" x14ac:dyDescent="0.3">
      <c r="A48">
        <v>29</v>
      </c>
      <c r="B48" t="s">
        <v>13</v>
      </c>
      <c r="C48" t="s">
        <v>92</v>
      </c>
      <c r="D48" t="s">
        <v>93</v>
      </c>
      <c r="F48" t="s">
        <v>4059</v>
      </c>
      <c r="G48" t="s">
        <v>94</v>
      </c>
      <c r="H48" t="s">
        <v>95</v>
      </c>
      <c r="I48" t="s">
        <v>96</v>
      </c>
      <c r="J48">
        <v>24</v>
      </c>
      <c r="K48" t="s">
        <v>19</v>
      </c>
      <c r="L48" s="1">
        <v>21.83</v>
      </c>
      <c r="M48" t="s">
        <v>33</v>
      </c>
      <c r="N48" s="1">
        <v>523.91999999999996</v>
      </c>
      <c r="O48" s="1">
        <v>523.91999999999996</v>
      </c>
      <c r="P48" t="s">
        <v>4225</v>
      </c>
      <c r="Q48">
        <v>0</v>
      </c>
    </row>
    <row r="49" spans="1:17" ht="42" customHeight="1" x14ac:dyDescent="0.3">
      <c r="A49">
        <v>16</v>
      </c>
      <c r="B49" t="s">
        <v>13</v>
      </c>
      <c r="C49" t="s">
        <v>47</v>
      </c>
      <c r="D49" t="s">
        <v>44</v>
      </c>
      <c r="F49" t="s">
        <v>4063</v>
      </c>
      <c r="G49" t="s">
        <v>69</v>
      </c>
      <c r="H49" t="s">
        <v>70</v>
      </c>
      <c r="I49" t="s">
        <v>71</v>
      </c>
      <c r="J49">
        <v>56</v>
      </c>
      <c r="K49" t="s">
        <v>19</v>
      </c>
      <c r="L49" s="1">
        <v>7.9560000000000004</v>
      </c>
      <c r="M49" t="s">
        <v>33</v>
      </c>
      <c r="N49" s="1">
        <v>445.536</v>
      </c>
      <c r="O49" s="1">
        <v>445.536</v>
      </c>
      <c r="P49" t="s">
        <v>4225</v>
      </c>
      <c r="Q49">
        <v>0</v>
      </c>
    </row>
    <row r="50" spans="1:17" ht="42" customHeight="1" x14ac:dyDescent="0.3">
      <c r="A50">
        <v>12</v>
      </c>
      <c r="B50" t="s">
        <v>13</v>
      </c>
      <c r="C50" t="s">
        <v>47</v>
      </c>
      <c r="D50" t="s">
        <v>44</v>
      </c>
      <c r="F50" t="s">
        <v>4063</v>
      </c>
      <c r="G50" t="s">
        <v>57</v>
      </c>
      <c r="H50" t="s">
        <v>58</v>
      </c>
      <c r="I50" t="s">
        <v>59</v>
      </c>
      <c r="J50">
        <v>92</v>
      </c>
      <c r="K50" t="s">
        <v>19</v>
      </c>
      <c r="L50" s="1">
        <v>4.74</v>
      </c>
      <c r="M50" t="s">
        <v>33</v>
      </c>
      <c r="N50" s="1">
        <v>436.08000000000004</v>
      </c>
      <c r="O50" s="1">
        <v>436.08000000000004</v>
      </c>
      <c r="P50" t="s">
        <v>4225</v>
      </c>
      <c r="Q50">
        <v>0</v>
      </c>
    </row>
    <row r="51" spans="1:17" ht="42" customHeight="1" x14ac:dyDescent="0.3">
      <c r="A51">
        <v>9</v>
      </c>
      <c r="B51" t="s">
        <v>13</v>
      </c>
      <c r="C51" t="s">
        <v>47</v>
      </c>
      <c r="D51" t="s">
        <v>44</v>
      </c>
      <c r="F51" t="s">
        <v>4063</v>
      </c>
      <c r="G51" t="s">
        <v>48</v>
      </c>
      <c r="H51" t="s">
        <v>49</v>
      </c>
      <c r="I51" t="s">
        <v>50</v>
      </c>
      <c r="J51">
        <v>56</v>
      </c>
      <c r="K51" t="s">
        <v>19</v>
      </c>
      <c r="L51" s="1">
        <v>7.56</v>
      </c>
      <c r="M51" t="s">
        <v>33</v>
      </c>
      <c r="N51" s="1">
        <v>423.35999999999996</v>
      </c>
      <c r="O51" s="1">
        <v>423.35999999999996</v>
      </c>
      <c r="P51" t="s">
        <v>4225</v>
      </c>
      <c r="Q51">
        <v>0</v>
      </c>
    </row>
    <row r="52" spans="1:17" ht="42" customHeight="1" x14ac:dyDescent="0.3">
      <c r="A52">
        <v>11</v>
      </c>
      <c r="B52" t="s">
        <v>13</v>
      </c>
      <c r="C52" t="s">
        <v>47</v>
      </c>
      <c r="D52" t="s">
        <v>44</v>
      </c>
      <c r="F52" t="s">
        <v>4063</v>
      </c>
      <c r="G52" t="s">
        <v>54</v>
      </c>
      <c r="H52" t="s">
        <v>55</v>
      </c>
      <c r="I52" t="s">
        <v>56</v>
      </c>
      <c r="J52">
        <v>56</v>
      </c>
      <c r="K52" t="s">
        <v>19</v>
      </c>
      <c r="L52" s="1">
        <v>7.56</v>
      </c>
      <c r="M52" t="s">
        <v>33</v>
      </c>
      <c r="N52" s="1">
        <v>423.35999999999996</v>
      </c>
      <c r="O52" s="1">
        <v>423.35999999999996</v>
      </c>
      <c r="P52" t="s">
        <v>4225</v>
      </c>
      <c r="Q52">
        <v>0</v>
      </c>
    </row>
    <row r="53" spans="1:17" ht="42" customHeight="1" x14ac:dyDescent="0.3">
      <c r="A53">
        <v>18</v>
      </c>
      <c r="B53" t="s">
        <v>13</v>
      </c>
      <c r="C53" t="s">
        <v>21</v>
      </c>
      <c r="D53" t="str">
        <f>Tabla17[[#This Row],[Vendor]]</f>
        <v>Taller Ruiz Lopez</v>
      </c>
      <c r="F53" t="s">
        <v>4060</v>
      </c>
      <c r="G53" t="s">
        <v>75</v>
      </c>
      <c r="H53" t="s">
        <v>76</v>
      </c>
      <c r="I53" t="s">
        <v>74</v>
      </c>
      <c r="J53">
        <v>28</v>
      </c>
      <c r="K53" t="s">
        <v>19</v>
      </c>
      <c r="L53" s="1">
        <v>286.7678623223436</v>
      </c>
      <c r="M53" t="s">
        <v>20</v>
      </c>
      <c r="N53" s="1">
        <v>8029.5001450256204</v>
      </c>
      <c r="O53" s="1">
        <v>411.76923820644208</v>
      </c>
      <c r="P53" t="s">
        <v>4233</v>
      </c>
      <c r="Q53">
        <v>0</v>
      </c>
    </row>
    <row r="54" spans="1:17" ht="42" customHeight="1" x14ac:dyDescent="0.3">
      <c r="A54">
        <v>20</v>
      </c>
      <c r="B54" t="s">
        <v>13</v>
      </c>
      <c r="C54" t="s">
        <v>21</v>
      </c>
      <c r="D54" t="str">
        <f>Tabla17[[#This Row],[Vendor]]</f>
        <v>Taller Ruiz Lopez</v>
      </c>
      <c r="F54" t="s">
        <v>4060</v>
      </c>
      <c r="G54" t="s">
        <v>79</v>
      </c>
      <c r="H54" t="s">
        <v>80</v>
      </c>
      <c r="I54" t="s">
        <v>74</v>
      </c>
      <c r="J54">
        <v>28</v>
      </c>
      <c r="K54" t="s">
        <v>19</v>
      </c>
      <c r="L54" s="1">
        <v>286.7678623223436</v>
      </c>
      <c r="M54" t="s">
        <v>20</v>
      </c>
      <c r="N54" s="1">
        <v>8029.5001450256204</v>
      </c>
      <c r="O54" s="1">
        <v>411.76923820644208</v>
      </c>
      <c r="P54" t="s">
        <v>4233</v>
      </c>
      <c r="Q54">
        <v>0</v>
      </c>
    </row>
    <row r="55" spans="1:17" ht="42" customHeight="1" x14ac:dyDescent="0.3">
      <c r="A55">
        <v>24</v>
      </c>
      <c r="B55" t="s">
        <v>13</v>
      </c>
      <c r="C55" t="s">
        <v>21</v>
      </c>
      <c r="D55" t="str">
        <f>Tabla17[[#This Row],[Vendor]]</f>
        <v>Taller Ruiz Lopez</v>
      </c>
      <c r="F55" t="s">
        <v>4060</v>
      </c>
      <c r="G55" t="s">
        <v>87</v>
      </c>
      <c r="H55" t="s">
        <v>76</v>
      </c>
      <c r="I55" t="s">
        <v>86</v>
      </c>
      <c r="J55">
        <v>28</v>
      </c>
      <c r="K55" t="s">
        <v>19</v>
      </c>
      <c r="L55" s="1">
        <v>286.7678623223436</v>
      </c>
      <c r="M55" t="s">
        <v>20</v>
      </c>
      <c r="N55" s="1">
        <v>8029.5001450256204</v>
      </c>
      <c r="O55" s="1">
        <v>411.76923820644208</v>
      </c>
      <c r="P55" t="s">
        <v>4233</v>
      </c>
      <c r="Q55">
        <v>0</v>
      </c>
    </row>
    <row r="56" spans="1:17" ht="42" customHeight="1" x14ac:dyDescent="0.3">
      <c r="A56">
        <v>26</v>
      </c>
      <c r="B56" t="s">
        <v>13</v>
      </c>
      <c r="C56" t="s">
        <v>21</v>
      </c>
      <c r="D56" t="str">
        <f>Tabla17[[#This Row],[Vendor]]</f>
        <v>Taller Ruiz Lopez</v>
      </c>
      <c r="F56" t="s">
        <v>4060</v>
      </c>
      <c r="G56" t="s">
        <v>89</v>
      </c>
      <c r="H56" t="s">
        <v>80</v>
      </c>
      <c r="I56" t="s">
        <v>86</v>
      </c>
      <c r="J56">
        <v>28</v>
      </c>
      <c r="K56" t="s">
        <v>19</v>
      </c>
      <c r="L56" s="1">
        <v>286.7678623223436</v>
      </c>
      <c r="M56" t="s">
        <v>20</v>
      </c>
      <c r="N56" s="1">
        <v>8029.5001450256204</v>
      </c>
      <c r="O56" s="1">
        <v>411.76923820644208</v>
      </c>
      <c r="P56" t="s">
        <v>4233</v>
      </c>
      <c r="Q56">
        <v>0</v>
      </c>
    </row>
    <row r="57" spans="1:17" ht="42" customHeight="1" x14ac:dyDescent="0.3">
      <c r="A57">
        <v>10</v>
      </c>
      <c r="B57" t="s">
        <v>13</v>
      </c>
      <c r="C57" t="s">
        <v>47</v>
      </c>
      <c r="D57" t="s">
        <v>44</v>
      </c>
      <c r="F57" t="s">
        <v>4063</v>
      </c>
      <c r="G57" t="s">
        <v>51</v>
      </c>
      <c r="H57" t="s">
        <v>52</v>
      </c>
      <c r="I57" t="s">
        <v>53</v>
      </c>
      <c r="J57">
        <v>56</v>
      </c>
      <c r="K57" t="s">
        <v>19</v>
      </c>
      <c r="L57" s="1">
        <v>7.0620000000000003</v>
      </c>
      <c r="M57" t="s">
        <v>33</v>
      </c>
      <c r="N57" s="1">
        <v>395.47200000000004</v>
      </c>
      <c r="O57" s="1">
        <v>395.47200000000004</v>
      </c>
      <c r="P57" t="s">
        <v>4225</v>
      </c>
      <c r="Q57">
        <v>0</v>
      </c>
    </row>
    <row r="58" spans="1:17" ht="42" customHeight="1" x14ac:dyDescent="0.3">
      <c r="A58">
        <v>62</v>
      </c>
      <c r="B58" t="s">
        <v>13</v>
      </c>
      <c r="C58" t="s">
        <v>189</v>
      </c>
      <c r="D58" t="str">
        <f>Tabla17[[#This Row],[Vendor]]</f>
        <v>Fox Run</v>
      </c>
      <c r="F58" t="s">
        <v>4059</v>
      </c>
      <c r="G58">
        <v>48757</v>
      </c>
      <c r="H58" t="s">
        <v>190</v>
      </c>
      <c r="I58" t="s">
        <v>191</v>
      </c>
      <c r="J58">
        <v>28</v>
      </c>
      <c r="K58" t="s">
        <v>19</v>
      </c>
      <c r="L58" s="1">
        <v>13.6</v>
      </c>
      <c r="M58" t="s">
        <v>33</v>
      </c>
      <c r="N58" s="1">
        <v>380.8</v>
      </c>
      <c r="O58" s="1">
        <v>380.8</v>
      </c>
      <c r="P58" t="s">
        <v>4218</v>
      </c>
      <c r="Q58" t="s">
        <v>4245</v>
      </c>
    </row>
    <row r="59" spans="1:17" ht="42" customHeight="1" x14ac:dyDescent="0.3">
      <c r="A59">
        <v>14</v>
      </c>
      <c r="B59" t="s">
        <v>13</v>
      </c>
      <c r="C59" t="s">
        <v>47</v>
      </c>
      <c r="D59" t="s">
        <v>44</v>
      </c>
      <c r="F59" t="s">
        <v>4063</v>
      </c>
      <c r="G59" t="s">
        <v>63</v>
      </c>
      <c r="H59" t="s">
        <v>64</v>
      </c>
      <c r="I59" t="s">
        <v>65</v>
      </c>
      <c r="J59">
        <v>56</v>
      </c>
      <c r="K59" t="s">
        <v>19</v>
      </c>
      <c r="L59" s="1">
        <v>6.7859999999999996</v>
      </c>
      <c r="M59" t="s">
        <v>33</v>
      </c>
      <c r="N59" s="1">
        <v>380.01599999999996</v>
      </c>
      <c r="O59" s="1">
        <v>380.01599999999996</v>
      </c>
      <c r="P59" t="s">
        <v>4225</v>
      </c>
      <c r="Q59">
        <v>0</v>
      </c>
    </row>
    <row r="60" spans="1:17" ht="42" customHeight="1" x14ac:dyDescent="0.3">
      <c r="A60">
        <v>15</v>
      </c>
      <c r="B60" t="s">
        <v>13</v>
      </c>
      <c r="C60" t="s">
        <v>47</v>
      </c>
      <c r="D60" t="s">
        <v>44</v>
      </c>
      <c r="F60" t="s">
        <v>4063</v>
      </c>
      <c r="G60" t="s">
        <v>66</v>
      </c>
      <c r="H60" t="s">
        <v>67</v>
      </c>
      <c r="I60" t="s">
        <v>68</v>
      </c>
      <c r="J60">
        <v>56</v>
      </c>
      <c r="K60" t="s">
        <v>19</v>
      </c>
      <c r="L60" s="1">
        <v>6.7859999999999996</v>
      </c>
      <c r="M60" t="s">
        <v>33</v>
      </c>
      <c r="N60" s="1">
        <v>380.01599999999996</v>
      </c>
      <c r="O60" s="1">
        <v>380.01599999999996</v>
      </c>
      <c r="P60" t="s">
        <v>4225</v>
      </c>
      <c r="Q60">
        <v>0</v>
      </c>
    </row>
    <row r="61" spans="1:17" ht="42" customHeight="1" x14ac:dyDescent="0.3">
      <c r="A61">
        <v>33</v>
      </c>
      <c r="B61" t="s">
        <v>13</v>
      </c>
      <c r="C61" t="s">
        <v>43</v>
      </c>
      <c r="D61" t="s">
        <v>44</v>
      </c>
      <c r="F61" t="s">
        <v>4060</v>
      </c>
      <c r="G61">
        <v>653609</v>
      </c>
      <c r="H61" t="s">
        <v>106</v>
      </c>
      <c r="I61" t="s">
        <v>107</v>
      </c>
      <c r="J61">
        <v>19</v>
      </c>
      <c r="K61" t="s">
        <v>19</v>
      </c>
      <c r="L61" s="1">
        <v>18.75</v>
      </c>
      <c r="M61" t="s">
        <v>33</v>
      </c>
      <c r="N61" s="1">
        <v>356.25</v>
      </c>
      <c r="O61" s="1">
        <v>356.25</v>
      </c>
      <c r="P61" t="s">
        <v>4225</v>
      </c>
      <c r="Q61">
        <v>0</v>
      </c>
    </row>
    <row r="62" spans="1:17" ht="42" customHeight="1" x14ac:dyDescent="0.3">
      <c r="A62">
        <v>59</v>
      </c>
      <c r="B62" t="s">
        <v>13</v>
      </c>
      <c r="C62" t="s">
        <v>14</v>
      </c>
      <c r="D62" t="str">
        <f>Tabla17[[#This Row],[Vendor]]</f>
        <v>Oaxifornia</v>
      </c>
      <c r="F62" t="s">
        <v>4060</v>
      </c>
      <c r="G62" t="s">
        <v>178</v>
      </c>
      <c r="H62" t="s">
        <v>179</v>
      </c>
      <c r="I62" t="s">
        <v>180</v>
      </c>
      <c r="J62">
        <v>19</v>
      </c>
      <c r="K62" t="s">
        <v>19</v>
      </c>
      <c r="L62" s="1">
        <v>362</v>
      </c>
      <c r="M62" t="s">
        <v>20</v>
      </c>
      <c r="N62" s="1">
        <v>6878</v>
      </c>
      <c r="O62" s="1">
        <v>352.71794871794873</v>
      </c>
      <c r="P62" t="s">
        <v>4232</v>
      </c>
      <c r="Q62">
        <v>0</v>
      </c>
    </row>
    <row r="63" spans="1:17" ht="42" customHeight="1" x14ac:dyDescent="0.3">
      <c r="A63">
        <v>49</v>
      </c>
      <c r="B63" t="s">
        <v>13</v>
      </c>
      <c r="C63" t="s">
        <v>134</v>
      </c>
      <c r="D63" t="s">
        <v>44</v>
      </c>
      <c r="F63" t="s">
        <v>4062</v>
      </c>
      <c r="G63" t="s">
        <v>150</v>
      </c>
      <c r="H63" t="s">
        <v>151</v>
      </c>
      <c r="I63" t="s">
        <v>152</v>
      </c>
      <c r="J63">
        <v>37</v>
      </c>
      <c r="K63" t="s">
        <v>19</v>
      </c>
      <c r="L63" s="1">
        <v>8.8919999999999995</v>
      </c>
      <c r="M63" t="s">
        <v>33</v>
      </c>
      <c r="N63" s="1">
        <v>329.00399999999996</v>
      </c>
      <c r="O63" s="1">
        <v>329.00399999999996</v>
      </c>
      <c r="P63" s="26">
        <v>46096</v>
      </c>
      <c r="Q63">
        <v>0</v>
      </c>
    </row>
    <row r="64" spans="1:17" ht="42" customHeight="1" x14ac:dyDescent="0.3">
      <c r="A64">
        <v>66</v>
      </c>
      <c r="B64" t="s">
        <v>13</v>
      </c>
      <c r="C64" t="s">
        <v>204</v>
      </c>
      <c r="D64" t="str">
        <f>Tabla17[[#This Row],[Vendor]]</f>
        <v>Verve Culture</v>
      </c>
      <c r="F64" t="s">
        <v>4059</v>
      </c>
      <c r="G64" t="s">
        <v>205</v>
      </c>
      <c r="H64" t="s">
        <v>206</v>
      </c>
      <c r="I64" t="s">
        <v>207</v>
      </c>
      <c r="J64">
        <v>3</v>
      </c>
      <c r="K64" t="s">
        <v>19</v>
      </c>
      <c r="L64" s="1">
        <v>125</v>
      </c>
      <c r="M64" t="s">
        <v>33</v>
      </c>
      <c r="N64" s="1">
        <v>375</v>
      </c>
      <c r="O64" s="1">
        <v>375</v>
      </c>
      <c r="P64" t="s">
        <v>4218</v>
      </c>
      <c r="Q64" t="s">
        <v>4245</v>
      </c>
    </row>
    <row r="65" spans="1:17" ht="42" customHeight="1" x14ac:dyDescent="0.3">
      <c r="A65">
        <v>74</v>
      </c>
      <c r="B65" t="s">
        <v>227</v>
      </c>
      <c r="C65" t="s">
        <v>237</v>
      </c>
      <c r="D65" t="s">
        <v>93</v>
      </c>
      <c r="F65" t="s">
        <v>4059</v>
      </c>
      <c r="G65" t="s">
        <v>238</v>
      </c>
      <c r="H65" t="s">
        <v>239</v>
      </c>
      <c r="I65" t="s">
        <v>240</v>
      </c>
      <c r="J65">
        <v>4</v>
      </c>
      <c r="K65" t="s">
        <v>19</v>
      </c>
      <c r="L65" s="1">
        <v>93.27</v>
      </c>
      <c r="M65" t="s">
        <v>33</v>
      </c>
      <c r="N65" s="1">
        <v>373.08</v>
      </c>
      <c r="O65" s="1">
        <v>373.08</v>
      </c>
      <c r="P65" t="s">
        <v>4225</v>
      </c>
      <c r="Q65">
        <v>0</v>
      </c>
    </row>
    <row r="66" spans="1:17" ht="42" customHeight="1" x14ac:dyDescent="0.3">
      <c r="A66">
        <v>47</v>
      </c>
      <c r="B66" t="s">
        <v>13</v>
      </c>
      <c r="C66" t="s">
        <v>134</v>
      </c>
      <c r="D66" t="s">
        <v>44</v>
      </c>
      <c r="F66" t="s">
        <v>4062</v>
      </c>
      <c r="G66" t="s">
        <v>144</v>
      </c>
      <c r="H66" t="s">
        <v>145</v>
      </c>
      <c r="I66" t="s">
        <v>146</v>
      </c>
      <c r="J66">
        <v>37</v>
      </c>
      <c r="K66" t="s">
        <v>19</v>
      </c>
      <c r="L66" s="1">
        <v>8.19</v>
      </c>
      <c r="M66" t="s">
        <v>33</v>
      </c>
      <c r="N66" s="1">
        <v>303.02999999999997</v>
      </c>
      <c r="O66" s="1">
        <v>303.02999999999997</v>
      </c>
      <c r="P66" t="s">
        <v>4225</v>
      </c>
      <c r="Q66">
        <v>0</v>
      </c>
    </row>
    <row r="67" spans="1:17" ht="42" customHeight="1" x14ac:dyDescent="0.3">
      <c r="A67">
        <v>101</v>
      </c>
      <c r="B67" t="s">
        <v>227</v>
      </c>
      <c r="C67" t="s">
        <v>314</v>
      </c>
      <c r="D67" t="s">
        <v>93</v>
      </c>
      <c r="F67" t="s">
        <v>4059</v>
      </c>
      <c r="G67" t="s">
        <v>315</v>
      </c>
      <c r="H67" t="s">
        <v>316</v>
      </c>
      <c r="I67" t="s">
        <v>317</v>
      </c>
      <c r="J67">
        <v>2</v>
      </c>
      <c r="K67" t="s">
        <v>19</v>
      </c>
      <c r="L67">
        <v>175.87</v>
      </c>
      <c r="M67" t="s">
        <v>33</v>
      </c>
      <c r="N67" s="1">
        <v>351.74</v>
      </c>
      <c r="O67" s="1">
        <v>351.74</v>
      </c>
      <c r="P67" t="s">
        <v>4225</v>
      </c>
      <c r="Q67">
        <v>0</v>
      </c>
    </row>
    <row r="68" spans="1:17" ht="42" customHeight="1" x14ac:dyDescent="0.3">
      <c r="A68">
        <v>52</v>
      </c>
      <c r="B68" t="s">
        <v>13</v>
      </c>
      <c r="C68" t="s">
        <v>130</v>
      </c>
      <c r="D68" t="s">
        <v>130</v>
      </c>
      <c r="F68" t="s">
        <v>4062</v>
      </c>
      <c r="G68" t="s">
        <v>158</v>
      </c>
      <c r="H68" t="s">
        <v>159</v>
      </c>
      <c r="I68" t="s">
        <v>160</v>
      </c>
      <c r="J68">
        <v>37</v>
      </c>
      <c r="K68" t="s">
        <v>19</v>
      </c>
      <c r="L68" s="1">
        <v>8.0303245903932829</v>
      </c>
      <c r="M68" t="s">
        <v>33</v>
      </c>
      <c r="N68" s="1">
        <v>297.12200984455149</v>
      </c>
      <c r="O68" s="1">
        <v>297.12200984455149</v>
      </c>
      <c r="P68" t="s">
        <v>4241</v>
      </c>
      <c r="Q68">
        <v>0</v>
      </c>
    </row>
    <row r="69" spans="1:17" ht="42" customHeight="1" x14ac:dyDescent="0.3">
      <c r="A69">
        <v>69</v>
      </c>
      <c r="B69" t="s">
        <v>13</v>
      </c>
      <c r="C69" t="s">
        <v>215</v>
      </c>
      <c r="D69" t="s">
        <v>130</v>
      </c>
      <c r="F69" t="s">
        <v>4059</v>
      </c>
      <c r="G69" t="s">
        <v>216</v>
      </c>
      <c r="H69" t="s">
        <v>217</v>
      </c>
      <c r="I69" t="s">
        <v>218</v>
      </c>
      <c r="J69">
        <v>18</v>
      </c>
      <c r="K69" t="s">
        <v>19</v>
      </c>
      <c r="L69" s="1">
        <v>19.11270389483596</v>
      </c>
      <c r="M69" t="s">
        <v>33</v>
      </c>
      <c r="N69" s="1">
        <v>344.02867010704728</v>
      </c>
      <c r="O69" s="1">
        <v>344.02867010704728</v>
      </c>
      <c r="P69" t="s">
        <v>4225</v>
      </c>
      <c r="Q69">
        <v>0</v>
      </c>
    </row>
    <row r="70" spans="1:17" ht="42" customHeight="1" x14ac:dyDescent="0.3">
      <c r="A70">
        <v>55</v>
      </c>
      <c r="B70" t="s">
        <v>13</v>
      </c>
      <c r="C70" t="s">
        <v>14</v>
      </c>
      <c r="D70" t="str">
        <f>Tabla17[[#This Row],[Vendor]]</f>
        <v>Oaxifornia</v>
      </c>
      <c r="F70" t="s">
        <v>4062</v>
      </c>
      <c r="G70" t="s">
        <v>167</v>
      </c>
      <c r="H70" t="s">
        <v>168</v>
      </c>
      <c r="I70" t="s">
        <v>169</v>
      </c>
      <c r="J70">
        <v>37</v>
      </c>
      <c r="K70" t="s">
        <v>19</v>
      </c>
      <c r="L70" s="1">
        <v>154</v>
      </c>
      <c r="M70" t="s">
        <v>20</v>
      </c>
      <c r="N70" s="1">
        <v>5698</v>
      </c>
      <c r="O70" s="1">
        <v>292.20512820512823</v>
      </c>
      <c r="P70" t="s">
        <v>4232</v>
      </c>
      <c r="Q70">
        <v>0</v>
      </c>
    </row>
    <row r="71" spans="1:17" ht="42" customHeight="1" x14ac:dyDescent="0.3">
      <c r="A71">
        <v>50</v>
      </c>
      <c r="B71" t="s">
        <v>13</v>
      </c>
      <c r="C71" t="s">
        <v>130</v>
      </c>
      <c r="D71" t="s">
        <v>130</v>
      </c>
      <c r="F71" t="s">
        <v>4062</v>
      </c>
      <c r="G71" t="s">
        <v>153</v>
      </c>
      <c r="H71" t="s">
        <v>154</v>
      </c>
      <c r="I71" t="s">
        <v>155</v>
      </c>
      <c r="J71">
        <v>37</v>
      </c>
      <c r="K71" t="s">
        <v>19</v>
      </c>
      <c r="L71" s="1">
        <v>7.5985867091893464</v>
      </c>
      <c r="M71" t="s">
        <v>33</v>
      </c>
      <c r="N71" s="1">
        <v>281.14770824000584</v>
      </c>
      <c r="O71" s="1">
        <v>281.14770824000584</v>
      </c>
      <c r="P71" t="s">
        <v>4241</v>
      </c>
      <c r="Q71">
        <v>0</v>
      </c>
    </row>
    <row r="72" spans="1:17" ht="42" customHeight="1" x14ac:dyDescent="0.3">
      <c r="A72">
        <v>58</v>
      </c>
      <c r="B72" t="s">
        <v>13</v>
      </c>
      <c r="C72" t="s">
        <v>14</v>
      </c>
      <c r="D72" t="str">
        <f>Tabla17[[#This Row],[Vendor]]</f>
        <v>Oaxifornia</v>
      </c>
      <c r="F72" t="s">
        <v>4062</v>
      </c>
      <c r="G72" t="s">
        <v>175</v>
      </c>
      <c r="H72" t="s">
        <v>176</v>
      </c>
      <c r="I72" t="s">
        <v>177</v>
      </c>
      <c r="J72">
        <v>19</v>
      </c>
      <c r="K72" t="s">
        <v>19</v>
      </c>
      <c r="L72" s="1">
        <v>259</v>
      </c>
      <c r="M72" t="s">
        <v>20</v>
      </c>
      <c r="N72" s="1">
        <v>4921</v>
      </c>
      <c r="O72" s="1">
        <v>252.35897435897436</v>
      </c>
      <c r="P72" t="s">
        <v>4232</v>
      </c>
      <c r="Q72">
        <v>0</v>
      </c>
    </row>
    <row r="73" spans="1:17" ht="42" customHeight="1" x14ac:dyDescent="0.3">
      <c r="A73">
        <v>22</v>
      </c>
      <c r="B73" t="s">
        <v>13</v>
      </c>
      <c r="C73" t="s">
        <v>21</v>
      </c>
      <c r="D73" t="str">
        <f>Tabla17[[#This Row],[Vendor]]</f>
        <v>Taller Ruiz Lopez</v>
      </c>
      <c r="F73" t="s">
        <v>4059</v>
      </c>
      <c r="G73" t="s">
        <v>83</v>
      </c>
      <c r="H73" t="s">
        <v>84</v>
      </c>
      <c r="I73" t="s">
        <v>74</v>
      </c>
      <c r="J73">
        <v>37</v>
      </c>
      <c r="K73" t="s">
        <v>19</v>
      </c>
      <c r="L73" s="1">
        <v>122.90051242386154</v>
      </c>
      <c r="M73" t="s">
        <v>20</v>
      </c>
      <c r="N73" s="1">
        <v>4547.318959682877</v>
      </c>
      <c r="O73" s="1">
        <v>233.19584408630138</v>
      </c>
      <c r="P73" t="s">
        <v>4233</v>
      </c>
      <c r="Q73">
        <v>0</v>
      </c>
    </row>
    <row r="74" spans="1:17" ht="42" customHeight="1" x14ac:dyDescent="0.3">
      <c r="A74">
        <v>28</v>
      </c>
      <c r="B74" t="s">
        <v>13</v>
      </c>
      <c r="C74" t="s">
        <v>21</v>
      </c>
      <c r="D74" t="str">
        <f>Tabla17[[#This Row],[Vendor]]</f>
        <v>Taller Ruiz Lopez</v>
      </c>
      <c r="F74" t="s">
        <v>4059</v>
      </c>
      <c r="G74" t="s">
        <v>91</v>
      </c>
      <c r="H74" t="s">
        <v>84</v>
      </c>
      <c r="I74" t="s">
        <v>86</v>
      </c>
      <c r="J74">
        <v>37</v>
      </c>
      <c r="K74" t="s">
        <v>19</v>
      </c>
      <c r="L74" s="1">
        <v>122.90051242386154</v>
      </c>
      <c r="M74" t="s">
        <v>20</v>
      </c>
      <c r="N74" s="1">
        <v>4547.318959682877</v>
      </c>
      <c r="O74" s="1">
        <v>233.19584408630138</v>
      </c>
      <c r="P74" t="s">
        <v>4233</v>
      </c>
      <c r="Q74">
        <v>0</v>
      </c>
    </row>
    <row r="75" spans="1:17" ht="42" customHeight="1" x14ac:dyDescent="0.3">
      <c r="A75">
        <v>116</v>
      </c>
      <c r="B75" t="s">
        <v>227</v>
      </c>
      <c r="C75" t="s">
        <v>361</v>
      </c>
      <c r="D75" t="s">
        <v>362</v>
      </c>
      <c r="F75" t="s">
        <v>4059</v>
      </c>
      <c r="G75" t="s">
        <v>363</v>
      </c>
      <c r="H75" t="s">
        <v>364</v>
      </c>
      <c r="I75" t="s">
        <v>365</v>
      </c>
      <c r="J75">
        <v>6</v>
      </c>
      <c r="K75" t="s">
        <v>19</v>
      </c>
      <c r="L75">
        <v>44.937176470588234</v>
      </c>
      <c r="M75" t="s">
        <v>33</v>
      </c>
      <c r="N75" s="1">
        <v>269.62305882352939</v>
      </c>
      <c r="O75" s="1">
        <v>269.62305882352939</v>
      </c>
      <c r="P75" t="s">
        <v>4225</v>
      </c>
      <c r="Q75">
        <v>0</v>
      </c>
    </row>
    <row r="76" spans="1:17" ht="42" customHeight="1" x14ac:dyDescent="0.3">
      <c r="A76">
        <v>45</v>
      </c>
      <c r="B76" t="s">
        <v>13</v>
      </c>
      <c r="C76" t="s">
        <v>134</v>
      </c>
      <c r="D76" t="s">
        <v>44</v>
      </c>
      <c r="F76" t="s">
        <v>4062</v>
      </c>
      <c r="G76" t="s">
        <v>138</v>
      </c>
      <c r="H76" t="s">
        <v>139</v>
      </c>
      <c r="I76" t="s">
        <v>140</v>
      </c>
      <c r="J76">
        <v>19</v>
      </c>
      <c r="K76" t="s">
        <v>19</v>
      </c>
      <c r="L76" s="1">
        <v>12.1225</v>
      </c>
      <c r="M76" t="s">
        <v>33</v>
      </c>
      <c r="N76" s="1">
        <v>230.32750000000001</v>
      </c>
      <c r="O76" s="1">
        <v>230.32750000000001</v>
      </c>
      <c r="P76" t="s">
        <v>4225</v>
      </c>
      <c r="Q76">
        <v>0</v>
      </c>
    </row>
    <row r="77" spans="1:17" ht="42" customHeight="1" x14ac:dyDescent="0.3">
      <c r="A77">
        <v>54</v>
      </c>
      <c r="B77" t="s">
        <v>13</v>
      </c>
      <c r="C77" t="s">
        <v>14</v>
      </c>
      <c r="D77" t="str">
        <f>Tabla17[[#This Row],[Vendor]]</f>
        <v>Oaxifornia</v>
      </c>
      <c r="F77" t="s">
        <v>4062</v>
      </c>
      <c r="G77" t="s">
        <v>164</v>
      </c>
      <c r="H77" t="s">
        <v>165</v>
      </c>
      <c r="I77" t="s">
        <v>166</v>
      </c>
      <c r="J77">
        <v>37</v>
      </c>
      <c r="K77" t="s">
        <v>19</v>
      </c>
      <c r="L77" s="1">
        <v>114</v>
      </c>
      <c r="M77" t="s">
        <v>20</v>
      </c>
      <c r="N77" s="1">
        <v>4218</v>
      </c>
      <c r="O77" s="1">
        <v>216.30769230769232</v>
      </c>
      <c r="P77" t="s">
        <v>4232</v>
      </c>
      <c r="Q77">
        <v>0</v>
      </c>
    </row>
    <row r="78" spans="1:17" ht="42" customHeight="1" x14ac:dyDescent="0.3">
      <c r="A78">
        <v>108</v>
      </c>
      <c r="B78" t="s">
        <v>227</v>
      </c>
      <c r="C78" t="s">
        <v>237</v>
      </c>
      <c r="D78" t="s">
        <v>93</v>
      </c>
      <c r="F78" t="s">
        <v>4059</v>
      </c>
      <c r="G78" t="s">
        <v>339</v>
      </c>
      <c r="H78" t="s">
        <v>334</v>
      </c>
      <c r="I78" t="s">
        <v>340</v>
      </c>
      <c r="J78">
        <v>6</v>
      </c>
      <c r="K78" t="s">
        <v>19</v>
      </c>
      <c r="L78">
        <v>41.19</v>
      </c>
      <c r="M78" t="s">
        <v>33</v>
      </c>
      <c r="N78" s="1">
        <v>247.14</v>
      </c>
      <c r="O78" s="1">
        <v>247.14</v>
      </c>
      <c r="P78" t="s">
        <v>4225</v>
      </c>
      <c r="Q78">
        <v>0</v>
      </c>
    </row>
    <row r="79" spans="1:17" ht="42" customHeight="1" x14ac:dyDescent="0.3">
      <c r="A79">
        <v>99</v>
      </c>
      <c r="B79" t="s">
        <v>227</v>
      </c>
      <c r="C79" t="s">
        <v>272</v>
      </c>
      <c r="D79" t="str">
        <f>Tabla17[[#This Row],[Vendor]]</f>
        <v>Spill-Stop</v>
      </c>
      <c r="F79" t="s">
        <v>4059</v>
      </c>
      <c r="G79" t="s">
        <v>306</v>
      </c>
      <c r="H79" t="s">
        <v>307</v>
      </c>
      <c r="I79" t="s">
        <v>308</v>
      </c>
      <c r="J79">
        <v>96</v>
      </c>
      <c r="K79" t="s">
        <v>19</v>
      </c>
      <c r="L79">
        <v>2.2799999999999998</v>
      </c>
      <c r="M79" t="s">
        <v>33</v>
      </c>
      <c r="N79" s="1">
        <v>218.88</v>
      </c>
      <c r="O79" s="1">
        <v>218.88</v>
      </c>
      <c r="P79" t="s">
        <v>4230</v>
      </c>
      <c r="Q79">
        <v>0</v>
      </c>
    </row>
    <row r="80" spans="1:17" ht="42" customHeight="1" x14ac:dyDescent="0.3">
      <c r="A80">
        <v>43</v>
      </c>
      <c r="B80" t="s">
        <v>13</v>
      </c>
      <c r="C80" t="s">
        <v>130</v>
      </c>
      <c r="D80" t="s">
        <v>130</v>
      </c>
      <c r="F80" t="s">
        <v>4062</v>
      </c>
      <c r="G80" t="s">
        <v>131</v>
      </c>
      <c r="H80" t="s">
        <v>132</v>
      </c>
      <c r="I80" t="s">
        <v>133</v>
      </c>
      <c r="J80">
        <v>110</v>
      </c>
      <c r="K80" t="s">
        <v>19</v>
      </c>
      <c r="L80" s="1">
        <v>1.6605303123228461</v>
      </c>
      <c r="M80" t="s">
        <v>33</v>
      </c>
      <c r="N80" s="1">
        <v>182.65833435551306</v>
      </c>
      <c r="O80" s="1">
        <v>182.65833435551306</v>
      </c>
      <c r="P80" t="s">
        <v>4225</v>
      </c>
      <c r="Q80">
        <v>0</v>
      </c>
    </row>
    <row r="81" spans="1:17" ht="42" customHeight="1" x14ac:dyDescent="0.3">
      <c r="A81">
        <v>100</v>
      </c>
      <c r="B81" t="s">
        <v>227</v>
      </c>
      <c r="C81" t="s">
        <v>309</v>
      </c>
      <c r="D81" s="18" t="s">
        <v>44</v>
      </c>
      <c r="E81" s="18"/>
      <c r="F81" t="s">
        <v>4059</v>
      </c>
      <c r="G81" t="s">
        <v>311</v>
      </c>
      <c r="H81" t="s">
        <v>312</v>
      </c>
      <c r="I81" t="s">
        <v>313</v>
      </c>
      <c r="J81">
        <v>2</v>
      </c>
      <c r="K81" t="s">
        <v>19</v>
      </c>
      <c r="L81">
        <v>105.01</v>
      </c>
      <c r="M81" t="s">
        <v>33</v>
      </c>
      <c r="N81" s="1">
        <v>210.02</v>
      </c>
      <c r="O81" s="1">
        <v>210.02</v>
      </c>
      <c r="P81" t="s">
        <v>4225</v>
      </c>
      <c r="Q81">
        <v>0</v>
      </c>
    </row>
    <row r="82" spans="1:17" ht="42" customHeight="1" x14ac:dyDescent="0.3">
      <c r="A82">
        <v>13</v>
      </c>
      <c r="B82" t="s">
        <v>13</v>
      </c>
      <c r="C82" t="s">
        <v>47</v>
      </c>
      <c r="D82" t="s">
        <v>44</v>
      </c>
      <c r="F82" t="s">
        <v>4063</v>
      </c>
      <c r="G82" t="s">
        <v>60</v>
      </c>
      <c r="H82" t="s">
        <v>61</v>
      </c>
      <c r="I82" t="s">
        <v>62</v>
      </c>
      <c r="J82">
        <v>37</v>
      </c>
      <c r="K82" t="s">
        <v>19</v>
      </c>
      <c r="L82" s="1">
        <v>4.7279999999999998</v>
      </c>
      <c r="M82" t="s">
        <v>33</v>
      </c>
      <c r="N82" s="1">
        <v>174.93599999999998</v>
      </c>
      <c r="O82" s="1">
        <v>174.93599999999998</v>
      </c>
      <c r="P82" t="s">
        <v>4225</v>
      </c>
      <c r="Q82">
        <v>0</v>
      </c>
    </row>
    <row r="83" spans="1:17" ht="42" customHeight="1" x14ac:dyDescent="0.3">
      <c r="A83">
        <v>6</v>
      </c>
      <c r="B83" t="s">
        <v>13</v>
      </c>
      <c r="C83" t="s">
        <v>38</v>
      </c>
      <c r="D83" t="str">
        <f>Tabla17[[#This Row],[Vendor]]</f>
        <v>Peugeot</v>
      </c>
      <c r="F83" t="s">
        <v>4059</v>
      </c>
      <c r="G83">
        <v>38151</v>
      </c>
      <c r="H83" t="s">
        <v>39</v>
      </c>
      <c r="I83" t="s">
        <v>40</v>
      </c>
      <c r="J83">
        <v>6</v>
      </c>
      <c r="K83" t="s">
        <v>19</v>
      </c>
      <c r="L83" s="1">
        <v>31.5</v>
      </c>
      <c r="M83" t="s">
        <v>33</v>
      </c>
      <c r="N83" s="1">
        <v>189</v>
      </c>
      <c r="O83" s="1">
        <v>189</v>
      </c>
      <c r="P83" t="s">
        <v>4232</v>
      </c>
      <c r="Q83">
        <v>0</v>
      </c>
    </row>
    <row r="84" spans="1:17" ht="42" customHeight="1" x14ac:dyDescent="0.3">
      <c r="A84">
        <v>7</v>
      </c>
      <c r="B84" t="s">
        <v>13</v>
      </c>
      <c r="C84" t="s">
        <v>38</v>
      </c>
      <c r="D84" t="str">
        <f>Tabla17[[#This Row],[Vendor]]</f>
        <v>Peugeot</v>
      </c>
      <c r="F84" t="s">
        <v>4059</v>
      </c>
      <c r="G84">
        <v>41366</v>
      </c>
      <c r="H84" t="s">
        <v>41</v>
      </c>
      <c r="I84" t="s">
        <v>42</v>
      </c>
      <c r="J84">
        <v>6</v>
      </c>
      <c r="K84" t="s">
        <v>19</v>
      </c>
      <c r="L84" s="1">
        <v>31.5</v>
      </c>
      <c r="M84" t="s">
        <v>33</v>
      </c>
      <c r="N84" s="1">
        <v>189</v>
      </c>
      <c r="O84" s="1">
        <v>189</v>
      </c>
      <c r="P84" t="s">
        <v>4232</v>
      </c>
      <c r="Q84">
        <v>0</v>
      </c>
    </row>
    <row r="85" spans="1:17" ht="42" customHeight="1" x14ac:dyDescent="0.3">
      <c r="A85">
        <v>106</v>
      </c>
      <c r="B85" t="s">
        <v>227</v>
      </c>
      <c r="C85" t="s">
        <v>237</v>
      </c>
      <c r="D85" t="s">
        <v>93</v>
      </c>
      <c r="F85" t="s">
        <v>4059</v>
      </c>
      <c r="G85" t="s">
        <v>333</v>
      </c>
      <c r="H85" t="s">
        <v>334</v>
      </c>
      <c r="I85" t="s">
        <v>335</v>
      </c>
      <c r="J85">
        <v>6</v>
      </c>
      <c r="K85" t="s">
        <v>19</v>
      </c>
      <c r="L85">
        <v>28.36</v>
      </c>
      <c r="M85" t="s">
        <v>33</v>
      </c>
      <c r="N85" s="1">
        <v>170.16</v>
      </c>
      <c r="O85" s="1">
        <v>170.16</v>
      </c>
      <c r="P85" t="s">
        <v>4225</v>
      </c>
      <c r="Q85">
        <v>0</v>
      </c>
    </row>
    <row r="86" spans="1:17" ht="42" customHeight="1" x14ac:dyDescent="0.3">
      <c r="A86">
        <v>111</v>
      </c>
      <c r="B86" t="s">
        <v>227</v>
      </c>
      <c r="C86" t="s">
        <v>329</v>
      </c>
      <c r="D86" t="s">
        <v>199</v>
      </c>
      <c r="F86" t="s">
        <v>4059</v>
      </c>
      <c r="G86" t="s">
        <v>346</v>
      </c>
      <c r="H86" t="s">
        <v>347</v>
      </c>
      <c r="I86" t="s">
        <v>348</v>
      </c>
      <c r="J86">
        <v>6</v>
      </c>
      <c r="K86" t="s">
        <v>19</v>
      </c>
      <c r="L86">
        <v>27.350190000000001</v>
      </c>
      <c r="M86" t="s">
        <v>33</v>
      </c>
      <c r="N86" s="1">
        <v>164.10114000000002</v>
      </c>
      <c r="O86" s="1">
        <v>164.10114000000002</v>
      </c>
      <c r="P86" t="s">
        <v>4225</v>
      </c>
      <c r="Q86">
        <v>0</v>
      </c>
    </row>
    <row r="87" spans="1:17" ht="42" customHeight="1" x14ac:dyDescent="0.3">
      <c r="A87">
        <v>70</v>
      </c>
      <c r="B87" t="s">
        <v>13</v>
      </c>
      <c r="C87" t="s">
        <v>219</v>
      </c>
      <c r="D87" t="s">
        <v>44</v>
      </c>
      <c r="F87" t="s">
        <v>4059</v>
      </c>
      <c r="G87" t="s">
        <v>220</v>
      </c>
      <c r="H87" t="s">
        <v>221</v>
      </c>
      <c r="I87" t="s">
        <v>222</v>
      </c>
      <c r="J87">
        <v>22</v>
      </c>
      <c r="K87" t="s">
        <v>19</v>
      </c>
      <c r="L87" s="1">
        <v>4.9980000000000002</v>
      </c>
      <c r="M87" t="s">
        <v>33</v>
      </c>
      <c r="N87" s="1">
        <v>109.956</v>
      </c>
      <c r="O87" s="1">
        <v>109.956</v>
      </c>
      <c r="P87" s="26" t="s">
        <v>4225</v>
      </c>
      <c r="Q87">
        <v>0</v>
      </c>
    </row>
    <row r="88" spans="1:17" ht="42" customHeight="1" x14ac:dyDescent="0.3">
      <c r="A88">
        <v>57</v>
      </c>
      <c r="B88" t="s">
        <v>13</v>
      </c>
      <c r="C88" t="s">
        <v>134</v>
      </c>
      <c r="D88" t="s">
        <v>44</v>
      </c>
      <c r="F88" t="s">
        <v>4062</v>
      </c>
      <c r="G88">
        <v>1610005</v>
      </c>
      <c r="H88" t="s">
        <v>173</v>
      </c>
      <c r="I88" t="s">
        <v>174</v>
      </c>
      <c r="J88">
        <v>19</v>
      </c>
      <c r="K88" t="s">
        <v>19</v>
      </c>
      <c r="L88" s="1">
        <v>5.8045</v>
      </c>
      <c r="M88" t="s">
        <v>33</v>
      </c>
      <c r="N88" s="1">
        <v>110.2855</v>
      </c>
      <c r="O88" s="1">
        <v>110.2855</v>
      </c>
      <c r="P88" s="26">
        <v>46096</v>
      </c>
      <c r="Q88">
        <v>0</v>
      </c>
    </row>
    <row r="89" spans="1:17" ht="42" customHeight="1" x14ac:dyDescent="0.3">
      <c r="A89">
        <v>109</v>
      </c>
      <c r="B89" t="s">
        <v>227</v>
      </c>
      <c r="C89" t="s">
        <v>237</v>
      </c>
      <c r="D89" t="s">
        <v>93</v>
      </c>
      <c r="F89" t="s">
        <v>4059</v>
      </c>
      <c r="G89" t="s">
        <v>341</v>
      </c>
      <c r="H89" t="s">
        <v>337</v>
      </c>
      <c r="I89" t="s">
        <v>342</v>
      </c>
      <c r="J89">
        <v>6</v>
      </c>
      <c r="K89" t="s">
        <v>19</v>
      </c>
      <c r="L89">
        <v>16.690000000000001</v>
      </c>
      <c r="M89" t="s">
        <v>33</v>
      </c>
      <c r="N89" s="1">
        <v>100.14000000000001</v>
      </c>
      <c r="O89" s="1">
        <v>100.14000000000001</v>
      </c>
      <c r="P89" t="s">
        <v>4225</v>
      </c>
      <c r="Q89">
        <v>0</v>
      </c>
    </row>
    <row r="90" spans="1:17" ht="42" customHeight="1" x14ac:dyDescent="0.3">
      <c r="A90">
        <v>76</v>
      </c>
      <c r="B90" t="s">
        <v>227</v>
      </c>
      <c r="C90" t="s">
        <v>237</v>
      </c>
      <c r="D90" t="s">
        <v>93</v>
      </c>
      <c r="F90" t="s">
        <v>4059</v>
      </c>
      <c r="G90" t="s">
        <v>244</v>
      </c>
      <c r="H90" t="s">
        <v>245</v>
      </c>
      <c r="I90" t="s">
        <v>246</v>
      </c>
      <c r="J90">
        <v>2</v>
      </c>
      <c r="K90" t="s">
        <v>19</v>
      </c>
      <c r="L90" s="1">
        <v>41.83</v>
      </c>
      <c r="M90" t="s">
        <v>33</v>
      </c>
      <c r="N90" s="1">
        <v>83.66</v>
      </c>
      <c r="O90" s="1">
        <v>83.66</v>
      </c>
      <c r="P90" t="s">
        <v>4225</v>
      </c>
      <c r="Q90">
        <v>0</v>
      </c>
    </row>
    <row r="91" spans="1:17" ht="42" customHeight="1" x14ac:dyDescent="0.3">
      <c r="A91">
        <v>103</v>
      </c>
      <c r="B91" t="s">
        <v>227</v>
      </c>
      <c r="C91" t="s">
        <v>321</v>
      </c>
      <c r="D91" t="s">
        <v>199</v>
      </c>
      <c r="F91" t="s">
        <v>4059</v>
      </c>
      <c r="G91" t="s">
        <v>322</v>
      </c>
      <c r="H91" t="s">
        <v>323</v>
      </c>
      <c r="I91" t="s">
        <v>324</v>
      </c>
      <c r="J91">
        <v>4</v>
      </c>
      <c r="K91" t="s">
        <v>19</v>
      </c>
      <c r="L91">
        <v>20.500824093750008</v>
      </c>
      <c r="M91" t="s">
        <v>33</v>
      </c>
      <c r="N91" s="1">
        <v>82.003296375000033</v>
      </c>
      <c r="O91" s="1">
        <v>82.003296375000033</v>
      </c>
      <c r="P91" t="s">
        <v>4225</v>
      </c>
      <c r="Q91">
        <v>0</v>
      </c>
    </row>
    <row r="92" spans="1:17" ht="42" customHeight="1" x14ac:dyDescent="0.3">
      <c r="A92">
        <v>95</v>
      </c>
      <c r="B92" t="s">
        <v>227</v>
      </c>
      <c r="C92" t="s">
        <v>228</v>
      </c>
      <c r="D92" t="s">
        <v>44</v>
      </c>
      <c r="F92" t="s">
        <v>4059</v>
      </c>
      <c r="G92" t="s">
        <v>294</v>
      </c>
      <c r="H92" t="s">
        <v>295</v>
      </c>
      <c r="I92" t="s">
        <v>296</v>
      </c>
      <c r="J92">
        <v>8</v>
      </c>
      <c r="K92" t="s">
        <v>19</v>
      </c>
      <c r="L92" s="1">
        <v>9.9269999999999996</v>
      </c>
      <c r="M92" t="s">
        <v>33</v>
      </c>
      <c r="N92" s="1">
        <v>79.415999999999997</v>
      </c>
      <c r="O92" s="1">
        <v>79.415999999999997</v>
      </c>
      <c r="P92" s="26" t="s">
        <v>4225</v>
      </c>
      <c r="Q92">
        <v>0</v>
      </c>
    </row>
    <row r="93" spans="1:17" ht="42" customHeight="1" x14ac:dyDescent="0.3">
      <c r="A93">
        <v>89</v>
      </c>
      <c r="B93" t="s">
        <v>227</v>
      </c>
      <c r="C93" t="s">
        <v>228</v>
      </c>
      <c r="D93" t="s">
        <v>44</v>
      </c>
      <c r="F93" t="s">
        <v>4059</v>
      </c>
      <c r="G93" t="s">
        <v>276</v>
      </c>
      <c r="H93" t="s">
        <v>277</v>
      </c>
      <c r="I93" t="s">
        <v>278</v>
      </c>
      <c r="J93">
        <v>6</v>
      </c>
      <c r="K93" t="s">
        <v>19</v>
      </c>
      <c r="L93" s="1">
        <v>12.141</v>
      </c>
      <c r="M93" t="s">
        <v>33</v>
      </c>
      <c r="N93" s="1">
        <v>72.846000000000004</v>
      </c>
      <c r="O93" s="1">
        <v>72.846000000000004</v>
      </c>
      <c r="P93" s="26" t="s">
        <v>4225</v>
      </c>
      <c r="Q93">
        <v>0</v>
      </c>
    </row>
    <row r="94" spans="1:17" ht="42" customHeight="1" x14ac:dyDescent="0.3">
      <c r="A94">
        <v>114</v>
      </c>
      <c r="B94" t="s">
        <v>227</v>
      </c>
      <c r="C94" t="s">
        <v>272</v>
      </c>
      <c r="D94" t="str">
        <f>Tabla17[[#This Row],[Vendor]]</f>
        <v>Spill-Stop</v>
      </c>
      <c r="F94" t="s">
        <v>4059</v>
      </c>
      <c r="G94" t="s">
        <v>355</v>
      </c>
      <c r="H94" t="s">
        <v>347</v>
      </c>
      <c r="I94" t="s">
        <v>356</v>
      </c>
      <c r="J94">
        <v>8</v>
      </c>
      <c r="K94" t="s">
        <v>19</v>
      </c>
      <c r="L94">
        <v>9.08</v>
      </c>
      <c r="M94" t="s">
        <v>33</v>
      </c>
      <c r="N94" s="1">
        <v>72.64</v>
      </c>
      <c r="O94" s="1">
        <v>72.64</v>
      </c>
      <c r="P94" t="s">
        <v>4230</v>
      </c>
      <c r="Q94">
        <v>0</v>
      </c>
    </row>
    <row r="95" spans="1:17" ht="42" customHeight="1" x14ac:dyDescent="0.3">
      <c r="A95">
        <v>56</v>
      </c>
      <c r="B95" t="s">
        <v>13</v>
      </c>
      <c r="C95" t="s">
        <v>130</v>
      </c>
      <c r="D95" t="s">
        <v>130</v>
      </c>
      <c r="F95" t="s">
        <v>4062</v>
      </c>
      <c r="G95" t="s">
        <v>170</v>
      </c>
      <c r="H95" t="s">
        <v>171</v>
      </c>
      <c r="I95" t="s">
        <v>172</v>
      </c>
      <c r="J95">
        <v>19</v>
      </c>
      <c r="K95" t="s">
        <v>19</v>
      </c>
      <c r="L95" s="1">
        <v>3.2712447152760067</v>
      </c>
      <c r="M95" t="s">
        <v>33</v>
      </c>
      <c r="N95" s="1">
        <v>62.153649590244129</v>
      </c>
      <c r="O95" s="1">
        <v>62.153649590244129</v>
      </c>
      <c r="P95" t="s">
        <v>4225</v>
      </c>
      <c r="Q95">
        <v>0</v>
      </c>
    </row>
    <row r="96" spans="1:17" ht="42" customHeight="1" x14ac:dyDescent="0.3">
      <c r="A96">
        <v>107</v>
      </c>
      <c r="B96" t="s">
        <v>227</v>
      </c>
      <c r="C96" t="s">
        <v>237</v>
      </c>
      <c r="D96" t="s">
        <v>93</v>
      </c>
      <c r="F96" t="s">
        <v>4059</v>
      </c>
      <c r="G96" t="s">
        <v>336</v>
      </c>
      <c r="H96" t="s">
        <v>337</v>
      </c>
      <c r="I96" t="s">
        <v>338</v>
      </c>
      <c r="J96">
        <v>6</v>
      </c>
      <c r="K96" t="s">
        <v>19</v>
      </c>
      <c r="L96">
        <v>11.86</v>
      </c>
      <c r="M96" t="s">
        <v>33</v>
      </c>
      <c r="N96" s="1">
        <v>71.16</v>
      </c>
      <c r="O96" s="1">
        <v>71.16</v>
      </c>
      <c r="P96" t="s">
        <v>4225</v>
      </c>
      <c r="Q96">
        <v>0</v>
      </c>
    </row>
    <row r="97" spans="1:17" ht="42" customHeight="1" x14ac:dyDescent="0.3">
      <c r="A97">
        <v>90</v>
      </c>
      <c r="B97" t="s">
        <v>227</v>
      </c>
      <c r="C97" t="s">
        <v>228</v>
      </c>
      <c r="D97" t="s">
        <v>44</v>
      </c>
      <c r="F97" t="s">
        <v>4059</v>
      </c>
      <c r="G97" t="s">
        <v>279</v>
      </c>
      <c r="H97" t="s">
        <v>280</v>
      </c>
      <c r="I97" t="s">
        <v>281</v>
      </c>
      <c r="J97">
        <v>4</v>
      </c>
      <c r="K97" t="s">
        <v>19</v>
      </c>
      <c r="L97" s="1">
        <v>17.091000000000001</v>
      </c>
      <c r="M97" t="s">
        <v>33</v>
      </c>
      <c r="N97" s="1">
        <v>68.364000000000004</v>
      </c>
      <c r="O97" s="1">
        <v>68.364000000000004</v>
      </c>
      <c r="P97" s="26" t="s">
        <v>4225</v>
      </c>
      <c r="Q97">
        <v>0</v>
      </c>
    </row>
    <row r="98" spans="1:17" ht="42" customHeight="1" x14ac:dyDescent="0.3">
      <c r="A98">
        <v>91</v>
      </c>
      <c r="B98" t="s">
        <v>227</v>
      </c>
      <c r="C98" t="s">
        <v>228</v>
      </c>
      <c r="D98" t="s">
        <v>44</v>
      </c>
      <c r="F98" t="s">
        <v>4059</v>
      </c>
      <c r="G98" t="s">
        <v>282</v>
      </c>
      <c r="H98" t="s">
        <v>283</v>
      </c>
      <c r="I98" t="s">
        <v>284</v>
      </c>
      <c r="J98">
        <v>4</v>
      </c>
      <c r="K98" t="s">
        <v>19</v>
      </c>
      <c r="L98" s="1">
        <v>15.345000000000001</v>
      </c>
      <c r="M98" t="s">
        <v>33</v>
      </c>
      <c r="N98" s="1">
        <v>61.38</v>
      </c>
      <c r="O98" s="1">
        <v>61.38</v>
      </c>
      <c r="P98" s="26" t="s">
        <v>4225</v>
      </c>
      <c r="Q98">
        <v>0</v>
      </c>
    </row>
    <row r="99" spans="1:17" ht="42" customHeight="1" x14ac:dyDescent="0.3">
      <c r="A99">
        <v>86</v>
      </c>
      <c r="B99" t="s">
        <v>227</v>
      </c>
      <c r="C99" t="s">
        <v>266</v>
      </c>
      <c r="D99" t="s">
        <v>44</v>
      </c>
      <c r="F99" t="s">
        <v>4059</v>
      </c>
      <c r="G99" t="s">
        <v>267</v>
      </c>
      <c r="H99" t="s">
        <v>268</v>
      </c>
      <c r="I99" t="s">
        <v>269</v>
      </c>
      <c r="J99">
        <v>6</v>
      </c>
      <c r="K99" t="s">
        <v>19</v>
      </c>
      <c r="L99" s="1">
        <v>9.984</v>
      </c>
      <c r="M99" t="s">
        <v>33</v>
      </c>
      <c r="N99" s="1">
        <v>59.903999999999996</v>
      </c>
      <c r="O99" s="1">
        <v>59.903999999999996</v>
      </c>
      <c r="P99" t="s">
        <v>4225</v>
      </c>
      <c r="Q99">
        <v>0</v>
      </c>
    </row>
    <row r="100" spans="1:17" ht="42" customHeight="1" x14ac:dyDescent="0.3">
      <c r="A100">
        <v>87</v>
      </c>
      <c r="B100" t="s">
        <v>227</v>
      </c>
      <c r="C100" t="s">
        <v>266</v>
      </c>
      <c r="D100" t="s">
        <v>44</v>
      </c>
      <c r="F100" t="s">
        <v>4059</v>
      </c>
      <c r="G100" t="s">
        <v>270</v>
      </c>
      <c r="H100" t="s">
        <v>268</v>
      </c>
      <c r="I100" t="s">
        <v>271</v>
      </c>
      <c r="J100">
        <v>6</v>
      </c>
      <c r="K100" t="s">
        <v>19</v>
      </c>
      <c r="L100" s="1">
        <v>9.984</v>
      </c>
      <c r="M100" t="s">
        <v>33</v>
      </c>
      <c r="N100" s="1">
        <v>59.903999999999996</v>
      </c>
      <c r="O100" s="1">
        <v>59.903999999999996</v>
      </c>
      <c r="P100" t="s">
        <v>4225</v>
      </c>
      <c r="Q100">
        <v>0</v>
      </c>
    </row>
    <row r="101" spans="1:17" ht="42" customHeight="1" x14ac:dyDescent="0.3">
      <c r="A101">
        <v>88</v>
      </c>
      <c r="B101" t="s">
        <v>227</v>
      </c>
      <c r="C101" t="s">
        <v>272</v>
      </c>
      <c r="D101" t="str">
        <f>Tabla17[[#This Row],[Vendor]]</f>
        <v>Spill-Stop</v>
      </c>
      <c r="F101" t="s">
        <v>4059</v>
      </c>
      <c r="G101" t="s">
        <v>273</v>
      </c>
      <c r="H101" t="s">
        <v>274</v>
      </c>
      <c r="I101" t="s">
        <v>275</v>
      </c>
      <c r="J101">
        <v>2</v>
      </c>
      <c r="K101" t="s">
        <v>19</v>
      </c>
      <c r="L101" s="1">
        <v>28.8</v>
      </c>
      <c r="M101" t="s">
        <v>33</v>
      </c>
      <c r="N101" s="1">
        <v>57.6</v>
      </c>
      <c r="O101" s="1">
        <v>57.6</v>
      </c>
      <c r="P101" t="s">
        <v>4230</v>
      </c>
      <c r="Q101">
        <v>0</v>
      </c>
    </row>
    <row r="102" spans="1:17" ht="42" customHeight="1" x14ac:dyDescent="0.3">
      <c r="A102">
        <v>60</v>
      </c>
      <c r="B102" t="s">
        <v>13</v>
      </c>
      <c r="C102" t="s">
        <v>181</v>
      </c>
      <c r="D102" t="s">
        <v>44</v>
      </c>
      <c r="F102" t="s">
        <v>4059</v>
      </c>
      <c r="G102" t="s">
        <v>182</v>
      </c>
      <c r="H102" t="s">
        <v>183</v>
      </c>
      <c r="I102" t="s">
        <v>184</v>
      </c>
      <c r="J102">
        <v>15</v>
      </c>
      <c r="K102" t="s">
        <v>19</v>
      </c>
      <c r="L102" s="1">
        <v>3.282</v>
      </c>
      <c r="M102" t="s">
        <v>33</v>
      </c>
      <c r="N102" s="1">
        <v>49.230000000000004</v>
      </c>
      <c r="O102" s="1">
        <v>49.230000000000004</v>
      </c>
      <c r="P102" t="s">
        <v>4225</v>
      </c>
      <c r="Q102">
        <v>0</v>
      </c>
    </row>
    <row r="103" spans="1:17" ht="42" customHeight="1" x14ac:dyDescent="0.3">
      <c r="A103">
        <v>92</v>
      </c>
      <c r="B103" t="s">
        <v>227</v>
      </c>
      <c r="C103" t="s">
        <v>228</v>
      </c>
      <c r="D103" t="s">
        <v>44</v>
      </c>
      <c r="F103" t="s">
        <v>4059</v>
      </c>
      <c r="G103" t="s">
        <v>285</v>
      </c>
      <c r="H103" t="s">
        <v>286</v>
      </c>
      <c r="I103" t="s">
        <v>287</v>
      </c>
      <c r="J103">
        <v>4</v>
      </c>
      <c r="K103" t="s">
        <v>19</v>
      </c>
      <c r="L103" s="1">
        <v>12.375</v>
      </c>
      <c r="M103" t="s">
        <v>33</v>
      </c>
      <c r="N103" s="1">
        <v>49.5</v>
      </c>
      <c r="O103" s="1">
        <v>49.5</v>
      </c>
      <c r="P103" s="26" t="s">
        <v>4225</v>
      </c>
      <c r="Q103">
        <v>0</v>
      </c>
    </row>
    <row r="104" spans="1:17" ht="42" customHeight="1" x14ac:dyDescent="0.3">
      <c r="A104">
        <v>110</v>
      </c>
      <c r="B104" t="s">
        <v>227</v>
      </c>
      <c r="C104" t="s">
        <v>321</v>
      </c>
      <c r="D104" t="s">
        <v>199</v>
      </c>
      <c r="F104" t="s">
        <v>4059</v>
      </c>
      <c r="G104" t="s">
        <v>343</v>
      </c>
      <c r="H104" t="s">
        <v>344</v>
      </c>
      <c r="I104" t="s">
        <v>345</v>
      </c>
      <c r="J104">
        <v>2</v>
      </c>
      <c r="K104" t="s">
        <v>19</v>
      </c>
      <c r="L104">
        <v>24.180459187500002</v>
      </c>
      <c r="M104" t="s">
        <v>33</v>
      </c>
      <c r="N104" s="1">
        <v>48.360918375000004</v>
      </c>
      <c r="O104" s="1">
        <v>48.360918375000004</v>
      </c>
      <c r="P104" t="s">
        <v>4225</v>
      </c>
      <c r="Q104">
        <v>0</v>
      </c>
    </row>
    <row r="105" spans="1:17" ht="42" customHeight="1" x14ac:dyDescent="0.3">
      <c r="A105">
        <v>123</v>
      </c>
      <c r="B105" t="s">
        <v>227</v>
      </c>
      <c r="C105" t="s">
        <v>329</v>
      </c>
      <c r="D105" t="s">
        <v>199</v>
      </c>
      <c r="F105" t="s">
        <v>4059</v>
      </c>
      <c r="G105" t="s">
        <v>382</v>
      </c>
      <c r="H105" t="s">
        <v>383</v>
      </c>
      <c r="I105" t="s">
        <v>384</v>
      </c>
      <c r="J105">
        <v>2</v>
      </c>
      <c r="K105" t="s">
        <v>19</v>
      </c>
      <c r="L105">
        <v>22.307670000000002</v>
      </c>
      <c r="M105" t="s">
        <v>33</v>
      </c>
      <c r="N105" s="1">
        <v>44.615340000000003</v>
      </c>
      <c r="O105" s="1">
        <v>44.615340000000003</v>
      </c>
      <c r="P105" t="s">
        <v>4225</v>
      </c>
      <c r="Q105">
        <v>0</v>
      </c>
    </row>
    <row r="106" spans="1:17" ht="42" customHeight="1" x14ac:dyDescent="0.3">
      <c r="A106">
        <v>117</v>
      </c>
      <c r="B106" t="s">
        <v>227</v>
      </c>
      <c r="C106" t="s">
        <v>329</v>
      </c>
      <c r="D106" t="s">
        <v>199</v>
      </c>
      <c r="F106" t="s">
        <v>4059</v>
      </c>
      <c r="G106" t="s">
        <v>366</v>
      </c>
      <c r="H106" t="s">
        <v>367</v>
      </c>
      <c r="I106" t="s">
        <v>368</v>
      </c>
      <c r="J106">
        <v>6</v>
      </c>
      <c r="K106" t="s">
        <v>19</v>
      </c>
      <c r="L106">
        <v>7.3993499999999992</v>
      </c>
      <c r="M106" t="s">
        <v>33</v>
      </c>
      <c r="N106" s="1">
        <v>44.396099999999997</v>
      </c>
      <c r="O106" s="1">
        <v>44.396099999999997</v>
      </c>
      <c r="P106" t="s">
        <v>4225</v>
      </c>
      <c r="Q106">
        <v>0</v>
      </c>
    </row>
    <row r="107" spans="1:17" ht="42" customHeight="1" x14ac:dyDescent="0.3">
      <c r="A107">
        <v>94</v>
      </c>
      <c r="B107" t="s">
        <v>227</v>
      </c>
      <c r="C107" t="s">
        <v>228</v>
      </c>
      <c r="D107" t="s">
        <v>44</v>
      </c>
      <c r="F107" t="s">
        <v>4059</v>
      </c>
      <c r="G107" t="s">
        <v>291</v>
      </c>
      <c r="H107" t="s">
        <v>292</v>
      </c>
      <c r="I107" t="s">
        <v>293</v>
      </c>
      <c r="J107">
        <v>4</v>
      </c>
      <c r="K107" t="s">
        <v>19</v>
      </c>
      <c r="L107" s="1">
        <v>10.692</v>
      </c>
      <c r="M107" t="s">
        <v>33</v>
      </c>
      <c r="N107" s="1">
        <v>42.768000000000001</v>
      </c>
      <c r="O107" s="1">
        <v>42.768000000000001</v>
      </c>
      <c r="P107" s="26" t="s">
        <v>4225</v>
      </c>
      <c r="Q107">
        <v>0</v>
      </c>
    </row>
    <row r="108" spans="1:17" ht="42" customHeight="1" x14ac:dyDescent="0.3">
      <c r="A108">
        <v>93</v>
      </c>
      <c r="B108" t="s">
        <v>227</v>
      </c>
      <c r="C108" t="s">
        <v>228</v>
      </c>
      <c r="D108" t="s">
        <v>44</v>
      </c>
      <c r="F108" t="s">
        <v>4059</v>
      </c>
      <c r="G108" t="s">
        <v>288</v>
      </c>
      <c r="H108" t="s">
        <v>289</v>
      </c>
      <c r="I108" t="s">
        <v>290</v>
      </c>
      <c r="J108">
        <v>4</v>
      </c>
      <c r="K108" t="s">
        <v>19</v>
      </c>
      <c r="L108" s="1">
        <v>9.6660000000000004</v>
      </c>
      <c r="M108" t="s">
        <v>33</v>
      </c>
      <c r="N108" s="1">
        <v>38.664000000000001</v>
      </c>
      <c r="O108" s="1">
        <v>38.664000000000001</v>
      </c>
      <c r="P108" s="26" t="s">
        <v>4225</v>
      </c>
      <c r="Q108">
        <v>0</v>
      </c>
    </row>
    <row r="109" spans="1:17" ht="42" customHeight="1" x14ac:dyDescent="0.3">
      <c r="A109">
        <v>121</v>
      </c>
      <c r="B109" t="s">
        <v>227</v>
      </c>
      <c r="C109" t="s">
        <v>92</v>
      </c>
      <c r="D109" t="s">
        <v>93</v>
      </c>
      <c r="F109" t="s">
        <v>4059</v>
      </c>
      <c r="G109" t="s">
        <v>377</v>
      </c>
      <c r="H109" t="s">
        <v>373</v>
      </c>
      <c r="I109" t="s">
        <v>378</v>
      </c>
      <c r="J109">
        <v>4</v>
      </c>
      <c r="K109" t="s">
        <v>19</v>
      </c>
      <c r="L109">
        <v>9.2200000000000006</v>
      </c>
      <c r="M109" t="s">
        <v>33</v>
      </c>
      <c r="N109" s="1">
        <v>36.880000000000003</v>
      </c>
      <c r="O109" s="1">
        <v>36.880000000000003</v>
      </c>
      <c r="P109" t="s">
        <v>4228</v>
      </c>
      <c r="Q109" t="s">
        <v>4245</v>
      </c>
    </row>
    <row r="110" spans="1:17" ht="42" customHeight="1" x14ac:dyDescent="0.3">
      <c r="A110">
        <v>72</v>
      </c>
      <c r="B110" t="s">
        <v>227</v>
      </c>
      <c r="C110" t="s">
        <v>228</v>
      </c>
      <c r="D110" t="s">
        <v>44</v>
      </c>
      <c r="F110" t="s">
        <v>4059</v>
      </c>
      <c r="G110" t="s">
        <v>229</v>
      </c>
      <c r="H110" t="s">
        <v>230</v>
      </c>
      <c r="I110" t="s">
        <v>231</v>
      </c>
      <c r="J110">
        <v>4</v>
      </c>
      <c r="K110" t="s">
        <v>19</v>
      </c>
      <c r="L110" s="1">
        <v>8.9600000000000009</v>
      </c>
      <c r="M110" t="s">
        <v>33</v>
      </c>
      <c r="N110" s="1">
        <v>35.840000000000003</v>
      </c>
      <c r="O110" s="1">
        <v>35.840000000000003</v>
      </c>
      <c r="P110" s="26" t="s">
        <v>4225</v>
      </c>
      <c r="Q110">
        <v>0</v>
      </c>
    </row>
    <row r="111" spans="1:17" ht="42" customHeight="1" x14ac:dyDescent="0.3">
      <c r="A111">
        <v>112</v>
      </c>
      <c r="B111" t="s">
        <v>227</v>
      </c>
      <c r="C111" t="s">
        <v>228</v>
      </c>
      <c r="D111" t="s">
        <v>44</v>
      </c>
      <c r="F111" t="s">
        <v>4059</v>
      </c>
      <c r="G111" t="s">
        <v>349</v>
      </c>
      <c r="H111" t="s">
        <v>350</v>
      </c>
      <c r="I111" t="s">
        <v>351</v>
      </c>
      <c r="J111">
        <v>4</v>
      </c>
      <c r="K111" t="s">
        <v>19</v>
      </c>
      <c r="L111">
        <v>8.8919999999999995</v>
      </c>
      <c r="M111" t="s">
        <v>33</v>
      </c>
      <c r="N111" s="1">
        <v>35.567999999999998</v>
      </c>
      <c r="O111" s="1">
        <v>35.567999999999998</v>
      </c>
      <c r="P111" t="s">
        <v>4218</v>
      </c>
      <c r="Q111" t="s">
        <v>4245</v>
      </c>
    </row>
    <row r="112" spans="1:17" ht="42" customHeight="1" x14ac:dyDescent="0.3">
      <c r="A112">
        <v>96</v>
      </c>
      <c r="B112" t="s">
        <v>227</v>
      </c>
      <c r="C112" t="s">
        <v>228</v>
      </c>
      <c r="D112" t="s">
        <v>44</v>
      </c>
      <c r="F112" t="s">
        <v>4059</v>
      </c>
      <c r="G112" t="s">
        <v>297</v>
      </c>
      <c r="H112" t="s">
        <v>298</v>
      </c>
      <c r="I112" t="s">
        <v>299</v>
      </c>
      <c r="J112">
        <v>4</v>
      </c>
      <c r="K112" t="s">
        <v>19</v>
      </c>
      <c r="L112" s="1">
        <v>8.1630000000000003</v>
      </c>
      <c r="M112" t="s">
        <v>33</v>
      </c>
      <c r="N112" s="1">
        <v>32.652000000000001</v>
      </c>
      <c r="O112" s="1">
        <v>32.652000000000001</v>
      </c>
      <c r="P112" s="26" t="s">
        <v>4225</v>
      </c>
      <c r="Q112">
        <v>0</v>
      </c>
    </row>
    <row r="113" spans="1:17" ht="42" customHeight="1" x14ac:dyDescent="0.3">
      <c r="A113">
        <v>113</v>
      </c>
      <c r="B113" t="s">
        <v>227</v>
      </c>
      <c r="C113" t="s">
        <v>329</v>
      </c>
      <c r="D113" t="s">
        <v>199</v>
      </c>
      <c r="F113" t="s">
        <v>4059</v>
      </c>
      <c r="G113" t="s">
        <v>352</v>
      </c>
      <c r="H113" t="s">
        <v>353</v>
      </c>
      <c r="I113" t="s">
        <v>354</v>
      </c>
      <c r="J113">
        <v>2</v>
      </c>
      <c r="K113" t="s">
        <v>19</v>
      </c>
      <c r="L113">
        <v>14.935724999999998</v>
      </c>
      <c r="M113" t="s">
        <v>33</v>
      </c>
      <c r="N113" s="1">
        <v>29.871449999999996</v>
      </c>
      <c r="O113" s="1">
        <v>29.871449999999996</v>
      </c>
      <c r="P113" t="s">
        <v>4225</v>
      </c>
      <c r="Q113">
        <v>0</v>
      </c>
    </row>
    <row r="114" spans="1:17" ht="42" customHeight="1" x14ac:dyDescent="0.3">
      <c r="A114">
        <v>97</v>
      </c>
      <c r="B114" t="s">
        <v>227</v>
      </c>
      <c r="C114" t="s">
        <v>228</v>
      </c>
      <c r="D114" t="s">
        <v>44</v>
      </c>
      <c r="F114" t="s">
        <v>4059</v>
      </c>
      <c r="G114" t="s">
        <v>300</v>
      </c>
      <c r="H114" t="s">
        <v>301</v>
      </c>
      <c r="I114" t="s">
        <v>302</v>
      </c>
      <c r="J114">
        <v>8</v>
      </c>
      <c r="K114" t="s">
        <v>19</v>
      </c>
      <c r="L114" s="1">
        <v>3.5910000000000002</v>
      </c>
      <c r="M114" t="s">
        <v>33</v>
      </c>
      <c r="N114" s="1">
        <v>28.728000000000002</v>
      </c>
      <c r="O114" s="1">
        <v>28.728000000000002</v>
      </c>
      <c r="P114" s="26" t="s">
        <v>4225</v>
      </c>
      <c r="Q114">
        <v>0</v>
      </c>
    </row>
    <row r="115" spans="1:17" ht="42" customHeight="1" x14ac:dyDescent="0.3">
      <c r="A115">
        <v>119</v>
      </c>
      <c r="B115" t="s">
        <v>227</v>
      </c>
      <c r="C115" t="s">
        <v>371</v>
      </c>
      <c r="D115" t="str">
        <f>Tabla17[[#This Row],[Vendor]]</f>
        <v>Franmara</v>
      </c>
      <c r="F115" t="s">
        <v>4059</v>
      </c>
      <c r="G115" t="s">
        <v>372</v>
      </c>
      <c r="H115" t="s">
        <v>373</v>
      </c>
      <c r="I115" t="s">
        <v>374</v>
      </c>
      <c r="J115">
        <v>4</v>
      </c>
      <c r="K115" t="s">
        <v>19</v>
      </c>
      <c r="L115">
        <v>6.5</v>
      </c>
      <c r="M115" t="s">
        <v>33</v>
      </c>
      <c r="N115" s="1">
        <v>26</v>
      </c>
      <c r="O115" s="1">
        <v>26</v>
      </c>
      <c r="P115" t="s">
        <v>4239</v>
      </c>
      <c r="Q115">
        <v>0</v>
      </c>
    </row>
    <row r="116" spans="1:17" ht="42" customHeight="1" x14ac:dyDescent="0.3">
      <c r="A116">
        <v>115</v>
      </c>
      <c r="B116" t="s">
        <v>227</v>
      </c>
      <c r="C116" t="s">
        <v>357</v>
      </c>
      <c r="D116" t="s">
        <v>93</v>
      </c>
      <c r="F116" t="s">
        <v>4059</v>
      </c>
      <c r="G116" t="s">
        <v>358</v>
      </c>
      <c r="H116" t="s">
        <v>359</v>
      </c>
      <c r="I116" t="s">
        <v>360</v>
      </c>
      <c r="J116">
        <v>2</v>
      </c>
      <c r="K116" t="s">
        <v>19</v>
      </c>
      <c r="L116">
        <v>9.5299999999999994</v>
      </c>
      <c r="M116" t="s">
        <v>33</v>
      </c>
      <c r="N116" s="1">
        <v>19.059999999999999</v>
      </c>
      <c r="O116" s="1">
        <v>19.059999999999999</v>
      </c>
      <c r="P116" t="s">
        <v>4225</v>
      </c>
      <c r="Q116">
        <v>0</v>
      </c>
    </row>
    <row r="117" spans="1:17" ht="42" customHeight="1" x14ac:dyDescent="0.3">
      <c r="A117">
        <v>73</v>
      </c>
      <c r="B117" t="s">
        <v>227</v>
      </c>
      <c r="C117" t="s">
        <v>232</v>
      </c>
      <c r="D117" t="s">
        <v>233</v>
      </c>
      <c r="F117" t="s">
        <v>4059</v>
      </c>
      <c r="G117" t="s">
        <v>234</v>
      </c>
      <c r="H117" t="s">
        <v>235</v>
      </c>
      <c r="I117" t="s">
        <v>236</v>
      </c>
      <c r="J117">
        <v>4</v>
      </c>
      <c r="K117" t="s">
        <v>19</v>
      </c>
      <c r="L117" s="1">
        <v>4.71</v>
      </c>
      <c r="M117" t="s">
        <v>33</v>
      </c>
      <c r="N117" s="1">
        <v>18.84</v>
      </c>
      <c r="O117" s="1">
        <v>18.84</v>
      </c>
      <c r="P117" t="s">
        <v>4218</v>
      </c>
      <c r="Q117" t="s">
        <v>4246</v>
      </c>
    </row>
    <row r="118" spans="1:17" ht="42" customHeight="1" x14ac:dyDescent="0.3">
      <c r="A118">
        <v>122</v>
      </c>
      <c r="B118" t="s">
        <v>227</v>
      </c>
      <c r="C118" t="s">
        <v>314</v>
      </c>
      <c r="D118" t="s">
        <v>93</v>
      </c>
      <c r="F118" t="s">
        <v>4059</v>
      </c>
      <c r="G118" t="s">
        <v>379</v>
      </c>
      <c r="H118" t="s">
        <v>380</v>
      </c>
      <c r="I118" t="s">
        <v>381</v>
      </c>
      <c r="J118">
        <v>4</v>
      </c>
      <c r="K118" t="s">
        <v>19</v>
      </c>
      <c r="L118">
        <v>4.4000000000000004</v>
      </c>
      <c r="M118" t="s">
        <v>33</v>
      </c>
      <c r="N118" s="1">
        <v>17.600000000000001</v>
      </c>
      <c r="O118" s="1">
        <v>17.600000000000001</v>
      </c>
      <c r="P118" t="s">
        <v>4228</v>
      </c>
      <c r="Q118" t="s">
        <v>4245</v>
      </c>
    </row>
    <row r="119" spans="1:17" ht="42" customHeight="1" x14ac:dyDescent="0.3">
      <c r="A119">
        <v>120</v>
      </c>
      <c r="B119" t="s">
        <v>227</v>
      </c>
      <c r="C119" t="s">
        <v>371</v>
      </c>
      <c r="D119" t="str">
        <f>Tabla17[[#This Row],[Vendor]]</f>
        <v>Franmara</v>
      </c>
      <c r="F119" t="s">
        <v>4059</v>
      </c>
      <c r="G119" t="s">
        <v>375</v>
      </c>
      <c r="H119" t="s">
        <v>373</v>
      </c>
      <c r="I119" t="s">
        <v>376</v>
      </c>
      <c r="J119">
        <v>4</v>
      </c>
      <c r="K119" t="s">
        <v>19</v>
      </c>
      <c r="L119">
        <v>3</v>
      </c>
      <c r="M119" t="s">
        <v>33</v>
      </c>
      <c r="N119" s="1">
        <v>12</v>
      </c>
      <c r="O119" s="1">
        <v>12</v>
      </c>
      <c r="P119" t="s">
        <v>4239</v>
      </c>
      <c r="Q119">
        <v>0</v>
      </c>
    </row>
    <row r="120" spans="1:17" ht="42" customHeight="1" x14ac:dyDescent="0.3">
      <c r="A120">
        <v>124</v>
      </c>
      <c r="B120" t="s">
        <v>227</v>
      </c>
      <c r="C120" t="s">
        <v>92</v>
      </c>
      <c r="D120" t="s">
        <v>93</v>
      </c>
      <c r="F120" t="s">
        <v>4059</v>
      </c>
      <c r="G120" t="s">
        <v>385</v>
      </c>
      <c r="H120" t="s">
        <v>386</v>
      </c>
      <c r="I120" t="s">
        <v>387</v>
      </c>
      <c r="J120">
        <v>4</v>
      </c>
      <c r="K120" t="s">
        <v>19</v>
      </c>
      <c r="L120">
        <v>2.85</v>
      </c>
      <c r="M120" t="s">
        <v>33</v>
      </c>
      <c r="N120" s="1">
        <v>11.4</v>
      </c>
      <c r="O120" s="1">
        <v>11.4</v>
      </c>
      <c r="P120" t="s">
        <v>4228</v>
      </c>
      <c r="Q120" t="s">
        <v>4245</v>
      </c>
    </row>
    <row r="121" spans="1:17" ht="42" customHeight="1" x14ac:dyDescent="0.3">
      <c r="A121">
        <v>102</v>
      </c>
      <c r="B121" t="s">
        <v>227</v>
      </c>
      <c r="C121" t="s">
        <v>314</v>
      </c>
      <c r="D121" t="s">
        <v>93</v>
      </c>
      <c r="F121" t="s">
        <v>4059</v>
      </c>
      <c r="G121" t="s">
        <v>318</v>
      </c>
      <c r="H121" t="s">
        <v>319</v>
      </c>
      <c r="I121" t="s">
        <v>320</v>
      </c>
      <c r="J121">
        <v>6</v>
      </c>
      <c r="K121" t="s">
        <v>19</v>
      </c>
      <c r="L121">
        <v>1.63</v>
      </c>
      <c r="M121" t="s">
        <v>33</v>
      </c>
      <c r="N121" s="1">
        <v>9.7799999999999994</v>
      </c>
      <c r="O121" s="1">
        <v>9.7799999999999994</v>
      </c>
      <c r="P121" t="s">
        <v>4228</v>
      </c>
      <c r="Q121" t="s">
        <v>4245</v>
      </c>
    </row>
    <row r="122" spans="1:17" ht="42" customHeight="1" x14ac:dyDescent="0.3">
      <c r="A122">
        <v>105</v>
      </c>
      <c r="B122" t="s">
        <v>227</v>
      </c>
      <c r="C122" t="s">
        <v>329</v>
      </c>
      <c r="D122" t="s">
        <v>199</v>
      </c>
      <c r="F122" t="s">
        <v>4059</v>
      </c>
      <c r="G122" t="s">
        <v>330</v>
      </c>
      <c r="H122" t="s">
        <v>331</v>
      </c>
      <c r="I122" t="s">
        <v>332</v>
      </c>
      <c r="J122">
        <v>2</v>
      </c>
      <c r="K122" t="s">
        <v>19</v>
      </c>
      <c r="L122">
        <v>3.34341</v>
      </c>
      <c r="M122" t="s">
        <v>33</v>
      </c>
      <c r="N122" s="1">
        <v>6.68682</v>
      </c>
      <c r="O122" s="1">
        <v>6.68682</v>
      </c>
      <c r="P122" t="s">
        <v>4225</v>
      </c>
      <c r="Q122">
        <v>0</v>
      </c>
    </row>
    <row r="123" spans="1:17" ht="42" customHeight="1" x14ac:dyDescent="0.3">
      <c r="A123">
        <v>31</v>
      </c>
      <c r="B123" t="s">
        <v>13</v>
      </c>
      <c r="C123" t="s">
        <v>100</v>
      </c>
      <c r="D123" s="18" t="s">
        <v>44</v>
      </c>
      <c r="E123" s="18"/>
      <c r="F123" t="s">
        <v>4059</v>
      </c>
      <c r="G123" t="s">
        <v>101</v>
      </c>
      <c r="H123" t="s">
        <v>102</v>
      </c>
      <c r="I123" t="s">
        <v>103</v>
      </c>
      <c r="J123">
        <v>1</v>
      </c>
      <c r="K123" t="s">
        <v>19</v>
      </c>
      <c r="L123" s="16">
        <v>77.709999999999994</v>
      </c>
      <c r="N123" s="1">
        <v>77.709999999999994</v>
      </c>
      <c r="O123" s="1">
        <v>0</v>
      </c>
      <c r="P123" t="s">
        <v>4225</v>
      </c>
      <c r="Q123">
        <v>0</v>
      </c>
    </row>
    <row r="124" spans="1:17" ht="42" customHeight="1" x14ac:dyDescent="0.3">
      <c r="A124">
        <v>61</v>
      </c>
      <c r="B124" t="s">
        <v>13</v>
      </c>
      <c r="C124" t="s">
        <v>185</v>
      </c>
      <c r="D124" t="s">
        <v>93</v>
      </c>
      <c r="F124" t="s">
        <v>4059</v>
      </c>
      <c r="G124" t="s">
        <v>186</v>
      </c>
      <c r="H124" t="s">
        <v>187</v>
      </c>
      <c r="I124" t="s">
        <v>188</v>
      </c>
      <c r="J124">
        <v>15</v>
      </c>
      <c r="K124" t="s">
        <v>19</v>
      </c>
      <c r="L124" s="1">
        <v>17.489999999999998</v>
      </c>
      <c r="M124" t="s">
        <v>33</v>
      </c>
      <c r="N124" s="1">
        <v>262.34999999999997</v>
      </c>
      <c r="O124" s="1">
        <v>262.34999999999997</v>
      </c>
      <c r="P124" t="s">
        <v>4228</v>
      </c>
      <c r="Q124" t="s">
        <v>4246</v>
      </c>
    </row>
    <row r="125" spans="1:17" ht="42" customHeight="1" x14ac:dyDescent="0.3">
      <c r="A125">
        <v>65</v>
      </c>
      <c r="B125" t="s">
        <v>13</v>
      </c>
      <c r="C125" t="s">
        <v>198</v>
      </c>
      <c r="D125" t="s">
        <v>199</v>
      </c>
      <c r="F125" t="s">
        <v>4059</v>
      </c>
      <c r="G125" t="s">
        <v>200</v>
      </c>
      <c r="H125" t="s">
        <v>201</v>
      </c>
      <c r="I125" t="s">
        <v>202</v>
      </c>
      <c r="J125">
        <v>5</v>
      </c>
      <c r="K125" t="s">
        <v>19</v>
      </c>
      <c r="L125" s="1" t="s">
        <v>203</v>
      </c>
      <c r="M125" t="s">
        <v>33</v>
      </c>
      <c r="N125" s="1">
        <v>0</v>
      </c>
      <c r="O125" s="1">
        <v>0</v>
      </c>
      <c r="P125" t="s">
        <v>4227</v>
      </c>
      <c r="Q125" t="s">
        <v>4246</v>
      </c>
    </row>
    <row r="126" spans="1:17" ht="42" customHeight="1" x14ac:dyDescent="0.3">
      <c r="A126">
        <v>98</v>
      </c>
      <c r="B126" t="s">
        <v>227</v>
      </c>
      <c r="C126" t="s">
        <v>195</v>
      </c>
      <c r="D126" s="18" t="s">
        <v>44</v>
      </c>
      <c r="E126" s="18"/>
      <c r="F126" t="s">
        <v>4059</v>
      </c>
      <c r="G126" t="s">
        <v>303</v>
      </c>
      <c r="H126" t="s">
        <v>304</v>
      </c>
      <c r="I126" t="s">
        <v>305</v>
      </c>
      <c r="J126">
        <v>2</v>
      </c>
      <c r="K126" t="s">
        <v>19</v>
      </c>
      <c r="N126" s="16">
        <v>2.23</v>
      </c>
      <c r="O126" s="16">
        <v>4.46</v>
      </c>
      <c r="P126" t="s">
        <v>4225</v>
      </c>
      <c r="Q126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8827-9A6B-47AA-9B8F-AE2ADBAC7159}">
  <dimension ref="A1:Q244"/>
  <sheetViews>
    <sheetView showGridLines="0" tabSelected="1" topLeftCell="F1" zoomScale="70" zoomScaleNormal="70" workbookViewId="0">
      <selection activeCell="P9" sqref="P9"/>
    </sheetView>
  </sheetViews>
  <sheetFormatPr baseColWidth="10" defaultColWidth="11.44140625" defaultRowHeight="14.4" x14ac:dyDescent="0.3"/>
  <cols>
    <col min="2" max="3" width="11.5546875" customWidth="1"/>
    <col min="4" max="4" width="24" bestFit="1" customWidth="1"/>
    <col min="5" max="5" width="27.33203125" bestFit="1" customWidth="1"/>
    <col min="6" max="6" width="19.5546875" customWidth="1"/>
    <col min="7" max="7" width="30.5546875" customWidth="1"/>
    <col min="8" max="8" width="12.33203125" customWidth="1"/>
    <col min="9" max="9" width="24.33203125" customWidth="1"/>
    <col min="10" max="10" width="14.33203125" customWidth="1"/>
    <col min="11" max="13" width="11.5546875" customWidth="1"/>
    <col min="14" max="14" width="15.44140625" customWidth="1"/>
    <col min="15" max="15" width="19.6640625" customWidth="1"/>
    <col min="16" max="16" width="34" customWidth="1"/>
  </cols>
  <sheetData>
    <row r="1" spans="1:17" x14ac:dyDescent="0.3">
      <c r="M1">
        <v>19.5</v>
      </c>
      <c r="N1">
        <v>1.1599999999999999</v>
      </c>
    </row>
    <row r="2" spans="1:17" x14ac:dyDescent="0.3">
      <c r="A2" t="s">
        <v>4069</v>
      </c>
      <c r="B2" t="s">
        <v>0</v>
      </c>
      <c r="C2" t="s">
        <v>1</v>
      </c>
      <c r="D2" t="s">
        <v>2</v>
      </c>
      <c r="E2" t="s">
        <v>3</v>
      </c>
      <c r="F2" t="s">
        <v>4064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11</v>
      </c>
      <c r="N2" t="s">
        <v>10</v>
      </c>
      <c r="O2" t="s">
        <v>12</v>
      </c>
      <c r="P2" t="s">
        <v>4214</v>
      </c>
      <c r="Q2" t="s">
        <v>4247</v>
      </c>
    </row>
    <row r="3" spans="1:17" ht="38.4" customHeight="1" x14ac:dyDescent="0.3">
      <c r="A3" s="5">
        <v>438</v>
      </c>
      <c r="B3" s="5" t="s">
        <v>768</v>
      </c>
      <c r="C3" s="5" t="s">
        <v>223</v>
      </c>
      <c r="D3" s="17" t="s">
        <v>44</v>
      </c>
      <c r="E3" s="5" t="s">
        <v>944</v>
      </c>
      <c r="F3" s="5" t="s">
        <v>4059</v>
      </c>
      <c r="G3" s="5" t="s">
        <v>945</v>
      </c>
      <c r="H3" s="5" t="s">
        <v>946</v>
      </c>
      <c r="I3" s="5"/>
      <c r="J3" s="5">
        <v>20</v>
      </c>
      <c r="K3" s="5" t="s">
        <v>19</v>
      </c>
      <c r="L3" s="11">
        <v>827.56857749999995</v>
      </c>
      <c r="M3" s="5" t="s">
        <v>33</v>
      </c>
      <c r="N3" s="11">
        <f>Tabla18[[#This Row],[Price]]*Tabla18[[#This Row],[QTY Adjusted]]</f>
        <v>16551.37155</v>
      </c>
      <c r="O3" s="15">
        <v>3899.6</v>
      </c>
      <c r="P3" s="22">
        <v>46116</v>
      </c>
      <c r="Q3" s="6">
        <v>0</v>
      </c>
    </row>
    <row r="4" spans="1:17" ht="38.4" customHeight="1" x14ac:dyDescent="0.3">
      <c r="A4" s="5">
        <v>357</v>
      </c>
      <c r="B4" s="5" t="s">
        <v>768</v>
      </c>
      <c r="C4" s="5" t="s">
        <v>389</v>
      </c>
      <c r="D4" s="5" t="str">
        <f>Tabla18[[#This Row],[Vendor]]</f>
        <v>Maison Margaux</v>
      </c>
      <c r="E4" s="5" t="s">
        <v>490</v>
      </c>
      <c r="F4" s="5"/>
      <c r="G4" s="5"/>
      <c r="H4" s="5" t="s">
        <v>817</v>
      </c>
      <c r="I4" s="5" t="s">
        <v>818</v>
      </c>
      <c r="J4" s="5">
        <v>35</v>
      </c>
      <c r="K4" s="5" t="s">
        <v>19</v>
      </c>
      <c r="L4" s="11">
        <v>427.72</v>
      </c>
      <c r="M4" s="5" t="s">
        <v>33</v>
      </c>
      <c r="N4" s="11">
        <f>Tabla18[[#This Row],[Price]]*Tabla18[[#This Row],[QTY Adjusted]]</f>
        <v>14970.2</v>
      </c>
      <c r="O4" s="11">
        <v>14970.2</v>
      </c>
      <c r="P4" s="10" t="s">
        <v>4226</v>
      </c>
      <c r="Q4" s="6">
        <v>0</v>
      </c>
    </row>
    <row r="5" spans="1:17" ht="38.4" customHeight="1" x14ac:dyDescent="0.3">
      <c r="A5" s="5">
        <v>437</v>
      </c>
      <c r="B5" s="5" t="s">
        <v>768</v>
      </c>
      <c r="C5" s="5" t="s">
        <v>223</v>
      </c>
      <c r="D5" s="17" t="s">
        <v>44</v>
      </c>
      <c r="E5" s="5" t="s">
        <v>118</v>
      </c>
      <c r="F5" s="5" t="s">
        <v>4059</v>
      </c>
      <c r="G5" s="5" t="s">
        <v>942</v>
      </c>
      <c r="H5" s="5" t="s">
        <v>943</v>
      </c>
      <c r="I5" s="5"/>
      <c r="J5" s="5">
        <v>28</v>
      </c>
      <c r="K5" s="5" t="s">
        <v>19</v>
      </c>
      <c r="L5" s="11">
        <v>390.12996750000002</v>
      </c>
      <c r="M5" s="5" t="s">
        <v>33</v>
      </c>
      <c r="N5" s="11">
        <f>Tabla18[[#This Row],[Price]]*Tabla18[[#This Row],[QTY Adjusted]]</f>
        <v>10923.639090000001</v>
      </c>
      <c r="O5" s="15">
        <v>3465.56</v>
      </c>
      <c r="P5" s="22">
        <v>46116</v>
      </c>
      <c r="Q5" s="6">
        <v>0</v>
      </c>
    </row>
    <row r="6" spans="1:17" ht="38.4" customHeight="1" x14ac:dyDescent="0.3">
      <c r="A6" s="5">
        <v>361</v>
      </c>
      <c r="B6" s="5" t="s">
        <v>768</v>
      </c>
      <c r="C6" s="5" t="s">
        <v>389</v>
      </c>
      <c r="D6" s="5" t="str">
        <f>Tabla18[[#This Row],[Vendor]]</f>
        <v>Maison Margaux</v>
      </c>
      <c r="E6" s="5" t="s">
        <v>823</v>
      </c>
      <c r="F6" s="5"/>
      <c r="G6" s="5"/>
      <c r="H6" s="5" t="s">
        <v>824</v>
      </c>
      <c r="I6" s="5" t="s">
        <v>825</v>
      </c>
      <c r="J6" s="5">
        <v>1650</v>
      </c>
      <c r="K6" s="5" t="s">
        <v>19</v>
      </c>
      <c r="L6" s="11">
        <v>11.61</v>
      </c>
      <c r="M6" s="5" t="s">
        <v>33</v>
      </c>
      <c r="N6" s="11">
        <f>Tabla18[[#This Row],[Price]]*Tabla18[[#This Row],[QTY Adjusted]]</f>
        <v>19156.5</v>
      </c>
      <c r="O6" s="11">
        <v>19156.5</v>
      </c>
      <c r="P6" s="10" t="s">
        <v>4226</v>
      </c>
      <c r="Q6" s="6">
        <v>0</v>
      </c>
    </row>
    <row r="7" spans="1:17" ht="38.4" customHeight="1" x14ac:dyDescent="0.3">
      <c r="A7" s="5">
        <v>414</v>
      </c>
      <c r="B7" s="5" t="s">
        <v>768</v>
      </c>
      <c r="C7" s="5" t="s">
        <v>389</v>
      </c>
      <c r="D7" s="5" t="str">
        <f>Tabla18[[#This Row],[Vendor]]</f>
        <v>Maison Margaux</v>
      </c>
      <c r="E7" s="5" t="s">
        <v>823</v>
      </c>
      <c r="F7" s="5"/>
      <c r="G7" s="5"/>
      <c r="H7" s="5" t="s">
        <v>886</v>
      </c>
      <c r="I7" s="5" t="s">
        <v>887</v>
      </c>
      <c r="J7" s="5">
        <v>600</v>
      </c>
      <c r="K7" s="5" t="s">
        <v>19</v>
      </c>
      <c r="L7" s="11">
        <v>29.41</v>
      </c>
      <c r="M7" s="5" t="s">
        <v>33</v>
      </c>
      <c r="N7" s="11">
        <f>Tabla18[[#This Row],[Price]]*Tabla18[[#This Row],[QTY Adjusted]]</f>
        <v>17646</v>
      </c>
      <c r="O7" s="11">
        <v>17646</v>
      </c>
      <c r="P7" s="10" t="s">
        <v>4226</v>
      </c>
      <c r="Q7" s="6">
        <v>0</v>
      </c>
    </row>
    <row r="8" spans="1:17" ht="38.4" customHeight="1" x14ac:dyDescent="0.3">
      <c r="A8" s="5">
        <v>363</v>
      </c>
      <c r="B8" s="5" t="s">
        <v>768</v>
      </c>
      <c r="C8" s="5" t="s">
        <v>389</v>
      </c>
      <c r="D8" s="5" t="str">
        <f>Tabla18[[#This Row],[Vendor]]</f>
        <v>Maison Margaux</v>
      </c>
      <c r="E8" s="5" t="s">
        <v>823</v>
      </c>
      <c r="F8" s="5"/>
      <c r="G8" s="5"/>
      <c r="H8" s="5" t="s">
        <v>828</v>
      </c>
      <c r="I8" s="5" t="s">
        <v>827</v>
      </c>
      <c r="J8" s="5">
        <v>525</v>
      </c>
      <c r="K8" s="5" t="s">
        <v>19</v>
      </c>
      <c r="L8" s="11">
        <v>31.87</v>
      </c>
      <c r="M8" s="5" t="s">
        <v>33</v>
      </c>
      <c r="N8" s="11">
        <f>Tabla18[[#This Row],[Price]]*Tabla18[[#This Row],[QTY Adjusted]]</f>
        <v>16731.75</v>
      </c>
      <c r="O8" s="11">
        <v>16731.75</v>
      </c>
      <c r="P8" s="10" t="s">
        <v>4226</v>
      </c>
      <c r="Q8" s="6">
        <v>0</v>
      </c>
    </row>
    <row r="9" spans="1:17" ht="38.4" customHeight="1" x14ac:dyDescent="0.3">
      <c r="A9" s="5">
        <v>416</v>
      </c>
      <c r="B9" s="5" t="s">
        <v>768</v>
      </c>
      <c r="C9" s="5" t="s">
        <v>389</v>
      </c>
      <c r="D9" s="5" t="str">
        <f>Tabla18[[#This Row],[Vendor]]</f>
        <v>Maison Margaux</v>
      </c>
      <c r="E9" s="5" t="s">
        <v>823</v>
      </c>
      <c r="F9" s="5"/>
      <c r="G9" s="5"/>
      <c r="H9" s="5" t="s">
        <v>889</v>
      </c>
      <c r="I9" s="5" t="s">
        <v>847</v>
      </c>
      <c r="J9" s="5">
        <v>600</v>
      </c>
      <c r="K9" s="5" t="s">
        <v>19</v>
      </c>
      <c r="L9" s="11">
        <v>23.53</v>
      </c>
      <c r="M9" s="5" t="s">
        <v>33</v>
      </c>
      <c r="N9" s="11">
        <f>Tabla18[[#This Row],[Price]]*Tabla18[[#This Row],[QTY Adjusted]]</f>
        <v>14118</v>
      </c>
      <c r="O9" s="11">
        <v>14118</v>
      </c>
      <c r="P9" s="10" t="s">
        <v>4226</v>
      </c>
      <c r="Q9" s="6">
        <v>0</v>
      </c>
    </row>
    <row r="10" spans="1:17" ht="38.4" customHeight="1" x14ac:dyDescent="0.3">
      <c r="A10" s="5">
        <v>364</v>
      </c>
      <c r="B10" s="5" t="s">
        <v>768</v>
      </c>
      <c r="C10" s="5" t="s">
        <v>389</v>
      </c>
      <c r="D10" s="5" t="str">
        <f>Tabla18[[#This Row],[Vendor]]</f>
        <v>Maison Margaux</v>
      </c>
      <c r="E10" s="5" t="s">
        <v>823</v>
      </c>
      <c r="F10" s="5"/>
      <c r="G10" s="5"/>
      <c r="H10" s="5" t="s">
        <v>829</v>
      </c>
      <c r="I10" s="5" t="s">
        <v>827</v>
      </c>
      <c r="J10" s="5">
        <v>535</v>
      </c>
      <c r="K10" s="5" t="s">
        <v>19</v>
      </c>
      <c r="L10" s="11">
        <v>26.1</v>
      </c>
      <c r="M10" s="5" t="s">
        <v>33</v>
      </c>
      <c r="N10" s="11">
        <f>Tabla18[[#This Row],[Price]]*Tabla18[[#This Row],[QTY Adjusted]]</f>
        <v>13963.5</v>
      </c>
      <c r="O10" s="11">
        <v>13963.5</v>
      </c>
      <c r="P10" s="10" t="s">
        <v>4226</v>
      </c>
      <c r="Q10" s="6">
        <v>0</v>
      </c>
    </row>
    <row r="11" spans="1:17" ht="38.4" customHeight="1" x14ac:dyDescent="0.3">
      <c r="A11" s="5">
        <v>388</v>
      </c>
      <c r="B11" s="5" t="s">
        <v>768</v>
      </c>
      <c r="C11" s="5" t="s">
        <v>389</v>
      </c>
      <c r="D11" s="5" t="str">
        <f>Tabla18[[#This Row],[Vendor]]</f>
        <v>Maison Margaux</v>
      </c>
      <c r="E11" s="5" t="s">
        <v>823</v>
      </c>
      <c r="F11" s="5"/>
      <c r="G11" s="5"/>
      <c r="H11" s="5" t="s">
        <v>859</v>
      </c>
      <c r="I11" s="5" t="s">
        <v>840</v>
      </c>
      <c r="J11" s="5">
        <v>500</v>
      </c>
      <c r="K11" s="5" t="s">
        <v>19</v>
      </c>
      <c r="L11" s="11">
        <v>23.65</v>
      </c>
      <c r="M11" s="5" t="s">
        <v>33</v>
      </c>
      <c r="N11" s="11">
        <f>Tabla18[[#This Row],[Price]]*Tabla18[[#This Row],[QTY Adjusted]]</f>
        <v>11825</v>
      </c>
      <c r="O11" s="11">
        <v>11825</v>
      </c>
      <c r="P11" s="10" t="s">
        <v>4226</v>
      </c>
      <c r="Q11" s="6">
        <v>0</v>
      </c>
    </row>
    <row r="12" spans="1:17" ht="38.4" customHeight="1" x14ac:dyDescent="0.3">
      <c r="A12" s="5">
        <v>374</v>
      </c>
      <c r="B12" s="5" t="s">
        <v>768</v>
      </c>
      <c r="C12" s="5" t="s">
        <v>389</v>
      </c>
      <c r="D12" s="5" t="str">
        <f>Tabla18[[#This Row],[Vendor]]</f>
        <v>Maison Margaux</v>
      </c>
      <c r="E12" s="5" t="s">
        <v>823</v>
      </c>
      <c r="F12" s="5"/>
      <c r="G12" s="5"/>
      <c r="H12" s="5" t="s">
        <v>839</v>
      </c>
      <c r="I12" s="5" t="s">
        <v>840</v>
      </c>
      <c r="J12" s="5">
        <v>400</v>
      </c>
      <c r="K12" s="5" t="s">
        <v>19</v>
      </c>
      <c r="L12" s="11">
        <v>28</v>
      </c>
      <c r="M12" s="5" t="s">
        <v>33</v>
      </c>
      <c r="N12" s="11">
        <f>Tabla18[[#This Row],[Price]]*Tabla18[[#This Row],[QTY Adjusted]]</f>
        <v>11200</v>
      </c>
      <c r="O12" s="11">
        <v>11200</v>
      </c>
      <c r="P12" s="10" t="s">
        <v>4226</v>
      </c>
      <c r="Q12" s="6">
        <v>0</v>
      </c>
    </row>
    <row r="13" spans="1:17" ht="38.4" customHeight="1" x14ac:dyDescent="0.3">
      <c r="A13" s="5">
        <v>343</v>
      </c>
      <c r="B13" s="5" t="s">
        <v>768</v>
      </c>
      <c r="C13" s="5" t="s">
        <v>389</v>
      </c>
      <c r="D13" s="5" t="str">
        <f>Tabla18[[#This Row],[Vendor]]</f>
        <v>Maison Margaux</v>
      </c>
      <c r="E13" s="5" t="s">
        <v>769</v>
      </c>
      <c r="F13" s="5"/>
      <c r="G13" s="5"/>
      <c r="H13" s="5" t="s">
        <v>788</v>
      </c>
      <c r="I13" s="5" t="s">
        <v>789</v>
      </c>
      <c r="J13" s="5">
        <v>377</v>
      </c>
      <c r="K13" s="5" t="s">
        <v>19</v>
      </c>
      <c r="L13" s="11">
        <v>20.78</v>
      </c>
      <c r="M13" s="5" t="s">
        <v>33</v>
      </c>
      <c r="N13" s="11">
        <f>Tabla18[[#This Row],[Price]]*Tabla18[[#This Row],[QTY Adjusted]]</f>
        <v>7834.06</v>
      </c>
      <c r="O13" s="11">
        <v>7834.06</v>
      </c>
      <c r="P13" s="10" t="s">
        <v>4226</v>
      </c>
      <c r="Q13" s="6">
        <v>0</v>
      </c>
    </row>
    <row r="14" spans="1:17" ht="38.4" customHeight="1" x14ac:dyDescent="0.3">
      <c r="A14" s="5">
        <v>337</v>
      </c>
      <c r="B14" s="5" t="s">
        <v>768</v>
      </c>
      <c r="C14" s="5" t="s">
        <v>389</v>
      </c>
      <c r="D14" s="5" t="str">
        <f>Tabla18[[#This Row],[Vendor]]</f>
        <v>Maison Margaux</v>
      </c>
      <c r="E14" s="5" t="s">
        <v>769</v>
      </c>
      <c r="F14" s="5"/>
      <c r="G14" s="5"/>
      <c r="H14" s="5" t="s">
        <v>776</v>
      </c>
      <c r="I14" s="5" t="s">
        <v>777</v>
      </c>
      <c r="J14" s="5">
        <v>377</v>
      </c>
      <c r="K14" s="5" t="s">
        <v>19</v>
      </c>
      <c r="L14" s="11">
        <v>19.809999999999999</v>
      </c>
      <c r="M14" s="5" t="s">
        <v>33</v>
      </c>
      <c r="N14" s="11">
        <f>Tabla18[[#This Row],[Price]]*Tabla18[[#This Row],[QTY Adjusted]]</f>
        <v>7468.37</v>
      </c>
      <c r="O14" s="11">
        <v>7468.37</v>
      </c>
      <c r="P14" s="10" t="s">
        <v>4226</v>
      </c>
      <c r="Q14" s="6">
        <v>0</v>
      </c>
    </row>
    <row r="15" spans="1:17" ht="38.4" customHeight="1" x14ac:dyDescent="0.3">
      <c r="A15" s="5">
        <v>338</v>
      </c>
      <c r="B15" s="5" t="s">
        <v>768</v>
      </c>
      <c r="C15" s="5" t="s">
        <v>389</v>
      </c>
      <c r="D15" s="5" t="str">
        <f>Tabla18[[#This Row],[Vendor]]</f>
        <v>Maison Margaux</v>
      </c>
      <c r="E15" s="5" t="s">
        <v>769</v>
      </c>
      <c r="F15" s="5"/>
      <c r="G15" s="5"/>
      <c r="H15" s="5" t="s">
        <v>778</v>
      </c>
      <c r="I15" s="5" t="s">
        <v>779</v>
      </c>
      <c r="J15" s="5">
        <v>377</v>
      </c>
      <c r="K15" s="5" t="s">
        <v>19</v>
      </c>
      <c r="L15" s="11">
        <v>19.809999999999999</v>
      </c>
      <c r="M15" s="5" t="s">
        <v>33</v>
      </c>
      <c r="N15" s="11">
        <f>Tabla18[[#This Row],[Price]]*Tabla18[[#This Row],[QTY Adjusted]]</f>
        <v>7468.37</v>
      </c>
      <c r="O15" s="11">
        <v>7468.37</v>
      </c>
      <c r="P15" s="10" t="s">
        <v>4226</v>
      </c>
      <c r="Q15" s="6">
        <v>0</v>
      </c>
    </row>
    <row r="16" spans="1:17" ht="38.4" customHeight="1" x14ac:dyDescent="0.3">
      <c r="A16" s="5">
        <v>389</v>
      </c>
      <c r="B16" s="5" t="s">
        <v>768</v>
      </c>
      <c r="C16" s="5" t="s">
        <v>389</v>
      </c>
      <c r="D16" s="5" t="str">
        <f>Tabla18[[#This Row],[Vendor]]</f>
        <v>Maison Margaux</v>
      </c>
      <c r="E16" s="5" t="s">
        <v>823</v>
      </c>
      <c r="F16" s="5"/>
      <c r="G16" s="5"/>
      <c r="H16" s="5" t="s">
        <v>860</v>
      </c>
      <c r="I16" s="5" t="s">
        <v>842</v>
      </c>
      <c r="J16" s="5">
        <v>250</v>
      </c>
      <c r="K16" s="5" t="s">
        <v>19</v>
      </c>
      <c r="L16" s="11">
        <v>41.69</v>
      </c>
      <c r="M16" s="5" t="s">
        <v>33</v>
      </c>
      <c r="N16" s="11">
        <f>Tabla18[[#This Row],[Price]]*Tabla18[[#This Row],[QTY Adjusted]]</f>
        <v>10422.5</v>
      </c>
      <c r="O16" s="11">
        <v>10422.5</v>
      </c>
      <c r="P16" s="10" t="s">
        <v>4226</v>
      </c>
      <c r="Q16" s="6">
        <v>0</v>
      </c>
    </row>
    <row r="17" spans="1:17" ht="38.4" customHeight="1" x14ac:dyDescent="0.3">
      <c r="A17" s="5">
        <v>382</v>
      </c>
      <c r="B17" s="5" t="s">
        <v>768</v>
      </c>
      <c r="C17" s="5" t="s">
        <v>389</v>
      </c>
      <c r="D17" s="5" t="str">
        <f>Tabla18[[#This Row],[Vendor]]</f>
        <v>Maison Margaux</v>
      </c>
      <c r="E17" s="5" t="s">
        <v>823</v>
      </c>
      <c r="F17" s="5"/>
      <c r="G17" s="5"/>
      <c r="H17" s="5" t="s">
        <v>852</v>
      </c>
      <c r="I17" s="5" t="s">
        <v>853</v>
      </c>
      <c r="J17" s="5">
        <v>250</v>
      </c>
      <c r="K17" s="5" t="s">
        <v>19</v>
      </c>
      <c r="L17" s="11">
        <v>41.6</v>
      </c>
      <c r="M17" s="5" t="s">
        <v>33</v>
      </c>
      <c r="N17" s="11">
        <f>Tabla18[[#This Row],[Price]]*Tabla18[[#This Row],[QTY Adjusted]]</f>
        <v>10400</v>
      </c>
      <c r="O17" s="11">
        <v>10400</v>
      </c>
      <c r="P17" s="10" t="s">
        <v>4226</v>
      </c>
      <c r="Q17" s="6">
        <v>0</v>
      </c>
    </row>
    <row r="18" spans="1:17" ht="38.4" customHeight="1" x14ac:dyDescent="0.3">
      <c r="A18" s="5">
        <v>354</v>
      </c>
      <c r="B18" s="5" t="s">
        <v>768</v>
      </c>
      <c r="C18" s="5" t="s">
        <v>389</v>
      </c>
      <c r="D18" s="5" t="str">
        <f>Tabla18[[#This Row],[Vendor]]</f>
        <v>Maison Margaux</v>
      </c>
      <c r="E18" s="5" t="s">
        <v>810</v>
      </c>
      <c r="F18" s="5"/>
      <c r="G18" s="5"/>
      <c r="H18" s="5" t="s">
        <v>811</v>
      </c>
      <c r="I18" s="5" t="s">
        <v>809</v>
      </c>
      <c r="J18" s="5">
        <v>250</v>
      </c>
      <c r="K18" s="5" t="s">
        <v>19</v>
      </c>
      <c r="L18" s="11">
        <v>41.46</v>
      </c>
      <c r="M18" s="5" t="s">
        <v>33</v>
      </c>
      <c r="N18" s="11">
        <f>Tabla18[[#This Row],[Price]]*Tabla18[[#This Row],[QTY Adjusted]]</f>
        <v>10365</v>
      </c>
      <c r="O18" s="11">
        <v>10365</v>
      </c>
      <c r="P18" s="10" t="s">
        <v>4226</v>
      </c>
      <c r="Q18" s="6">
        <v>0</v>
      </c>
    </row>
    <row r="19" spans="1:17" ht="38.4" customHeight="1" x14ac:dyDescent="0.3">
      <c r="A19" s="5">
        <v>369</v>
      </c>
      <c r="B19" s="5" t="s">
        <v>768</v>
      </c>
      <c r="C19" s="5" t="s">
        <v>389</v>
      </c>
      <c r="D19" s="5" t="str">
        <f>Tabla18[[#This Row],[Vendor]]</f>
        <v>Maison Margaux</v>
      </c>
      <c r="E19" s="5" t="s">
        <v>823</v>
      </c>
      <c r="F19" s="5"/>
      <c r="G19" s="5"/>
      <c r="H19" s="5" t="s">
        <v>832</v>
      </c>
      <c r="I19" s="5" t="s">
        <v>833</v>
      </c>
      <c r="J19" s="5">
        <v>600</v>
      </c>
      <c r="K19" s="5" t="s">
        <v>19</v>
      </c>
      <c r="L19" s="11">
        <v>15.98</v>
      </c>
      <c r="M19" s="5" t="s">
        <v>33</v>
      </c>
      <c r="N19" s="11">
        <f>Tabla18[[#This Row],[Price]]*Tabla18[[#This Row],[QTY Adjusted]]</f>
        <v>9588</v>
      </c>
      <c r="O19" s="11">
        <v>9588</v>
      </c>
      <c r="P19" s="10" t="s">
        <v>4226</v>
      </c>
      <c r="Q19" s="6">
        <v>0</v>
      </c>
    </row>
    <row r="20" spans="1:17" ht="38.4" customHeight="1" x14ac:dyDescent="0.3">
      <c r="A20" s="5">
        <v>387</v>
      </c>
      <c r="B20" s="5" t="s">
        <v>768</v>
      </c>
      <c r="C20" s="5" t="s">
        <v>389</v>
      </c>
      <c r="D20" s="5" t="str">
        <f>Tabla18[[#This Row],[Vendor]]</f>
        <v>Maison Margaux</v>
      </c>
      <c r="E20" s="5" t="s">
        <v>823</v>
      </c>
      <c r="F20" s="5"/>
      <c r="G20" s="5"/>
      <c r="H20" s="5" t="s">
        <v>858</v>
      </c>
      <c r="I20" s="5" t="s">
        <v>840</v>
      </c>
      <c r="J20" s="5">
        <v>500</v>
      </c>
      <c r="K20" s="5" t="s">
        <v>19</v>
      </c>
      <c r="L20" s="11">
        <v>17.96</v>
      </c>
      <c r="M20" s="5" t="s">
        <v>33</v>
      </c>
      <c r="N20" s="11">
        <f>Tabla18[[#This Row],[Price]]*Tabla18[[#This Row],[QTY Adjusted]]</f>
        <v>8980</v>
      </c>
      <c r="O20" s="11">
        <v>8980</v>
      </c>
      <c r="P20" s="10" t="s">
        <v>4226</v>
      </c>
      <c r="Q20" s="6">
        <v>0</v>
      </c>
    </row>
    <row r="21" spans="1:17" ht="38.4" customHeight="1" x14ac:dyDescent="0.3">
      <c r="A21" s="5">
        <v>335</v>
      </c>
      <c r="B21" s="5" t="s">
        <v>768</v>
      </c>
      <c r="C21" s="5" t="s">
        <v>389</v>
      </c>
      <c r="D21" s="5" t="str">
        <f>Tabla18[[#This Row],[Vendor]]</f>
        <v>Maison Margaux</v>
      </c>
      <c r="E21" s="5" t="s">
        <v>769</v>
      </c>
      <c r="F21" s="5"/>
      <c r="G21" s="5"/>
      <c r="H21" s="5" t="s">
        <v>772</v>
      </c>
      <c r="I21" s="5" t="s">
        <v>773</v>
      </c>
      <c r="J21" s="5">
        <v>377</v>
      </c>
      <c r="K21" s="5" t="s">
        <v>19</v>
      </c>
      <c r="L21" s="11">
        <v>16.66</v>
      </c>
      <c r="M21" s="5" t="s">
        <v>33</v>
      </c>
      <c r="N21" s="11">
        <f>Tabla18[[#This Row],[Price]]*Tabla18[[#This Row],[QTY Adjusted]]</f>
        <v>6280.82</v>
      </c>
      <c r="O21" s="11">
        <v>6280.82</v>
      </c>
      <c r="P21" s="10" t="s">
        <v>4226</v>
      </c>
      <c r="Q21" s="6">
        <v>0</v>
      </c>
    </row>
    <row r="22" spans="1:17" ht="38.4" customHeight="1" x14ac:dyDescent="0.3">
      <c r="A22" s="5">
        <v>336</v>
      </c>
      <c r="B22" s="5" t="s">
        <v>768</v>
      </c>
      <c r="C22" s="5" t="s">
        <v>389</v>
      </c>
      <c r="D22" s="5" t="str">
        <f>Tabla18[[#This Row],[Vendor]]</f>
        <v>Maison Margaux</v>
      </c>
      <c r="E22" s="5" t="s">
        <v>769</v>
      </c>
      <c r="F22" s="5"/>
      <c r="G22" s="5"/>
      <c r="H22" s="5" t="s">
        <v>774</v>
      </c>
      <c r="I22" s="5" t="s">
        <v>775</v>
      </c>
      <c r="J22" s="5">
        <v>377</v>
      </c>
      <c r="K22" s="5" t="s">
        <v>19</v>
      </c>
      <c r="L22" s="11">
        <v>16.66</v>
      </c>
      <c r="M22" s="5" t="s">
        <v>33</v>
      </c>
      <c r="N22" s="11">
        <f>Tabla18[[#This Row],[Price]]*Tabla18[[#This Row],[QTY Adjusted]]</f>
        <v>6280.82</v>
      </c>
      <c r="O22" s="11">
        <v>6280.82</v>
      </c>
      <c r="P22" s="10" t="s">
        <v>4226</v>
      </c>
      <c r="Q22" s="6">
        <v>0</v>
      </c>
    </row>
    <row r="23" spans="1:17" ht="38.4" customHeight="1" x14ac:dyDescent="0.3">
      <c r="A23" s="5">
        <v>339</v>
      </c>
      <c r="B23" s="5" t="s">
        <v>768</v>
      </c>
      <c r="C23" s="5" t="s">
        <v>389</v>
      </c>
      <c r="D23" s="5" t="str">
        <f>Tabla18[[#This Row],[Vendor]]</f>
        <v>Maison Margaux</v>
      </c>
      <c r="E23" s="5" t="s">
        <v>769</v>
      </c>
      <c r="F23" s="5"/>
      <c r="G23" s="5"/>
      <c r="H23" s="5" t="s">
        <v>780</v>
      </c>
      <c r="I23" s="5" t="s">
        <v>781</v>
      </c>
      <c r="J23" s="5">
        <v>377</v>
      </c>
      <c r="K23" s="5" t="s">
        <v>19</v>
      </c>
      <c r="L23" s="11">
        <v>16.66</v>
      </c>
      <c r="M23" s="5" t="s">
        <v>33</v>
      </c>
      <c r="N23" s="11">
        <f>Tabla18[[#This Row],[Price]]*Tabla18[[#This Row],[QTY Adjusted]]</f>
        <v>6280.82</v>
      </c>
      <c r="O23" s="11">
        <v>6280.82</v>
      </c>
      <c r="P23" s="10" t="s">
        <v>4226</v>
      </c>
      <c r="Q23" s="6">
        <v>0</v>
      </c>
    </row>
    <row r="24" spans="1:17" ht="38.4" customHeight="1" x14ac:dyDescent="0.3">
      <c r="A24" s="5">
        <v>341</v>
      </c>
      <c r="B24" s="5" t="s">
        <v>768</v>
      </c>
      <c r="C24" s="5" t="s">
        <v>389</v>
      </c>
      <c r="D24" s="5" t="str">
        <f>Tabla18[[#This Row],[Vendor]]</f>
        <v>Maison Margaux</v>
      </c>
      <c r="E24" s="5" t="s">
        <v>769</v>
      </c>
      <c r="F24" s="5"/>
      <c r="G24" s="5"/>
      <c r="H24" s="5" t="s">
        <v>784</v>
      </c>
      <c r="I24" s="5" t="s">
        <v>785</v>
      </c>
      <c r="J24" s="5">
        <v>377</v>
      </c>
      <c r="K24" s="5" t="s">
        <v>19</v>
      </c>
      <c r="L24" s="11">
        <v>16.66</v>
      </c>
      <c r="M24" s="5" t="s">
        <v>33</v>
      </c>
      <c r="N24" s="11">
        <f>Tabla18[[#This Row],[Price]]*Tabla18[[#This Row],[QTY Adjusted]]</f>
        <v>6280.82</v>
      </c>
      <c r="O24" s="11">
        <v>6280.82</v>
      </c>
      <c r="P24" s="10" t="s">
        <v>4226</v>
      </c>
      <c r="Q24" s="6">
        <v>0</v>
      </c>
    </row>
    <row r="25" spans="1:17" ht="38.4" customHeight="1" x14ac:dyDescent="0.3">
      <c r="A25" s="5">
        <v>441</v>
      </c>
      <c r="B25" s="5" t="s">
        <v>768</v>
      </c>
      <c r="C25" s="5" t="s">
        <v>684</v>
      </c>
      <c r="D25" s="5" t="str">
        <f>Tabla18[[#This Row],[Vendor]]</f>
        <v>Pantheon</v>
      </c>
      <c r="E25" s="5" t="s">
        <v>947</v>
      </c>
      <c r="F25" s="5" t="s">
        <v>4059</v>
      </c>
      <c r="G25" s="5"/>
      <c r="H25" s="5"/>
      <c r="I25" s="5"/>
      <c r="J25" s="5">
        <v>28</v>
      </c>
      <c r="K25" s="5" t="s">
        <v>19</v>
      </c>
      <c r="L25" s="11">
        <v>161.1</v>
      </c>
      <c r="M25" s="5" t="s">
        <v>33</v>
      </c>
      <c r="N25" s="11">
        <f>Tabla18[[#This Row],[Price]]*Tabla18[[#This Row],[QTY Adjusted]]</f>
        <v>4510.8</v>
      </c>
      <c r="O25" s="11">
        <v>4510.8</v>
      </c>
      <c r="P25" s="10" t="s">
        <v>4234</v>
      </c>
      <c r="Q25" s="6" t="s">
        <v>4245</v>
      </c>
    </row>
    <row r="26" spans="1:17" ht="38.4" customHeight="1" x14ac:dyDescent="0.3">
      <c r="A26" s="5">
        <v>373</v>
      </c>
      <c r="B26" s="5" t="s">
        <v>768</v>
      </c>
      <c r="C26" s="5" t="s">
        <v>389</v>
      </c>
      <c r="D26" s="5" t="str">
        <f>Tabla18[[#This Row],[Vendor]]</f>
        <v>Maison Margaux</v>
      </c>
      <c r="E26" s="5" t="s">
        <v>823</v>
      </c>
      <c r="F26" s="5"/>
      <c r="G26" s="5"/>
      <c r="H26" s="5" t="s">
        <v>837</v>
      </c>
      <c r="I26" s="5" t="s">
        <v>838</v>
      </c>
      <c r="J26" s="5">
        <v>200</v>
      </c>
      <c r="K26" s="5" t="s">
        <v>19</v>
      </c>
      <c r="L26" s="11">
        <v>40</v>
      </c>
      <c r="M26" s="5" t="s">
        <v>33</v>
      </c>
      <c r="N26" s="11">
        <f>Tabla18[[#This Row],[Price]]*Tabla18[[#This Row],[QTY Adjusted]]</f>
        <v>8000</v>
      </c>
      <c r="O26" s="11">
        <v>8000</v>
      </c>
      <c r="P26" s="10" t="s">
        <v>4226</v>
      </c>
      <c r="Q26" s="6">
        <v>0</v>
      </c>
    </row>
    <row r="27" spans="1:17" ht="38.4" customHeight="1" x14ac:dyDescent="0.3">
      <c r="A27" s="5">
        <v>383</v>
      </c>
      <c r="B27" s="5" t="s">
        <v>768</v>
      </c>
      <c r="C27" s="5" t="s">
        <v>389</v>
      </c>
      <c r="D27" s="5" t="str">
        <f>Tabla18[[#This Row],[Vendor]]</f>
        <v>Maison Margaux</v>
      </c>
      <c r="E27" s="5" t="s">
        <v>823</v>
      </c>
      <c r="F27" s="5"/>
      <c r="G27" s="5"/>
      <c r="H27" s="5" t="s">
        <v>854</v>
      </c>
      <c r="I27" s="5" t="s">
        <v>833</v>
      </c>
      <c r="J27" s="5">
        <v>250</v>
      </c>
      <c r="K27" s="5" t="s">
        <v>19</v>
      </c>
      <c r="L27" s="11">
        <v>32</v>
      </c>
      <c r="M27" s="5" t="s">
        <v>33</v>
      </c>
      <c r="N27" s="11">
        <f>Tabla18[[#This Row],[Price]]*Tabla18[[#This Row],[QTY Adjusted]]</f>
        <v>8000</v>
      </c>
      <c r="O27" s="11">
        <v>8000</v>
      </c>
      <c r="P27" s="10" t="s">
        <v>4226</v>
      </c>
      <c r="Q27" s="6">
        <v>0</v>
      </c>
    </row>
    <row r="28" spans="1:17" ht="38.4" customHeight="1" x14ac:dyDescent="0.3">
      <c r="A28" s="5">
        <v>342</v>
      </c>
      <c r="B28" s="5" t="s">
        <v>768</v>
      </c>
      <c r="C28" s="5" t="s">
        <v>389</v>
      </c>
      <c r="D28" s="5" t="str">
        <f>Tabla18[[#This Row],[Vendor]]</f>
        <v>Maison Margaux</v>
      </c>
      <c r="E28" s="5" t="s">
        <v>769</v>
      </c>
      <c r="F28" s="5"/>
      <c r="G28" s="5"/>
      <c r="H28" s="5" t="s">
        <v>786</v>
      </c>
      <c r="I28" s="5" t="s">
        <v>787</v>
      </c>
      <c r="J28" s="5">
        <v>377</v>
      </c>
      <c r="K28" s="5" t="s">
        <v>19</v>
      </c>
      <c r="L28" s="11">
        <v>14.7</v>
      </c>
      <c r="M28" s="5" t="s">
        <v>33</v>
      </c>
      <c r="N28" s="11">
        <f>Tabla18[[#This Row],[Price]]*Tabla18[[#This Row],[QTY Adjusted]]</f>
        <v>5541.9</v>
      </c>
      <c r="O28" s="11">
        <v>5541.9</v>
      </c>
      <c r="P28" s="10" t="s">
        <v>4226</v>
      </c>
      <c r="Q28" s="6">
        <v>0</v>
      </c>
    </row>
    <row r="29" spans="1:17" ht="38.4" customHeight="1" x14ac:dyDescent="0.3">
      <c r="A29" s="5">
        <v>362</v>
      </c>
      <c r="B29" s="5" t="s">
        <v>768</v>
      </c>
      <c r="C29" s="5" t="s">
        <v>389</v>
      </c>
      <c r="D29" s="5" t="str">
        <f>Tabla18[[#This Row],[Vendor]]</f>
        <v>Maison Margaux</v>
      </c>
      <c r="E29" s="5" t="s">
        <v>823</v>
      </c>
      <c r="F29" s="5"/>
      <c r="G29" s="5"/>
      <c r="H29" s="5" t="s">
        <v>826</v>
      </c>
      <c r="I29" s="5" t="s">
        <v>827</v>
      </c>
      <c r="J29" s="5">
        <v>265</v>
      </c>
      <c r="K29" s="5" t="s">
        <v>19</v>
      </c>
      <c r="L29" s="11">
        <v>29.41</v>
      </c>
      <c r="M29" s="5" t="s">
        <v>33</v>
      </c>
      <c r="N29" s="11">
        <f>Tabla18[[#This Row],[Price]]*Tabla18[[#This Row],[QTY Adjusted]]</f>
        <v>7793.65</v>
      </c>
      <c r="O29" s="11">
        <v>7793.65</v>
      </c>
      <c r="P29" s="10" t="s">
        <v>4226</v>
      </c>
      <c r="Q29" s="6">
        <v>0</v>
      </c>
    </row>
    <row r="30" spans="1:17" ht="38.4" customHeight="1" x14ac:dyDescent="0.3">
      <c r="A30" s="5">
        <v>353</v>
      </c>
      <c r="B30" s="5" t="s">
        <v>768</v>
      </c>
      <c r="C30" s="5" t="s">
        <v>389</v>
      </c>
      <c r="D30" s="5" t="str">
        <f>Tabla18[[#This Row],[Vendor]]</f>
        <v>Maison Margaux</v>
      </c>
      <c r="E30" s="5" t="s">
        <v>807</v>
      </c>
      <c r="F30" s="5"/>
      <c r="G30" s="5"/>
      <c r="H30" s="5" t="s">
        <v>808</v>
      </c>
      <c r="I30" s="5" t="s">
        <v>809</v>
      </c>
      <c r="J30" s="5">
        <v>250</v>
      </c>
      <c r="K30" s="5" t="s">
        <v>19</v>
      </c>
      <c r="L30" s="11">
        <v>29</v>
      </c>
      <c r="M30" s="5" t="s">
        <v>33</v>
      </c>
      <c r="N30" s="11">
        <f>Tabla18[[#This Row],[Price]]*Tabla18[[#This Row],[QTY Adjusted]]</f>
        <v>7250</v>
      </c>
      <c r="O30" s="11">
        <v>7250</v>
      </c>
      <c r="P30" s="10" t="s">
        <v>4226</v>
      </c>
      <c r="Q30" s="6">
        <v>0</v>
      </c>
    </row>
    <row r="31" spans="1:17" ht="38.4" customHeight="1" x14ac:dyDescent="0.3">
      <c r="A31" s="5">
        <v>367</v>
      </c>
      <c r="B31" s="5" t="s">
        <v>768</v>
      </c>
      <c r="C31" s="5" t="s">
        <v>389</v>
      </c>
      <c r="D31" s="5" t="str">
        <f>Tabla18[[#This Row],[Vendor]]</f>
        <v>Maison Margaux</v>
      </c>
      <c r="E31" s="5" t="s">
        <v>823</v>
      </c>
      <c r="F31" s="5"/>
      <c r="G31" s="5"/>
      <c r="H31" s="5" t="s">
        <v>458</v>
      </c>
      <c r="I31" s="5" t="s">
        <v>827</v>
      </c>
      <c r="J31" s="5">
        <v>50</v>
      </c>
      <c r="K31" s="5" t="s">
        <v>19</v>
      </c>
      <c r="L31" s="11">
        <v>100.76</v>
      </c>
      <c r="M31" s="5" t="s">
        <v>33</v>
      </c>
      <c r="N31" s="11">
        <f>Tabla18[[#This Row],[Price]]*Tabla18[[#This Row],[QTY Adjusted]]</f>
        <v>5038</v>
      </c>
      <c r="O31" s="11">
        <v>5038</v>
      </c>
      <c r="P31" s="10" t="s">
        <v>4226</v>
      </c>
      <c r="Q31" s="6">
        <v>0</v>
      </c>
    </row>
    <row r="32" spans="1:17" ht="38.4" customHeight="1" x14ac:dyDescent="0.3">
      <c r="A32" s="5">
        <v>386</v>
      </c>
      <c r="B32" s="5" t="s">
        <v>768</v>
      </c>
      <c r="C32" s="5" t="s">
        <v>389</v>
      </c>
      <c r="D32" s="5" t="str">
        <f>Tabla18[[#This Row],[Vendor]]</f>
        <v>Maison Margaux</v>
      </c>
      <c r="E32" s="5" t="s">
        <v>823</v>
      </c>
      <c r="F32" s="5"/>
      <c r="G32" s="5"/>
      <c r="H32" s="5" t="s">
        <v>857</v>
      </c>
      <c r="I32" s="5" t="s">
        <v>847</v>
      </c>
      <c r="J32" s="5">
        <v>200</v>
      </c>
      <c r="K32" s="5" t="s">
        <v>19</v>
      </c>
      <c r="L32" s="11">
        <v>35.21</v>
      </c>
      <c r="M32" s="5" t="s">
        <v>33</v>
      </c>
      <c r="N32" s="11">
        <f>Tabla18[[#This Row],[Price]]*Tabla18[[#This Row],[QTY Adjusted]]</f>
        <v>7042</v>
      </c>
      <c r="O32" s="11">
        <v>7042</v>
      </c>
      <c r="P32" s="10" t="s">
        <v>4226</v>
      </c>
      <c r="Q32" s="6">
        <v>0</v>
      </c>
    </row>
    <row r="33" spans="1:17" ht="38.4" customHeight="1" x14ac:dyDescent="0.3">
      <c r="A33" s="5">
        <v>399</v>
      </c>
      <c r="B33" s="5" t="s">
        <v>768</v>
      </c>
      <c r="C33" s="5" t="s">
        <v>389</v>
      </c>
      <c r="D33" s="5" t="str">
        <f>Tabla18[[#This Row],[Vendor]]</f>
        <v>Maison Margaux</v>
      </c>
      <c r="E33" s="5" t="s">
        <v>823</v>
      </c>
      <c r="F33" s="5"/>
      <c r="G33" s="5"/>
      <c r="H33" s="5" t="s">
        <v>871</v>
      </c>
      <c r="I33" s="5" t="s">
        <v>847</v>
      </c>
      <c r="J33" s="5">
        <v>50</v>
      </c>
      <c r="K33" s="5" t="s">
        <v>19</v>
      </c>
      <c r="L33" s="11">
        <v>139.87</v>
      </c>
      <c r="M33" s="5" t="s">
        <v>33</v>
      </c>
      <c r="N33" s="11">
        <f>Tabla18[[#This Row],[Price]]*Tabla18[[#This Row],[QTY Adjusted]]</f>
        <v>6993.5</v>
      </c>
      <c r="O33" s="11">
        <v>6993.5</v>
      </c>
      <c r="P33" s="10" t="s">
        <v>4226</v>
      </c>
      <c r="Q33" s="6">
        <v>0</v>
      </c>
    </row>
    <row r="34" spans="1:17" ht="38.4" customHeight="1" x14ac:dyDescent="0.3">
      <c r="A34" s="5">
        <v>398</v>
      </c>
      <c r="B34" s="5" t="s">
        <v>768</v>
      </c>
      <c r="C34" s="5" t="s">
        <v>389</v>
      </c>
      <c r="D34" s="5" t="str">
        <f>Tabla18[[#This Row],[Vendor]]</f>
        <v>Maison Margaux</v>
      </c>
      <c r="E34" s="5" t="s">
        <v>823</v>
      </c>
      <c r="F34" s="5"/>
      <c r="G34" s="5"/>
      <c r="H34" s="5" t="s">
        <v>870</v>
      </c>
      <c r="I34" s="5" t="s">
        <v>842</v>
      </c>
      <c r="J34" s="5">
        <v>100</v>
      </c>
      <c r="K34" s="5" t="s">
        <v>19</v>
      </c>
      <c r="L34" s="11">
        <v>34.549999999999997</v>
      </c>
      <c r="M34" s="5" t="s">
        <v>33</v>
      </c>
      <c r="N34" s="11">
        <f>Tabla18[[#This Row],[Price]]*Tabla18[[#This Row],[QTY Adjusted]]</f>
        <v>3454.9999999999995</v>
      </c>
      <c r="O34" s="11">
        <v>3454.9999999999995</v>
      </c>
      <c r="P34" s="10" t="s">
        <v>4226</v>
      </c>
      <c r="Q34" s="6">
        <v>0</v>
      </c>
    </row>
    <row r="35" spans="1:17" ht="38.4" customHeight="1" x14ac:dyDescent="0.3">
      <c r="A35" s="5">
        <v>372</v>
      </c>
      <c r="B35" s="5" t="s">
        <v>768</v>
      </c>
      <c r="C35" s="5" t="s">
        <v>389</v>
      </c>
      <c r="D35" s="5" t="str">
        <f>Tabla18[[#This Row],[Vendor]]</f>
        <v>Maison Margaux</v>
      </c>
      <c r="E35" s="5" t="s">
        <v>823</v>
      </c>
      <c r="F35" s="5"/>
      <c r="G35" s="5"/>
      <c r="H35" s="5" t="s">
        <v>836</v>
      </c>
      <c r="I35" s="5" t="s">
        <v>833</v>
      </c>
      <c r="J35" s="5">
        <v>200</v>
      </c>
      <c r="K35" s="5" t="s">
        <v>19</v>
      </c>
      <c r="L35" s="11">
        <v>34.31</v>
      </c>
      <c r="M35" s="5" t="s">
        <v>33</v>
      </c>
      <c r="N35" s="11">
        <f>Tabla18[[#This Row],[Price]]*Tabla18[[#This Row],[QTY Adjusted]]</f>
        <v>6862</v>
      </c>
      <c r="O35" s="11">
        <v>6862</v>
      </c>
      <c r="P35" s="10" t="s">
        <v>4226</v>
      </c>
      <c r="Q35" s="6">
        <v>0</v>
      </c>
    </row>
    <row r="36" spans="1:17" ht="38.4" customHeight="1" x14ac:dyDescent="0.3">
      <c r="A36" s="5">
        <v>375</v>
      </c>
      <c r="B36" s="5" t="s">
        <v>768</v>
      </c>
      <c r="C36" s="5" t="s">
        <v>389</v>
      </c>
      <c r="D36" s="5" t="str">
        <f>Tabla18[[#This Row],[Vendor]]</f>
        <v>Maison Margaux</v>
      </c>
      <c r="E36" s="5" t="s">
        <v>823</v>
      </c>
      <c r="F36" s="5"/>
      <c r="G36" s="5"/>
      <c r="H36" s="5" t="s">
        <v>841</v>
      </c>
      <c r="I36" s="5" t="s">
        <v>842</v>
      </c>
      <c r="J36" s="5">
        <v>200</v>
      </c>
      <c r="K36" s="5" t="s">
        <v>19</v>
      </c>
      <c r="L36" s="11">
        <v>33.520000000000003</v>
      </c>
      <c r="M36" s="5" t="s">
        <v>33</v>
      </c>
      <c r="N36" s="11">
        <f>Tabla18[[#This Row],[Price]]*Tabla18[[#This Row],[QTY Adjusted]]</f>
        <v>6704.0000000000009</v>
      </c>
      <c r="O36" s="11">
        <v>6704.0000000000009</v>
      </c>
      <c r="P36" s="10" t="s">
        <v>4226</v>
      </c>
      <c r="Q36" s="6">
        <v>0</v>
      </c>
    </row>
    <row r="37" spans="1:17" ht="38.4" customHeight="1" x14ac:dyDescent="0.3">
      <c r="A37" s="5">
        <v>384</v>
      </c>
      <c r="B37" s="5" t="s">
        <v>768</v>
      </c>
      <c r="C37" s="5" t="s">
        <v>389</v>
      </c>
      <c r="D37" s="5" t="str">
        <f>Tabla18[[#This Row],[Vendor]]</f>
        <v>Maison Margaux</v>
      </c>
      <c r="E37" s="5" t="s">
        <v>823</v>
      </c>
      <c r="F37" s="5"/>
      <c r="G37" s="5"/>
      <c r="H37" s="5" t="s">
        <v>855</v>
      </c>
      <c r="I37" s="5" t="s">
        <v>847</v>
      </c>
      <c r="J37" s="5">
        <v>250</v>
      </c>
      <c r="K37" s="5" t="s">
        <v>19</v>
      </c>
      <c r="L37" s="11">
        <v>25.61</v>
      </c>
      <c r="M37" s="5" t="s">
        <v>33</v>
      </c>
      <c r="N37" s="11">
        <f>Tabla18[[#This Row],[Price]]*Tabla18[[#This Row],[QTY Adjusted]]</f>
        <v>6402.5</v>
      </c>
      <c r="O37" s="11">
        <v>6402.5</v>
      </c>
      <c r="P37" s="10" t="s">
        <v>4226</v>
      </c>
      <c r="Q37" s="6">
        <v>0</v>
      </c>
    </row>
    <row r="38" spans="1:17" ht="38.4" customHeight="1" x14ac:dyDescent="0.3">
      <c r="A38" s="5">
        <v>371</v>
      </c>
      <c r="B38" s="5" t="s">
        <v>768</v>
      </c>
      <c r="C38" s="5" t="s">
        <v>389</v>
      </c>
      <c r="D38" s="5" t="str">
        <f>Tabla18[[#This Row],[Vendor]]</f>
        <v>Maison Margaux</v>
      </c>
      <c r="E38" s="5" t="s">
        <v>823</v>
      </c>
      <c r="F38" s="5"/>
      <c r="G38" s="5"/>
      <c r="H38" s="5" t="s">
        <v>835</v>
      </c>
      <c r="I38" s="5" t="s">
        <v>833</v>
      </c>
      <c r="J38" s="5">
        <v>500</v>
      </c>
      <c r="K38" s="5" t="s">
        <v>19</v>
      </c>
      <c r="L38" s="11">
        <v>12.74</v>
      </c>
      <c r="M38" s="5" t="s">
        <v>33</v>
      </c>
      <c r="N38" s="11">
        <f>Tabla18[[#This Row],[Price]]*Tabla18[[#This Row],[QTY Adjusted]]</f>
        <v>6370</v>
      </c>
      <c r="O38" s="11">
        <v>6370</v>
      </c>
      <c r="P38" s="10" t="s">
        <v>4226</v>
      </c>
      <c r="Q38" s="6">
        <v>0</v>
      </c>
    </row>
    <row r="39" spans="1:17" ht="38.4" customHeight="1" x14ac:dyDescent="0.3">
      <c r="A39" s="5">
        <v>423</v>
      </c>
      <c r="B39" s="5" t="s">
        <v>768</v>
      </c>
      <c r="C39" s="5" t="s">
        <v>903</v>
      </c>
      <c r="D39" s="5" t="s">
        <v>44</v>
      </c>
      <c r="E39" s="5" t="s">
        <v>904</v>
      </c>
      <c r="F39" s="5" t="s">
        <v>4059</v>
      </c>
      <c r="G39" s="5" t="s">
        <v>905</v>
      </c>
      <c r="H39" s="5" t="s">
        <v>906</v>
      </c>
      <c r="I39" s="5"/>
      <c r="J39" s="5">
        <v>72</v>
      </c>
      <c r="K39" s="5" t="s">
        <v>19</v>
      </c>
      <c r="L39" s="11">
        <v>48.88</v>
      </c>
      <c r="M39" s="5" t="s">
        <v>33</v>
      </c>
      <c r="N39" s="11">
        <f>Tabla18[[#This Row],[Price]]*Tabla18[[#This Row],[QTY Adjusted]]</f>
        <v>3519.36</v>
      </c>
      <c r="O39" s="11">
        <v>3519.36</v>
      </c>
      <c r="P39" s="10" t="s">
        <v>4225</v>
      </c>
      <c r="Q39" s="6">
        <v>0</v>
      </c>
    </row>
    <row r="40" spans="1:17" ht="38.4" customHeight="1" x14ac:dyDescent="0.3">
      <c r="A40" s="5">
        <v>385</v>
      </c>
      <c r="B40" s="5" t="s">
        <v>768</v>
      </c>
      <c r="C40" s="5" t="s">
        <v>389</v>
      </c>
      <c r="D40" s="5" t="str">
        <f>Tabla18[[#This Row],[Vendor]]</f>
        <v>Maison Margaux</v>
      </c>
      <c r="E40" s="5" t="s">
        <v>823</v>
      </c>
      <c r="F40" s="5"/>
      <c r="G40" s="5"/>
      <c r="H40" s="5" t="s">
        <v>856</v>
      </c>
      <c r="I40" s="5" t="s">
        <v>840</v>
      </c>
      <c r="J40" s="5">
        <v>300</v>
      </c>
      <c r="K40" s="5" t="s">
        <v>19</v>
      </c>
      <c r="L40" s="11">
        <v>19.22</v>
      </c>
      <c r="M40" s="5" t="s">
        <v>33</v>
      </c>
      <c r="N40" s="11">
        <f>Tabla18[[#This Row],[Price]]*Tabla18[[#This Row],[QTY Adjusted]]</f>
        <v>5766</v>
      </c>
      <c r="O40" s="11">
        <v>5766</v>
      </c>
      <c r="P40" s="10" t="s">
        <v>4226</v>
      </c>
      <c r="Q40" s="6">
        <v>0</v>
      </c>
    </row>
    <row r="41" spans="1:17" ht="38.4" customHeight="1" x14ac:dyDescent="0.3">
      <c r="A41" s="5">
        <v>439</v>
      </c>
      <c r="B41" s="5" t="s">
        <v>768</v>
      </c>
      <c r="C41" s="5" t="s">
        <v>14</v>
      </c>
      <c r="D41" s="5" t="str">
        <f>Tabla18[[#This Row],[Vendor]]</f>
        <v>Oaxifornia</v>
      </c>
      <c r="E41" s="5" t="s">
        <v>128</v>
      </c>
      <c r="F41" s="5" t="s">
        <v>4059</v>
      </c>
      <c r="G41" s="5" t="s">
        <v>127</v>
      </c>
      <c r="H41" s="5" t="s">
        <v>129</v>
      </c>
      <c r="I41" s="5"/>
      <c r="J41" s="5">
        <v>38</v>
      </c>
      <c r="K41" s="5" t="s">
        <v>19</v>
      </c>
      <c r="L41" s="11">
        <v>1608</v>
      </c>
      <c r="M41" s="5" t="s">
        <v>20</v>
      </c>
      <c r="N41" s="11">
        <f>Tabla18[[#This Row],[Price]]*Tabla18[[#This Row],[QTY Adjusted]]</f>
        <v>61104</v>
      </c>
      <c r="O41" s="11">
        <v>3133.5384615384614</v>
      </c>
      <c r="P41" s="10" t="s">
        <v>4232</v>
      </c>
      <c r="Q41" s="6">
        <v>0</v>
      </c>
    </row>
    <row r="42" spans="1:17" ht="38.4" customHeight="1" x14ac:dyDescent="0.3">
      <c r="A42" s="5">
        <v>490</v>
      </c>
      <c r="B42" s="5" t="s">
        <v>768</v>
      </c>
      <c r="C42" s="5" t="s">
        <v>561</v>
      </c>
      <c r="D42" s="5" t="s">
        <v>44</v>
      </c>
      <c r="E42" s="5" t="s">
        <v>1070</v>
      </c>
      <c r="F42" s="5" t="s">
        <v>4059</v>
      </c>
      <c r="G42" s="5" t="s">
        <v>1071</v>
      </c>
      <c r="H42" s="5" t="s">
        <v>1072</v>
      </c>
      <c r="I42" s="5"/>
      <c r="J42" s="5">
        <v>40</v>
      </c>
      <c r="K42" s="5" t="s">
        <v>19</v>
      </c>
      <c r="L42" s="11">
        <v>96.057500000000005</v>
      </c>
      <c r="M42" s="5" t="s">
        <v>33</v>
      </c>
      <c r="N42" s="11">
        <f>Tabla18[[#This Row],[Price]]*Tabla18[[#This Row],[QTY Adjusted]]</f>
        <v>3842.3</v>
      </c>
      <c r="O42" s="11">
        <v>3842.3</v>
      </c>
      <c r="P42" s="22" t="s">
        <v>4225</v>
      </c>
      <c r="Q42" s="6">
        <v>0</v>
      </c>
    </row>
    <row r="43" spans="1:17" ht="38.4" customHeight="1" x14ac:dyDescent="0.3">
      <c r="A43" s="5">
        <v>377</v>
      </c>
      <c r="B43" s="5" t="s">
        <v>768</v>
      </c>
      <c r="C43" s="5" t="s">
        <v>389</v>
      </c>
      <c r="D43" s="5" t="str">
        <f>Tabla18[[#This Row],[Vendor]]</f>
        <v>Maison Margaux</v>
      </c>
      <c r="E43" s="5" t="s">
        <v>823</v>
      </c>
      <c r="F43" s="5"/>
      <c r="G43" s="5"/>
      <c r="H43" s="5" t="s">
        <v>844</v>
      </c>
      <c r="I43" s="5" t="s">
        <v>845</v>
      </c>
      <c r="J43" s="5">
        <v>400</v>
      </c>
      <c r="K43" s="5" t="s">
        <v>19</v>
      </c>
      <c r="L43" s="11">
        <v>13.62</v>
      </c>
      <c r="M43" s="5" t="s">
        <v>33</v>
      </c>
      <c r="N43" s="11">
        <f>Tabla18[[#This Row],[Price]]*Tabla18[[#This Row],[QTY Adjusted]]</f>
        <v>5448</v>
      </c>
      <c r="O43" s="11">
        <v>5448</v>
      </c>
      <c r="P43" s="10" t="s">
        <v>4226</v>
      </c>
      <c r="Q43" s="6">
        <v>0</v>
      </c>
    </row>
    <row r="44" spans="1:17" ht="38.4" customHeight="1" x14ac:dyDescent="0.3">
      <c r="A44" s="5">
        <v>379</v>
      </c>
      <c r="B44" s="5" t="s">
        <v>768</v>
      </c>
      <c r="C44" s="5" t="s">
        <v>389</v>
      </c>
      <c r="D44" s="5" t="str">
        <f>Tabla18[[#This Row],[Vendor]]</f>
        <v>Maison Margaux</v>
      </c>
      <c r="E44" s="5" t="s">
        <v>823</v>
      </c>
      <c r="F44" s="5"/>
      <c r="G44" s="5"/>
      <c r="H44" s="5" t="s">
        <v>848</v>
      </c>
      <c r="I44" s="5" t="s">
        <v>847</v>
      </c>
      <c r="J44" s="5">
        <v>100</v>
      </c>
      <c r="K44" s="5" t="s">
        <v>19</v>
      </c>
      <c r="L44" s="11">
        <v>52.59</v>
      </c>
      <c r="M44" s="5" t="s">
        <v>33</v>
      </c>
      <c r="N44" s="11">
        <f>Tabla18[[#This Row],[Price]]*Tabla18[[#This Row],[QTY Adjusted]]</f>
        <v>5259</v>
      </c>
      <c r="O44" s="11">
        <v>5259</v>
      </c>
      <c r="P44" s="10" t="s">
        <v>4226</v>
      </c>
      <c r="Q44" s="6">
        <v>0</v>
      </c>
    </row>
    <row r="45" spans="1:17" ht="38.4" customHeight="1" x14ac:dyDescent="0.3">
      <c r="A45" s="5">
        <v>454</v>
      </c>
      <c r="B45" s="5" t="s">
        <v>768</v>
      </c>
      <c r="C45" s="5" t="s">
        <v>223</v>
      </c>
      <c r="D45" s="17" t="s">
        <v>44</v>
      </c>
      <c r="E45" s="5" t="s">
        <v>190</v>
      </c>
      <c r="F45" s="5" t="s">
        <v>4059</v>
      </c>
      <c r="G45" s="5" t="s">
        <v>974</v>
      </c>
      <c r="H45" s="5" t="s">
        <v>975</v>
      </c>
      <c r="I45" s="5"/>
      <c r="J45" s="5">
        <v>40</v>
      </c>
      <c r="K45" s="5" t="s">
        <v>19</v>
      </c>
      <c r="L45" s="11">
        <v>60.125047500000008</v>
      </c>
      <c r="M45" s="5" t="s">
        <v>33</v>
      </c>
      <c r="N45" s="11">
        <f>Tabla18[[#This Row],[Price]]*Tabla18[[#This Row],[QTY Adjusted]]</f>
        <v>2405.0019000000002</v>
      </c>
      <c r="O45" s="15">
        <v>642.79999999999995</v>
      </c>
      <c r="P45" s="22" t="s">
        <v>4225</v>
      </c>
      <c r="Q45" s="6">
        <v>0</v>
      </c>
    </row>
    <row r="46" spans="1:17" ht="38.4" customHeight="1" x14ac:dyDescent="0.3">
      <c r="A46" s="5">
        <v>421</v>
      </c>
      <c r="B46" s="5" t="s">
        <v>768</v>
      </c>
      <c r="C46" s="5" t="s">
        <v>561</v>
      </c>
      <c r="D46" s="5" t="s">
        <v>44</v>
      </c>
      <c r="E46" s="5" t="s">
        <v>897</v>
      </c>
      <c r="F46" s="5" t="s">
        <v>4059</v>
      </c>
      <c r="G46" s="5" t="s">
        <v>898</v>
      </c>
      <c r="H46" s="5" t="s">
        <v>899</v>
      </c>
      <c r="I46" s="5"/>
      <c r="J46" s="5">
        <v>40</v>
      </c>
      <c r="K46" s="5" t="s">
        <v>19</v>
      </c>
      <c r="L46" s="11">
        <v>77.63</v>
      </c>
      <c r="M46" s="5" t="s">
        <v>33</v>
      </c>
      <c r="N46" s="11">
        <f>Tabla18[[#This Row],[Price]]*Tabla18[[#This Row],[QTY Adjusted]]</f>
        <v>3105.2</v>
      </c>
      <c r="O46" s="11">
        <v>3105.2</v>
      </c>
      <c r="P46" s="22">
        <v>46096</v>
      </c>
      <c r="Q46" s="6">
        <v>0</v>
      </c>
    </row>
    <row r="47" spans="1:17" ht="38.4" customHeight="1" x14ac:dyDescent="0.3">
      <c r="A47" s="5">
        <v>356</v>
      </c>
      <c r="B47" s="5" t="s">
        <v>768</v>
      </c>
      <c r="C47" s="5" t="s">
        <v>389</v>
      </c>
      <c r="D47" s="5" t="str">
        <f>Tabla18[[#This Row],[Vendor]]</f>
        <v>Maison Margaux</v>
      </c>
      <c r="E47" s="5" t="s">
        <v>815</v>
      </c>
      <c r="F47" s="5"/>
      <c r="G47" s="5"/>
      <c r="H47" s="5" t="s">
        <v>816</v>
      </c>
      <c r="I47" s="5" t="s">
        <v>471</v>
      </c>
      <c r="J47" s="5">
        <v>150</v>
      </c>
      <c r="K47" s="5" t="s">
        <v>19</v>
      </c>
      <c r="L47" s="11">
        <v>19.59</v>
      </c>
      <c r="M47" s="5" t="s">
        <v>33</v>
      </c>
      <c r="N47" s="11">
        <f>Tabla18[[#This Row],[Price]]*Tabla18[[#This Row],[QTY Adjusted]]</f>
        <v>2938.5</v>
      </c>
      <c r="O47" s="11">
        <v>2938.5</v>
      </c>
      <c r="P47" s="10" t="s">
        <v>4226</v>
      </c>
      <c r="Q47" s="6">
        <v>0</v>
      </c>
    </row>
    <row r="48" spans="1:17" ht="38.4" customHeight="1" x14ac:dyDescent="0.3">
      <c r="A48" s="5">
        <v>376</v>
      </c>
      <c r="B48" s="5" t="s">
        <v>768</v>
      </c>
      <c r="C48" s="5" t="s">
        <v>389</v>
      </c>
      <c r="D48" s="5" t="str">
        <f>Tabla18[[#This Row],[Vendor]]</f>
        <v>Maison Margaux</v>
      </c>
      <c r="E48" s="5" t="s">
        <v>823</v>
      </c>
      <c r="F48" s="5"/>
      <c r="G48" s="5"/>
      <c r="H48" s="5" t="s">
        <v>843</v>
      </c>
      <c r="I48" s="5" t="s">
        <v>842</v>
      </c>
      <c r="J48" s="5">
        <v>200</v>
      </c>
      <c r="K48" s="5" t="s">
        <v>19</v>
      </c>
      <c r="L48" s="11">
        <v>24</v>
      </c>
      <c r="M48" s="5" t="s">
        <v>33</v>
      </c>
      <c r="N48" s="11">
        <f>Tabla18[[#This Row],[Price]]*Tabla18[[#This Row],[QTY Adjusted]]</f>
        <v>4800</v>
      </c>
      <c r="O48" s="11">
        <v>4800</v>
      </c>
      <c r="P48" s="10" t="s">
        <v>4226</v>
      </c>
      <c r="Q48" s="6">
        <v>0</v>
      </c>
    </row>
    <row r="49" spans="1:17" ht="38.4" customHeight="1" x14ac:dyDescent="0.3">
      <c r="A49" s="5">
        <v>355</v>
      </c>
      <c r="B49" s="5" t="s">
        <v>768</v>
      </c>
      <c r="C49" s="5" t="s">
        <v>389</v>
      </c>
      <c r="D49" s="5" t="str">
        <f>Tabla18[[#This Row],[Vendor]]</f>
        <v>Maison Margaux</v>
      </c>
      <c r="E49" s="5" t="s">
        <v>812</v>
      </c>
      <c r="F49" s="5"/>
      <c r="G49" s="5"/>
      <c r="H49" s="5" t="s">
        <v>813</v>
      </c>
      <c r="I49" s="5" t="s">
        <v>814</v>
      </c>
      <c r="J49" s="5">
        <v>175</v>
      </c>
      <c r="K49" s="5" t="s">
        <v>19</v>
      </c>
      <c r="L49" s="11">
        <v>18.43</v>
      </c>
      <c r="M49" s="5" t="s">
        <v>33</v>
      </c>
      <c r="N49" s="11">
        <f>Tabla18[[#This Row],[Price]]*Tabla18[[#This Row],[QTY Adjusted]]</f>
        <v>3225.25</v>
      </c>
      <c r="O49" s="11">
        <v>3225.25</v>
      </c>
      <c r="P49" s="10" t="s">
        <v>4226</v>
      </c>
      <c r="Q49" s="6">
        <v>0</v>
      </c>
    </row>
    <row r="50" spans="1:17" ht="38.4" customHeight="1" x14ac:dyDescent="0.3">
      <c r="A50" s="5">
        <v>366</v>
      </c>
      <c r="B50" s="5" t="s">
        <v>768</v>
      </c>
      <c r="C50" s="5" t="s">
        <v>389</v>
      </c>
      <c r="D50" s="5" t="str">
        <f>Tabla18[[#This Row],[Vendor]]</f>
        <v>Maison Margaux</v>
      </c>
      <c r="E50" s="5" t="s">
        <v>823</v>
      </c>
      <c r="F50" s="5"/>
      <c r="G50" s="5"/>
      <c r="H50" s="5" t="s">
        <v>831</v>
      </c>
      <c r="I50" s="5" t="s">
        <v>827</v>
      </c>
      <c r="J50" s="5">
        <v>150</v>
      </c>
      <c r="K50" s="5" t="s">
        <v>19</v>
      </c>
      <c r="L50" s="11">
        <v>30.69</v>
      </c>
      <c r="M50" s="5" t="s">
        <v>33</v>
      </c>
      <c r="N50" s="11">
        <f>Tabla18[[#This Row],[Price]]*Tabla18[[#This Row],[QTY Adjusted]]</f>
        <v>4603.5</v>
      </c>
      <c r="O50" s="11">
        <v>4603.5</v>
      </c>
      <c r="P50" s="10" t="s">
        <v>4226</v>
      </c>
      <c r="Q50" s="6">
        <v>0</v>
      </c>
    </row>
    <row r="51" spans="1:17" ht="38.4" customHeight="1" x14ac:dyDescent="0.3">
      <c r="A51" s="5">
        <v>349</v>
      </c>
      <c r="B51" s="5" t="s">
        <v>768</v>
      </c>
      <c r="C51" s="5" t="s">
        <v>219</v>
      </c>
      <c r="D51" s="5" t="s">
        <v>44</v>
      </c>
      <c r="E51" s="5"/>
      <c r="F51" s="5" t="s">
        <v>4063</v>
      </c>
      <c r="G51" s="5" t="s">
        <v>799</v>
      </c>
      <c r="H51" s="5" t="s">
        <v>52</v>
      </c>
      <c r="I51" s="5" t="s">
        <v>800</v>
      </c>
      <c r="J51" s="5">
        <v>323</v>
      </c>
      <c r="K51" s="5" t="s">
        <v>19</v>
      </c>
      <c r="L51" s="11">
        <v>8.1720000000000006</v>
      </c>
      <c r="M51" s="5" t="s">
        <v>33</v>
      </c>
      <c r="N51" s="11">
        <f>Tabla18[[#This Row],[Price]]*Tabla18[[#This Row],[QTY Adjusted]]</f>
        <v>2639.556</v>
      </c>
      <c r="O51" s="11">
        <v>2639.556</v>
      </c>
      <c r="P51" s="22" t="s">
        <v>4225</v>
      </c>
      <c r="Q51" s="6">
        <v>0</v>
      </c>
    </row>
    <row r="52" spans="1:17" ht="38.4" customHeight="1" x14ac:dyDescent="0.3">
      <c r="A52" s="5">
        <v>417</v>
      </c>
      <c r="B52" s="5" t="s">
        <v>768</v>
      </c>
      <c r="C52" s="5" t="s">
        <v>389</v>
      </c>
      <c r="D52" s="5" t="str">
        <f>Tabla18[[#This Row],[Vendor]]</f>
        <v>Maison Margaux</v>
      </c>
      <c r="E52" s="5" t="s">
        <v>823</v>
      </c>
      <c r="F52" s="5"/>
      <c r="G52" s="5"/>
      <c r="H52" s="5" t="s">
        <v>890</v>
      </c>
      <c r="I52" s="5" t="s">
        <v>891</v>
      </c>
      <c r="J52" s="5">
        <v>80</v>
      </c>
      <c r="K52" s="5" t="s">
        <v>19</v>
      </c>
      <c r="L52" s="11">
        <v>51.37</v>
      </c>
      <c r="M52" s="5" t="s">
        <v>33</v>
      </c>
      <c r="N52" s="11">
        <f>Tabla18[[#This Row],[Price]]*Tabla18[[#This Row],[QTY Adjusted]]</f>
        <v>4109.5999999999995</v>
      </c>
      <c r="O52" s="11">
        <v>4109.5999999999995</v>
      </c>
      <c r="P52" s="10" t="s">
        <v>4226</v>
      </c>
      <c r="Q52" s="6">
        <v>0</v>
      </c>
    </row>
    <row r="53" spans="1:17" ht="38.4" customHeight="1" x14ac:dyDescent="0.3">
      <c r="A53" s="5">
        <v>483</v>
      </c>
      <c r="B53" s="5" t="s">
        <v>768</v>
      </c>
      <c r="C53" s="5" t="s">
        <v>561</v>
      </c>
      <c r="D53" s="5" t="s">
        <v>44</v>
      </c>
      <c r="E53" s="5" t="s">
        <v>1053</v>
      </c>
      <c r="F53" s="5" t="s">
        <v>4059</v>
      </c>
      <c r="G53" s="5" t="s">
        <v>1054</v>
      </c>
      <c r="H53" s="5" t="s">
        <v>1055</v>
      </c>
      <c r="I53" s="5"/>
      <c r="J53" s="5">
        <v>24</v>
      </c>
      <c r="K53" s="5" t="s">
        <v>19</v>
      </c>
      <c r="L53" s="11">
        <v>119.78749999999999</v>
      </c>
      <c r="M53" s="5" t="s">
        <v>33</v>
      </c>
      <c r="N53" s="11">
        <f>Tabla18[[#This Row],[Price]]*Tabla18[[#This Row],[QTY Adjusted]]</f>
        <v>2874.8999999999996</v>
      </c>
      <c r="O53" s="11">
        <v>2874.8999999999996</v>
      </c>
      <c r="P53" s="22" t="s">
        <v>4225</v>
      </c>
      <c r="Q53" s="6">
        <v>0</v>
      </c>
    </row>
    <row r="54" spans="1:17" ht="38.4" customHeight="1" x14ac:dyDescent="0.3">
      <c r="A54" s="5">
        <v>442</v>
      </c>
      <c r="B54" s="5" t="s">
        <v>768</v>
      </c>
      <c r="C54" s="5" t="s">
        <v>232</v>
      </c>
      <c r="D54" s="5" t="s">
        <v>233</v>
      </c>
      <c r="E54" s="5" t="s">
        <v>136</v>
      </c>
      <c r="F54" s="5" t="s">
        <v>4062</v>
      </c>
      <c r="G54" s="5">
        <v>26.112411999999999</v>
      </c>
      <c r="H54" s="5" t="s">
        <v>948</v>
      </c>
      <c r="I54" s="5"/>
      <c r="J54" s="5">
        <v>264</v>
      </c>
      <c r="K54" s="5" t="s">
        <v>19</v>
      </c>
      <c r="L54" s="11">
        <v>8.9499999999999993</v>
      </c>
      <c r="M54" s="5" t="s">
        <v>33</v>
      </c>
      <c r="N54" s="11">
        <f>Tabla18[[#This Row],[Price]]*Tabla18[[#This Row],[QTY Adjusted]]</f>
        <v>2362.7999999999997</v>
      </c>
      <c r="O54" s="11">
        <v>2362.7999999999997</v>
      </c>
      <c r="P54" s="10" t="s">
        <v>4239</v>
      </c>
      <c r="Q54" s="6">
        <v>0</v>
      </c>
    </row>
    <row r="55" spans="1:17" ht="38.4" customHeight="1" x14ac:dyDescent="0.3">
      <c r="A55" s="5">
        <v>418</v>
      </c>
      <c r="B55" s="5" t="s">
        <v>768</v>
      </c>
      <c r="C55" s="5" t="s">
        <v>389</v>
      </c>
      <c r="D55" s="5" t="str">
        <f>Tabla18[[#This Row],[Vendor]]</f>
        <v>Maison Margaux</v>
      </c>
      <c r="E55" s="5" t="s">
        <v>823</v>
      </c>
      <c r="F55" s="5"/>
      <c r="G55" s="5"/>
      <c r="H55" s="5" t="s">
        <v>892</v>
      </c>
      <c r="I55" s="5" t="s">
        <v>891</v>
      </c>
      <c r="J55" s="5">
        <v>35</v>
      </c>
      <c r="K55" s="5" t="s">
        <v>19</v>
      </c>
      <c r="L55" s="11">
        <v>76.11</v>
      </c>
      <c r="M55" s="5" t="s">
        <v>33</v>
      </c>
      <c r="N55" s="11">
        <f>Tabla18[[#This Row],[Price]]*Tabla18[[#This Row],[QTY Adjusted]]</f>
        <v>2663.85</v>
      </c>
      <c r="O55" s="11">
        <v>2663.85</v>
      </c>
      <c r="P55" s="10" t="s">
        <v>4226</v>
      </c>
      <c r="Q55" s="6">
        <v>0</v>
      </c>
    </row>
    <row r="56" spans="1:17" ht="38.4" customHeight="1" x14ac:dyDescent="0.3">
      <c r="A56" s="5">
        <v>334</v>
      </c>
      <c r="B56" s="5" t="s">
        <v>768</v>
      </c>
      <c r="C56" s="5" t="s">
        <v>389</v>
      </c>
      <c r="D56" s="5" t="str">
        <f>Tabla18[[#This Row],[Vendor]]</f>
        <v>Maison Margaux</v>
      </c>
      <c r="E56" s="5" t="s">
        <v>769</v>
      </c>
      <c r="F56" s="5"/>
      <c r="G56" s="5"/>
      <c r="H56" s="5" t="s">
        <v>770</v>
      </c>
      <c r="I56" s="5" t="s">
        <v>771</v>
      </c>
      <c r="J56" s="5">
        <v>60</v>
      </c>
      <c r="K56" s="5" t="s">
        <v>19</v>
      </c>
      <c r="L56" s="11">
        <v>44.22</v>
      </c>
      <c r="M56" s="5" t="s">
        <v>33</v>
      </c>
      <c r="N56" s="11">
        <f>Tabla18[[#This Row],[Price]]*Tabla18[[#This Row],[QTY Adjusted]]</f>
        <v>2653.2</v>
      </c>
      <c r="O56" s="11">
        <v>2653.2</v>
      </c>
      <c r="P56" s="10" t="s">
        <v>4226</v>
      </c>
      <c r="Q56" s="6">
        <v>0</v>
      </c>
    </row>
    <row r="57" spans="1:17" ht="38.4" customHeight="1" x14ac:dyDescent="0.3">
      <c r="A57" s="5">
        <v>360</v>
      </c>
      <c r="B57" s="5" t="s">
        <v>768</v>
      </c>
      <c r="C57" s="5" t="s">
        <v>389</v>
      </c>
      <c r="D57" s="5" t="str">
        <f>Tabla18[[#This Row],[Vendor]]</f>
        <v>Maison Margaux</v>
      </c>
      <c r="E57" s="5" t="s">
        <v>819</v>
      </c>
      <c r="F57" s="5"/>
      <c r="G57" s="5"/>
      <c r="H57" s="5" t="s">
        <v>822</v>
      </c>
      <c r="I57" s="5"/>
      <c r="J57" s="5">
        <v>3</v>
      </c>
      <c r="K57" s="5" t="s">
        <v>19</v>
      </c>
      <c r="L57" s="11">
        <v>424.89</v>
      </c>
      <c r="M57" s="5" t="s">
        <v>33</v>
      </c>
      <c r="N57" s="11">
        <f>Tabla18[[#This Row],[Price]]*Tabla18[[#This Row],[QTY Adjusted]]</f>
        <v>1274.67</v>
      </c>
      <c r="O57" s="11">
        <v>1274.67</v>
      </c>
      <c r="P57" s="10" t="s">
        <v>4226</v>
      </c>
      <c r="Q57" s="6">
        <v>0</v>
      </c>
    </row>
    <row r="58" spans="1:17" ht="38.4" customHeight="1" x14ac:dyDescent="0.3">
      <c r="A58" s="5">
        <v>378</v>
      </c>
      <c r="B58" s="5" t="s">
        <v>768</v>
      </c>
      <c r="C58" s="5" t="s">
        <v>389</v>
      </c>
      <c r="D58" s="5" t="str">
        <f>Tabla18[[#This Row],[Vendor]]</f>
        <v>Maison Margaux</v>
      </c>
      <c r="E58" s="5" t="s">
        <v>823</v>
      </c>
      <c r="F58" s="5"/>
      <c r="G58" s="5"/>
      <c r="H58" s="5" t="s">
        <v>846</v>
      </c>
      <c r="I58" s="5" t="s">
        <v>847</v>
      </c>
      <c r="J58" s="5">
        <v>200</v>
      </c>
      <c r="K58" s="5" t="s">
        <v>19</v>
      </c>
      <c r="L58" s="11">
        <v>18.14</v>
      </c>
      <c r="M58" s="5" t="s">
        <v>33</v>
      </c>
      <c r="N58" s="11">
        <f>Tabla18[[#This Row],[Price]]*Tabla18[[#This Row],[QTY Adjusted]]</f>
        <v>3628</v>
      </c>
      <c r="O58" s="11">
        <v>3628</v>
      </c>
      <c r="P58" s="10" t="s">
        <v>4226</v>
      </c>
      <c r="Q58" s="6">
        <v>0</v>
      </c>
    </row>
    <row r="59" spans="1:17" ht="38.4" customHeight="1" x14ac:dyDescent="0.3">
      <c r="A59" s="5">
        <v>496</v>
      </c>
      <c r="B59" s="5" t="s">
        <v>768</v>
      </c>
      <c r="C59" s="5" t="s">
        <v>561</v>
      </c>
      <c r="D59" s="5" t="s">
        <v>44</v>
      </c>
      <c r="E59" s="5" t="s">
        <v>1086</v>
      </c>
      <c r="F59" s="5" t="s">
        <v>4059</v>
      </c>
      <c r="G59" s="5" t="s">
        <v>1087</v>
      </c>
      <c r="H59" s="5" t="s">
        <v>1088</v>
      </c>
      <c r="I59" s="5"/>
      <c r="J59" s="5">
        <v>6</v>
      </c>
      <c r="K59" s="5" t="s">
        <v>19</v>
      </c>
      <c r="L59" s="11">
        <v>422.29250000000002</v>
      </c>
      <c r="M59" s="5" t="s">
        <v>33</v>
      </c>
      <c r="N59" s="11">
        <f>Tabla18[[#This Row],[Price]]*Tabla18[[#This Row],[QTY Adjusted]]</f>
        <v>2533.7550000000001</v>
      </c>
      <c r="O59" s="11">
        <v>2533.7550000000001</v>
      </c>
      <c r="P59" s="22">
        <v>46096</v>
      </c>
      <c r="Q59" s="6">
        <v>0</v>
      </c>
    </row>
    <row r="60" spans="1:17" ht="38.4" customHeight="1" x14ac:dyDescent="0.3">
      <c r="A60" s="5">
        <v>381</v>
      </c>
      <c r="B60" s="5" t="s">
        <v>768</v>
      </c>
      <c r="C60" s="5" t="s">
        <v>389</v>
      </c>
      <c r="D60" s="5" t="str">
        <f>Tabla18[[#This Row],[Vendor]]</f>
        <v>Maison Margaux</v>
      </c>
      <c r="E60" s="5" t="s">
        <v>823</v>
      </c>
      <c r="F60" s="5"/>
      <c r="G60" s="5"/>
      <c r="H60" s="5" t="s">
        <v>851</v>
      </c>
      <c r="I60" s="5" t="s">
        <v>842</v>
      </c>
      <c r="J60" s="5">
        <v>150</v>
      </c>
      <c r="K60" s="5" t="s">
        <v>19</v>
      </c>
      <c r="L60" s="11">
        <v>23.81</v>
      </c>
      <c r="M60" s="5" t="s">
        <v>33</v>
      </c>
      <c r="N60" s="11">
        <f>Tabla18[[#This Row],[Price]]*Tabla18[[#This Row],[QTY Adjusted]]</f>
        <v>3571.5</v>
      </c>
      <c r="O60" s="11">
        <v>3571.5</v>
      </c>
      <c r="P60" s="10" t="s">
        <v>4226</v>
      </c>
      <c r="Q60" s="6">
        <v>0</v>
      </c>
    </row>
    <row r="61" spans="1:17" ht="38.4" customHeight="1" x14ac:dyDescent="0.3">
      <c r="A61" s="5">
        <v>410</v>
      </c>
      <c r="B61" s="5" t="s">
        <v>768</v>
      </c>
      <c r="C61" s="5" t="s">
        <v>389</v>
      </c>
      <c r="D61" s="5" t="str">
        <f>Tabla18[[#This Row],[Vendor]]</f>
        <v>Maison Margaux</v>
      </c>
      <c r="E61" s="5" t="s">
        <v>823</v>
      </c>
      <c r="F61" s="5"/>
      <c r="G61" s="5"/>
      <c r="H61" s="5" t="s">
        <v>882</v>
      </c>
      <c r="I61" s="5"/>
      <c r="J61" s="5">
        <v>15</v>
      </c>
      <c r="K61" s="5" t="s">
        <v>19</v>
      </c>
      <c r="L61" s="11">
        <v>165.83</v>
      </c>
      <c r="M61" s="5" t="s">
        <v>33</v>
      </c>
      <c r="N61" s="11">
        <f>Tabla18[[#This Row],[Price]]*Tabla18[[#This Row],[QTY Adjusted]]</f>
        <v>2487.4500000000003</v>
      </c>
      <c r="O61" s="11">
        <v>2487.4500000000003</v>
      </c>
      <c r="P61" s="10" t="s">
        <v>4226</v>
      </c>
      <c r="Q61" s="6">
        <v>0</v>
      </c>
    </row>
    <row r="62" spans="1:17" ht="38.4" customHeight="1" x14ac:dyDescent="0.3">
      <c r="A62" s="5">
        <v>390</v>
      </c>
      <c r="B62" s="5" t="s">
        <v>768</v>
      </c>
      <c r="C62" s="5" t="s">
        <v>389</v>
      </c>
      <c r="D62" s="5" t="str">
        <f>Tabla18[[#This Row],[Vendor]]</f>
        <v>Maison Margaux</v>
      </c>
      <c r="E62" s="5" t="s">
        <v>823</v>
      </c>
      <c r="F62" s="5"/>
      <c r="G62" s="5"/>
      <c r="H62" s="5" t="s">
        <v>861</v>
      </c>
      <c r="I62" s="5" t="s">
        <v>853</v>
      </c>
      <c r="J62" s="5">
        <v>200</v>
      </c>
      <c r="K62" s="5" t="s">
        <v>19</v>
      </c>
      <c r="L62" s="11">
        <v>17.07</v>
      </c>
      <c r="M62" s="5" t="s">
        <v>33</v>
      </c>
      <c r="N62" s="11">
        <f>Tabla18[[#This Row],[Price]]*Tabla18[[#This Row],[QTY Adjusted]]</f>
        <v>3414</v>
      </c>
      <c r="O62" s="11">
        <v>3414</v>
      </c>
      <c r="P62" s="10" t="s">
        <v>4226</v>
      </c>
      <c r="Q62" s="6">
        <v>0</v>
      </c>
    </row>
    <row r="63" spans="1:17" ht="38.4" customHeight="1" x14ac:dyDescent="0.3">
      <c r="A63" s="5">
        <v>566</v>
      </c>
      <c r="B63" s="5" t="s">
        <v>768</v>
      </c>
      <c r="C63" s="5" t="s">
        <v>361</v>
      </c>
      <c r="D63" s="5" t="s">
        <v>362</v>
      </c>
      <c r="E63" s="5" t="s">
        <v>347</v>
      </c>
      <c r="F63" s="5" t="s">
        <v>4059</v>
      </c>
      <c r="G63" s="5" t="s">
        <v>369</v>
      </c>
      <c r="H63" s="5" t="s">
        <v>370</v>
      </c>
      <c r="I63" s="5"/>
      <c r="J63" s="5">
        <v>36</v>
      </c>
      <c r="K63" s="5" t="s">
        <v>19</v>
      </c>
      <c r="L63" s="11">
        <v>65.73294117647059</v>
      </c>
      <c r="M63" s="5" t="s">
        <v>33</v>
      </c>
      <c r="N63" s="11">
        <f>Tabla18[[#This Row],[Price]]*Tabla18[[#This Row],[QTY Adjusted]]</f>
        <v>2366.3858823529413</v>
      </c>
      <c r="O63" s="11">
        <v>2366.3858823529413</v>
      </c>
      <c r="P63" s="10" t="s">
        <v>4225</v>
      </c>
      <c r="Q63" s="6">
        <v>0</v>
      </c>
    </row>
    <row r="64" spans="1:17" ht="38.4" customHeight="1" x14ac:dyDescent="0.3">
      <c r="A64" s="5">
        <v>489</v>
      </c>
      <c r="B64" s="5" t="s">
        <v>768</v>
      </c>
      <c r="C64" s="5" t="s">
        <v>561</v>
      </c>
      <c r="D64" s="5" t="s">
        <v>44</v>
      </c>
      <c r="E64" s="5" t="s">
        <v>1067</v>
      </c>
      <c r="F64" s="5" t="s">
        <v>4059</v>
      </c>
      <c r="G64" s="5" t="s">
        <v>1068</v>
      </c>
      <c r="H64" s="5" t="s">
        <v>1069</v>
      </c>
      <c r="I64" s="5"/>
      <c r="J64" s="5">
        <v>4</v>
      </c>
      <c r="K64" s="5" t="s">
        <v>19</v>
      </c>
      <c r="L64" s="11">
        <v>572.79250000000002</v>
      </c>
      <c r="M64" s="5" t="s">
        <v>33</v>
      </c>
      <c r="N64" s="11">
        <f>Tabla18[[#This Row],[Price]]*Tabla18[[#This Row],[QTY Adjusted]]</f>
        <v>2291.17</v>
      </c>
      <c r="O64" s="11">
        <v>2291.17</v>
      </c>
      <c r="P64" s="22" t="s">
        <v>4225</v>
      </c>
      <c r="Q64" s="6">
        <v>0</v>
      </c>
    </row>
    <row r="65" spans="1:17" ht="38.4" customHeight="1" x14ac:dyDescent="0.3">
      <c r="A65" s="5">
        <v>365</v>
      </c>
      <c r="B65" s="5" t="s">
        <v>768</v>
      </c>
      <c r="C65" s="5" t="s">
        <v>389</v>
      </c>
      <c r="D65" s="5" t="str">
        <f>Tabla18[[#This Row],[Vendor]]</f>
        <v>Maison Margaux</v>
      </c>
      <c r="E65" s="5" t="s">
        <v>823</v>
      </c>
      <c r="F65" s="5"/>
      <c r="G65" s="5"/>
      <c r="H65" s="5" t="s">
        <v>830</v>
      </c>
      <c r="I65" s="5" t="s">
        <v>827</v>
      </c>
      <c r="J65" s="5">
        <v>100</v>
      </c>
      <c r="K65" s="5" t="s">
        <v>19</v>
      </c>
      <c r="L65" s="11">
        <v>31.87</v>
      </c>
      <c r="M65" s="5" t="s">
        <v>33</v>
      </c>
      <c r="N65" s="11">
        <f>Tabla18[[#This Row],[Price]]*Tabla18[[#This Row],[QTY Adjusted]]</f>
        <v>3187</v>
      </c>
      <c r="O65" s="11">
        <v>3187</v>
      </c>
      <c r="P65" s="10" t="s">
        <v>4226</v>
      </c>
      <c r="Q65" s="6">
        <v>0</v>
      </c>
    </row>
    <row r="66" spans="1:17" ht="38.4" customHeight="1" x14ac:dyDescent="0.3">
      <c r="A66" s="5">
        <v>467</v>
      </c>
      <c r="B66" s="5" t="s">
        <v>768</v>
      </c>
      <c r="C66" s="5" t="s">
        <v>561</v>
      </c>
      <c r="D66" s="5" t="s">
        <v>44</v>
      </c>
      <c r="E66" s="5" t="s">
        <v>1008</v>
      </c>
      <c r="F66" s="5" t="s">
        <v>4059</v>
      </c>
      <c r="G66" s="5" t="s">
        <v>1009</v>
      </c>
      <c r="H66" s="5" t="s">
        <v>1010</v>
      </c>
      <c r="I66" s="5"/>
      <c r="J66" s="5">
        <v>2</v>
      </c>
      <c r="K66" s="5" t="s">
        <v>19</v>
      </c>
      <c r="L66" s="11">
        <v>1111.2674999999999</v>
      </c>
      <c r="M66" s="5" t="s">
        <v>33</v>
      </c>
      <c r="N66" s="11">
        <f>Tabla18[[#This Row],[Price]]*Tabla18[[#This Row],[QTY Adjusted]]</f>
        <v>2222.5349999999999</v>
      </c>
      <c r="O66" s="11">
        <v>2222.5349999999999</v>
      </c>
      <c r="P66" s="22" t="s">
        <v>4225</v>
      </c>
      <c r="Q66" s="6">
        <v>0</v>
      </c>
    </row>
    <row r="67" spans="1:17" ht="38.4" customHeight="1" x14ac:dyDescent="0.3">
      <c r="A67" s="5">
        <v>497</v>
      </c>
      <c r="B67" s="5" t="s">
        <v>768</v>
      </c>
      <c r="C67" s="5" t="s">
        <v>561</v>
      </c>
      <c r="D67" s="5" t="s">
        <v>44</v>
      </c>
      <c r="E67" s="5" t="s">
        <v>1089</v>
      </c>
      <c r="F67" s="5" t="s">
        <v>4059</v>
      </c>
      <c r="G67" s="5" t="s">
        <v>1090</v>
      </c>
      <c r="H67" s="5" t="s">
        <v>1091</v>
      </c>
      <c r="I67" s="5"/>
      <c r="J67" s="5">
        <v>6</v>
      </c>
      <c r="K67" s="5" t="s">
        <v>19</v>
      </c>
      <c r="L67" s="11">
        <v>370.09</v>
      </c>
      <c r="M67" s="5" t="s">
        <v>33</v>
      </c>
      <c r="N67" s="11">
        <f>Tabla18[[#This Row],[Price]]*Tabla18[[#This Row],[QTY Adjusted]]</f>
        <v>2220.54</v>
      </c>
      <c r="O67" s="11">
        <v>2220.54</v>
      </c>
      <c r="P67" s="22">
        <v>46096</v>
      </c>
      <c r="Q67" s="6">
        <v>0</v>
      </c>
    </row>
    <row r="68" spans="1:17" ht="38.4" customHeight="1" x14ac:dyDescent="0.3">
      <c r="A68" s="5">
        <v>358</v>
      </c>
      <c r="B68" s="5" t="s">
        <v>768</v>
      </c>
      <c r="C68" s="5" t="s">
        <v>389</v>
      </c>
      <c r="D68" s="5" t="str">
        <f>Tabla18[[#This Row],[Vendor]]</f>
        <v>Maison Margaux</v>
      </c>
      <c r="E68" s="5" t="s">
        <v>819</v>
      </c>
      <c r="F68" s="5"/>
      <c r="G68" s="5"/>
      <c r="H68" s="5" t="s">
        <v>820</v>
      </c>
      <c r="I68" s="5"/>
      <c r="J68" s="5">
        <v>20</v>
      </c>
      <c r="K68" s="5" t="s">
        <v>19</v>
      </c>
      <c r="L68" s="11">
        <v>110.63</v>
      </c>
      <c r="M68" s="5" t="s">
        <v>33</v>
      </c>
      <c r="N68" s="11">
        <f>Tabla18[[#This Row],[Price]]*Tabla18[[#This Row],[QTY Adjusted]]</f>
        <v>2212.6</v>
      </c>
      <c r="O68" s="11">
        <v>2212.6</v>
      </c>
      <c r="P68" s="10" t="s">
        <v>4226</v>
      </c>
      <c r="Q68" s="6">
        <v>0</v>
      </c>
    </row>
    <row r="69" spans="1:17" ht="38.4" customHeight="1" x14ac:dyDescent="0.3">
      <c r="A69" s="5">
        <v>435</v>
      </c>
      <c r="B69" s="5" t="s">
        <v>768</v>
      </c>
      <c r="C69" s="5" t="s">
        <v>92</v>
      </c>
      <c r="D69" s="5" t="s">
        <v>93</v>
      </c>
      <c r="E69" s="5" t="s">
        <v>934</v>
      </c>
      <c r="F69" s="5" t="s">
        <v>4059</v>
      </c>
      <c r="G69" s="5" t="s">
        <v>937</v>
      </c>
      <c r="H69" s="5" t="s">
        <v>938</v>
      </c>
      <c r="I69" s="5"/>
      <c r="J69" s="5">
        <v>24</v>
      </c>
      <c r="K69" s="5" t="s">
        <v>19</v>
      </c>
      <c r="L69" s="11">
        <v>88.4</v>
      </c>
      <c r="M69" s="5" t="s">
        <v>33</v>
      </c>
      <c r="N69" s="11">
        <f>Tabla18[[#This Row],[Price]]*Tabla18[[#This Row],[QTY Adjusted]]</f>
        <v>2121.6000000000004</v>
      </c>
      <c r="O69" s="11">
        <v>2121.6000000000004</v>
      </c>
      <c r="P69" s="10" t="s">
        <v>4225</v>
      </c>
      <c r="Q69" s="6">
        <v>0</v>
      </c>
    </row>
    <row r="70" spans="1:17" ht="38.4" customHeight="1" x14ac:dyDescent="0.3">
      <c r="A70" s="5">
        <v>476</v>
      </c>
      <c r="B70" s="5" t="s">
        <v>768</v>
      </c>
      <c r="C70" s="5" t="s">
        <v>561</v>
      </c>
      <c r="D70" s="5" t="s">
        <v>44</v>
      </c>
      <c r="E70" s="5" t="s">
        <v>1033</v>
      </c>
      <c r="F70" s="5" t="s">
        <v>4059</v>
      </c>
      <c r="G70" s="5" t="s">
        <v>1034</v>
      </c>
      <c r="H70" s="5" t="s">
        <v>1035</v>
      </c>
      <c r="I70" s="5"/>
      <c r="J70" s="5">
        <v>6</v>
      </c>
      <c r="K70" s="5" t="s">
        <v>19</v>
      </c>
      <c r="L70" s="11">
        <v>340.16500000000002</v>
      </c>
      <c r="M70" s="5" t="s">
        <v>33</v>
      </c>
      <c r="N70" s="11">
        <f>Tabla18[[#This Row],[Price]]*Tabla18[[#This Row],[QTY Adjusted]]</f>
        <v>2040.9900000000002</v>
      </c>
      <c r="O70" s="11">
        <v>2040.9900000000002</v>
      </c>
      <c r="P70" s="22" t="s">
        <v>4225</v>
      </c>
      <c r="Q70" s="6">
        <v>0</v>
      </c>
    </row>
    <row r="71" spans="1:17" ht="38.4" customHeight="1" x14ac:dyDescent="0.3">
      <c r="A71" s="5">
        <v>370</v>
      </c>
      <c r="B71" s="5" t="s">
        <v>768</v>
      </c>
      <c r="C71" s="5" t="s">
        <v>389</v>
      </c>
      <c r="D71" s="5" t="str">
        <f>Tabla18[[#This Row],[Vendor]]</f>
        <v>Maison Margaux</v>
      </c>
      <c r="E71" s="5" t="s">
        <v>823</v>
      </c>
      <c r="F71" s="5"/>
      <c r="G71" s="5"/>
      <c r="H71" s="5" t="s">
        <v>834</v>
      </c>
      <c r="I71" s="5" t="s">
        <v>833</v>
      </c>
      <c r="J71" s="5">
        <v>200</v>
      </c>
      <c r="K71" s="5" t="s">
        <v>19</v>
      </c>
      <c r="L71" s="11">
        <v>14.52</v>
      </c>
      <c r="M71" s="5" t="s">
        <v>33</v>
      </c>
      <c r="N71" s="11">
        <f>Tabla18[[#This Row],[Price]]*Tabla18[[#This Row],[QTY Adjusted]]</f>
        <v>2904</v>
      </c>
      <c r="O71" s="11">
        <v>2904</v>
      </c>
      <c r="P71" s="10" t="s">
        <v>4226</v>
      </c>
      <c r="Q71" s="6">
        <v>0</v>
      </c>
    </row>
    <row r="72" spans="1:17" ht="38.4" customHeight="1" x14ac:dyDescent="0.3">
      <c r="A72" s="5">
        <v>392</v>
      </c>
      <c r="B72" s="5" t="s">
        <v>768</v>
      </c>
      <c r="C72" s="5" t="s">
        <v>389</v>
      </c>
      <c r="D72" s="5" t="str">
        <f>Tabla18[[#This Row],[Vendor]]</f>
        <v>Maison Margaux</v>
      </c>
      <c r="E72" s="5" t="s">
        <v>823</v>
      </c>
      <c r="F72" s="5"/>
      <c r="G72" s="5"/>
      <c r="H72" s="5" t="s">
        <v>863</v>
      </c>
      <c r="I72" s="5" t="s">
        <v>847</v>
      </c>
      <c r="J72" s="5">
        <v>50</v>
      </c>
      <c r="K72" s="5" t="s">
        <v>19</v>
      </c>
      <c r="L72" s="11">
        <v>57.37</v>
      </c>
      <c r="M72" s="5" t="s">
        <v>33</v>
      </c>
      <c r="N72" s="11">
        <f>Tabla18[[#This Row],[Price]]*Tabla18[[#This Row],[QTY Adjusted]]</f>
        <v>2868.5</v>
      </c>
      <c r="O72" s="11">
        <v>2868.5</v>
      </c>
      <c r="P72" s="10" t="s">
        <v>4226</v>
      </c>
      <c r="Q72" s="6">
        <v>0</v>
      </c>
    </row>
    <row r="73" spans="1:17" ht="38.4" customHeight="1" x14ac:dyDescent="0.3">
      <c r="A73" s="5">
        <v>393</v>
      </c>
      <c r="B73" s="5" t="s">
        <v>768</v>
      </c>
      <c r="C73" s="5" t="s">
        <v>389</v>
      </c>
      <c r="D73" s="5" t="str">
        <f>Tabla18[[#This Row],[Vendor]]</f>
        <v>Maison Margaux</v>
      </c>
      <c r="E73" s="5" t="s">
        <v>823</v>
      </c>
      <c r="F73" s="5"/>
      <c r="G73" s="5"/>
      <c r="H73" s="5" t="s">
        <v>864</v>
      </c>
      <c r="I73" s="5" t="s">
        <v>853</v>
      </c>
      <c r="J73" s="5">
        <v>50</v>
      </c>
      <c r="K73" s="5" t="s">
        <v>19</v>
      </c>
      <c r="L73" s="11">
        <v>57.37</v>
      </c>
      <c r="M73" s="5" t="s">
        <v>33</v>
      </c>
      <c r="N73" s="11">
        <f>Tabla18[[#This Row],[Price]]*Tabla18[[#This Row],[QTY Adjusted]]</f>
        <v>2868.5</v>
      </c>
      <c r="O73" s="11">
        <v>2868.5</v>
      </c>
      <c r="P73" s="10" t="s">
        <v>4226</v>
      </c>
      <c r="Q73" s="6">
        <v>0</v>
      </c>
    </row>
    <row r="74" spans="1:17" ht="38.4" customHeight="1" x14ac:dyDescent="0.3">
      <c r="A74" s="5">
        <v>408</v>
      </c>
      <c r="B74" s="5" t="s">
        <v>768</v>
      </c>
      <c r="C74" s="5" t="s">
        <v>389</v>
      </c>
      <c r="D74" s="5" t="str">
        <f>Tabla18[[#This Row],[Vendor]]</f>
        <v>Maison Margaux</v>
      </c>
      <c r="E74" s="5" t="s">
        <v>823</v>
      </c>
      <c r="F74" s="5"/>
      <c r="G74" s="5"/>
      <c r="H74" s="5" t="s">
        <v>880</v>
      </c>
      <c r="I74" s="5"/>
      <c r="J74" s="5">
        <v>15</v>
      </c>
      <c r="K74" s="5" t="s">
        <v>19</v>
      </c>
      <c r="L74" s="11">
        <v>128.97999999999999</v>
      </c>
      <c r="M74" s="5" t="s">
        <v>33</v>
      </c>
      <c r="N74" s="11">
        <f>Tabla18[[#This Row],[Price]]*Tabla18[[#This Row],[QTY Adjusted]]</f>
        <v>1934.6999999999998</v>
      </c>
      <c r="O74" s="11">
        <v>1934.6999999999998</v>
      </c>
      <c r="P74" s="10" t="s">
        <v>4226</v>
      </c>
      <c r="Q74" s="6">
        <v>0</v>
      </c>
    </row>
    <row r="75" spans="1:17" ht="38.4" customHeight="1" x14ac:dyDescent="0.3">
      <c r="A75" s="5">
        <v>359</v>
      </c>
      <c r="B75" s="5" t="s">
        <v>768</v>
      </c>
      <c r="C75" s="5" t="s">
        <v>389</v>
      </c>
      <c r="D75" s="5" t="str">
        <f>Tabla18[[#This Row],[Vendor]]</f>
        <v>Maison Margaux</v>
      </c>
      <c r="E75" s="5" t="s">
        <v>819</v>
      </c>
      <c r="F75" s="5"/>
      <c r="G75" s="5"/>
      <c r="H75" s="5" t="s">
        <v>821</v>
      </c>
      <c r="I75" s="5"/>
      <c r="J75" s="5">
        <v>5</v>
      </c>
      <c r="K75" s="5" t="s">
        <v>19</v>
      </c>
      <c r="L75" s="11">
        <v>191.36</v>
      </c>
      <c r="M75" s="5" t="s">
        <v>33</v>
      </c>
      <c r="N75" s="11">
        <f>Tabla18[[#This Row],[Price]]*Tabla18[[#This Row],[QTY Adjusted]]</f>
        <v>956.80000000000007</v>
      </c>
      <c r="O75" s="11">
        <v>956.80000000000007</v>
      </c>
      <c r="P75" s="10" t="s">
        <v>4226</v>
      </c>
      <c r="Q75" s="6">
        <v>0</v>
      </c>
    </row>
    <row r="76" spans="1:17" ht="38.4" customHeight="1" x14ac:dyDescent="0.3">
      <c r="A76" s="5">
        <v>508</v>
      </c>
      <c r="B76" s="5" t="s">
        <v>768</v>
      </c>
      <c r="C76" s="5" t="s">
        <v>561</v>
      </c>
      <c r="D76" s="5" t="s">
        <v>44</v>
      </c>
      <c r="E76" s="5" t="s">
        <v>1121</v>
      </c>
      <c r="F76" s="5" t="s">
        <v>4059</v>
      </c>
      <c r="G76" s="5" t="s">
        <v>1122</v>
      </c>
      <c r="H76" s="5" t="s">
        <v>1123</v>
      </c>
      <c r="I76" s="5"/>
      <c r="J76" s="5">
        <v>6</v>
      </c>
      <c r="K76" s="5" t="s">
        <v>19</v>
      </c>
      <c r="L76" s="11">
        <v>310.20499999999998</v>
      </c>
      <c r="M76" s="5" t="s">
        <v>33</v>
      </c>
      <c r="N76" s="11">
        <f>Tabla18[[#This Row],[Price]]*Tabla18[[#This Row],[QTY Adjusted]]</f>
        <v>1861.23</v>
      </c>
      <c r="O76" s="11">
        <v>1861.23</v>
      </c>
      <c r="P76" s="22" t="s">
        <v>4225</v>
      </c>
      <c r="Q76" s="6">
        <v>0</v>
      </c>
    </row>
    <row r="77" spans="1:17" ht="38.4" customHeight="1" x14ac:dyDescent="0.3">
      <c r="A77" s="5">
        <v>415</v>
      </c>
      <c r="B77" s="5" t="s">
        <v>768</v>
      </c>
      <c r="C77" s="5" t="s">
        <v>389</v>
      </c>
      <c r="D77" s="5" t="str">
        <f>Tabla18[[#This Row],[Vendor]]</f>
        <v>Maison Margaux</v>
      </c>
      <c r="E77" s="5" t="s">
        <v>823</v>
      </c>
      <c r="F77" s="5"/>
      <c r="G77" s="5"/>
      <c r="H77" s="5" t="s">
        <v>888</v>
      </c>
      <c r="I77" s="5" t="s">
        <v>833</v>
      </c>
      <c r="J77" s="5">
        <v>280</v>
      </c>
      <c r="K77" s="5" t="s">
        <v>19</v>
      </c>
      <c r="L77" s="11">
        <v>6.31</v>
      </c>
      <c r="M77" s="5" t="s">
        <v>33</v>
      </c>
      <c r="N77" s="11">
        <f>Tabla18[[#This Row],[Price]]*Tabla18[[#This Row],[QTY Adjusted]]</f>
        <v>1766.8</v>
      </c>
      <c r="O77" s="11">
        <v>1766.8</v>
      </c>
      <c r="P77" s="10" t="s">
        <v>4226</v>
      </c>
      <c r="Q77" s="6">
        <v>0</v>
      </c>
    </row>
    <row r="78" spans="1:17" ht="38.4" customHeight="1" x14ac:dyDescent="0.3">
      <c r="A78" s="5">
        <v>419</v>
      </c>
      <c r="B78" s="5" t="s">
        <v>768</v>
      </c>
      <c r="C78" s="5" t="s">
        <v>389</v>
      </c>
      <c r="D78" s="5" t="str">
        <f>Tabla18[[#This Row],[Vendor]]</f>
        <v>Maison Margaux</v>
      </c>
      <c r="E78" s="5" t="s">
        <v>823</v>
      </c>
      <c r="F78" s="5"/>
      <c r="G78" s="5"/>
      <c r="H78" s="5" t="s">
        <v>893</v>
      </c>
      <c r="I78" s="5" t="s">
        <v>894</v>
      </c>
      <c r="J78" s="5">
        <v>40</v>
      </c>
      <c r="K78" s="5" t="s">
        <v>19</v>
      </c>
      <c r="L78" s="11">
        <v>43.76</v>
      </c>
      <c r="M78" s="5" t="s">
        <v>33</v>
      </c>
      <c r="N78" s="11">
        <f>Tabla18[[#This Row],[Price]]*Tabla18[[#This Row],[QTY Adjusted]]</f>
        <v>1750.3999999999999</v>
      </c>
      <c r="O78" s="11">
        <v>1750.3999999999999</v>
      </c>
      <c r="P78" s="10" t="s">
        <v>4226</v>
      </c>
      <c r="Q78" s="6">
        <v>0</v>
      </c>
    </row>
    <row r="79" spans="1:17" ht="38.4" customHeight="1" x14ac:dyDescent="0.3">
      <c r="A79" s="5">
        <v>403</v>
      </c>
      <c r="B79" s="5" t="s">
        <v>768</v>
      </c>
      <c r="C79" s="5" t="s">
        <v>389</v>
      </c>
      <c r="D79" s="5" t="str">
        <f>Tabla18[[#This Row],[Vendor]]</f>
        <v>Maison Margaux</v>
      </c>
      <c r="E79" s="5" t="s">
        <v>823</v>
      </c>
      <c r="F79" s="5"/>
      <c r="G79" s="5"/>
      <c r="H79" s="5" t="s">
        <v>875</v>
      </c>
      <c r="I79" s="5"/>
      <c r="J79" s="5">
        <v>30</v>
      </c>
      <c r="K79" s="5" t="s">
        <v>19</v>
      </c>
      <c r="L79" s="11">
        <v>56.76</v>
      </c>
      <c r="M79" s="5" t="s">
        <v>33</v>
      </c>
      <c r="N79" s="11">
        <f>Tabla18[[#This Row],[Price]]*Tabla18[[#This Row],[QTY Adjusted]]</f>
        <v>1702.8</v>
      </c>
      <c r="O79" s="11">
        <v>1702.8</v>
      </c>
      <c r="P79" s="10" t="s">
        <v>4226</v>
      </c>
      <c r="Q79" s="6">
        <v>0</v>
      </c>
    </row>
    <row r="80" spans="1:17" ht="38.4" customHeight="1" x14ac:dyDescent="0.3">
      <c r="A80" s="5">
        <v>394</v>
      </c>
      <c r="B80" s="5" t="s">
        <v>768</v>
      </c>
      <c r="C80" s="5" t="s">
        <v>389</v>
      </c>
      <c r="D80" s="5" t="str">
        <f>Tabla18[[#This Row],[Vendor]]</f>
        <v>Maison Margaux</v>
      </c>
      <c r="E80" s="5" t="s">
        <v>823</v>
      </c>
      <c r="F80" s="5"/>
      <c r="G80" s="5"/>
      <c r="H80" s="5" t="s">
        <v>865</v>
      </c>
      <c r="I80" s="5" t="s">
        <v>866</v>
      </c>
      <c r="J80" s="5">
        <v>50</v>
      </c>
      <c r="K80" s="5" t="s">
        <v>19</v>
      </c>
      <c r="L80" s="11">
        <v>48.58</v>
      </c>
      <c r="M80" s="5" t="s">
        <v>33</v>
      </c>
      <c r="N80" s="11">
        <f>Tabla18[[#This Row],[Price]]*Tabla18[[#This Row],[QTY Adjusted]]</f>
        <v>2429</v>
      </c>
      <c r="O80" s="11">
        <v>2429</v>
      </c>
      <c r="P80" s="10" t="s">
        <v>4226</v>
      </c>
      <c r="Q80" s="6">
        <v>0</v>
      </c>
    </row>
    <row r="81" spans="1:17" ht="38.4" customHeight="1" x14ac:dyDescent="0.3">
      <c r="A81" s="5">
        <v>397</v>
      </c>
      <c r="B81" s="5" t="s">
        <v>768</v>
      </c>
      <c r="C81" s="5" t="s">
        <v>389</v>
      </c>
      <c r="D81" s="5" t="str">
        <f>Tabla18[[#This Row],[Vendor]]</f>
        <v>Maison Margaux</v>
      </c>
      <c r="E81" s="5" t="s">
        <v>823</v>
      </c>
      <c r="F81" s="5"/>
      <c r="G81" s="5"/>
      <c r="H81" s="5" t="s">
        <v>869</v>
      </c>
      <c r="I81" s="5" t="s">
        <v>845</v>
      </c>
      <c r="J81" s="5">
        <v>200</v>
      </c>
      <c r="K81" s="5" t="s">
        <v>19</v>
      </c>
      <c r="L81" s="11">
        <v>12</v>
      </c>
      <c r="M81" s="5" t="s">
        <v>33</v>
      </c>
      <c r="N81" s="11">
        <f>Tabla18[[#This Row],[Price]]*Tabla18[[#This Row],[QTY Adjusted]]</f>
        <v>2400</v>
      </c>
      <c r="O81" s="11">
        <v>2400</v>
      </c>
      <c r="P81" s="10" t="s">
        <v>4226</v>
      </c>
      <c r="Q81" s="6">
        <v>0</v>
      </c>
    </row>
    <row r="82" spans="1:17" ht="38.4" customHeight="1" x14ac:dyDescent="0.3">
      <c r="A82" s="5">
        <v>412</v>
      </c>
      <c r="B82" s="5" t="s">
        <v>768</v>
      </c>
      <c r="C82" s="5" t="s">
        <v>389</v>
      </c>
      <c r="D82" s="5" t="str">
        <f>Tabla18[[#This Row],[Vendor]]</f>
        <v>Maison Margaux</v>
      </c>
      <c r="E82" s="5" t="s">
        <v>823</v>
      </c>
      <c r="F82" s="5"/>
      <c r="G82" s="5"/>
      <c r="H82" s="5" t="s">
        <v>884</v>
      </c>
      <c r="I82" s="5"/>
      <c r="J82" s="5">
        <v>50</v>
      </c>
      <c r="K82" s="5" t="s">
        <v>19</v>
      </c>
      <c r="L82" s="11">
        <v>33.17</v>
      </c>
      <c r="M82" s="5" t="s">
        <v>33</v>
      </c>
      <c r="N82" s="11">
        <f>Tabla18[[#This Row],[Price]]*Tabla18[[#This Row],[QTY Adjusted]]</f>
        <v>1658.5</v>
      </c>
      <c r="O82" s="11">
        <v>1658.5</v>
      </c>
      <c r="P82" s="10" t="s">
        <v>4226</v>
      </c>
      <c r="Q82" s="6">
        <v>0</v>
      </c>
    </row>
    <row r="83" spans="1:17" ht="38.4" customHeight="1" x14ac:dyDescent="0.3">
      <c r="A83" s="5">
        <v>512</v>
      </c>
      <c r="B83" s="5" t="s">
        <v>768</v>
      </c>
      <c r="C83" s="5" t="s">
        <v>43</v>
      </c>
      <c r="D83" s="5" t="s">
        <v>44</v>
      </c>
      <c r="E83" s="5" t="s">
        <v>1132</v>
      </c>
      <c r="F83" s="5" t="s">
        <v>4059</v>
      </c>
      <c r="G83" s="5" t="s">
        <v>1133</v>
      </c>
      <c r="H83" s="5" t="s">
        <v>1134</v>
      </c>
      <c r="I83" s="5"/>
      <c r="J83" s="5">
        <v>6</v>
      </c>
      <c r="K83" s="5" t="s">
        <v>19</v>
      </c>
      <c r="L83" s="11">
        <v>275.565</v>
      </c>
      <c r="M83" s="5" t="s">
        <v>33</v>
      </c>
      <c r="N83" s="11">
        <f>Tabla18[[#This Row],[Price]]*Tabla18[[#This Row],[QTY Adjusted]]</f>
        <v>1653.3899999999999</v>
      </c>
      <c r="O83" s="11">
        <v>1653.3899999999999</v>
      </c>
      <c r="P83" s="22">
        <v>46108</v>
      </c>
      <c r="Q83" s="6">
        <v>0</v>
      </c>
    </row>
    <row r="84" spans="1:17" ht="38.4" customHeight="1" x14ac:dyDescent="0.3">
      <c r="A84" s="6">
        <v>513</v>
      </c>
      <c r="B84" s="6" t="s">
        <v>768</v>
      </c>
      <c r="C84" s="6" t="s">
        <v>43</v>
      </c>
      <c r="D84" s="6" t="s">
        <v>44</v>
      </c>
      <c r="E84" s="6" t="s">
        <v>1132</v>
      </c>
      <c r="F84" s="6" t="s">
        <v>4059</v>
      </c>
      <c r="G84" s="6" t="s">
        <v>1135</v>
      </c>
      <c r="H84" s="6" t="s">
        <v>1136</v>
      </c>
      <c r="I84" s="6"/>
      <c r="J84" s="6">
        <v>6</v>
      </c>
      <c r="K84" s="6" t="s">
        <v>19</v>
      </c>
      <c r="L84" s="10">
        <v>275.565</v>
      </c>
      <c r="M84" s="6" t="s">
        <v>33</v>
      </c>
      <c r="N84" s="10">
        <f>Tabla18[[#This Row],[Price]]*Tabla18[[#This Row],[QTY Adjusted]]</f>
        <v>1653.3899999999999</v>
      </c>
      <c r="O84" s="10">
        <v>1653.3899999999999</v>
      </c>
      <c r="P84" s="22">
        <v>46108</v>
      </c>
      <c r="Q84" s="6">
        <v>0</v>
      </c>
    </row>
    <row r="85" spans="1:17" ht="38.4" customHeight="1" x14ac:dyDescent="0.3">
      <c r="A85" s="6">
        <v>434</v>
      </c>
      <c r="B85" s="6" t="s">
        <v>768</v>
      </c>
      <c r="C85" s="6" t="s">
        <v>92</v>
      </c>
      <c r="D85" s="6" t="s">
        <v>93</v>
      </c>
      <c r="E85" s="6" t="s">
        <v>934</v>
      </c>
      <c r="F85" s="6" t="s">
        <v>4059</v>
      </c>
      <c r="G85" s="6" t="s">
        <v>935</v>
      </c>
      <c r="H85" s="6" t="s">
        <v>936</v>
      </c>
      <c r="I85" s="6"/>
      <c r="J85" s="6">
        <v>24</v>
      </c>
      <c r="K85" s="6" t="s">
        <v>19</v>
      </c>
      <c r="L85" s="10">
        <v>66.84</v>
      </c>
      <c r="M85" s="6" t="s">
        <v>33</v>
      </c>
      <c r="N85" s="10">
        <f>Tabla18[[#This Row],[Price]]*Tabla18[[#This Row],[QTY Adjusted]]</f>
        <v>1604.16</v>
      </c>
      <c r="O85" s="10">
        <v>1604.16</v>
      </c>
      <c r="P85" s="10" t="s">
        <v>4225</v>
      </c>
      <c r="Q85" s="6">
        <v>0</v>
      </c>
    </row>
    <row r="86" spans="1:17" ht="38.4" customHeight="1" x14ac:dyDescent="0.3">
      <c r="A86" s="6">
        <v>409</v>
      </c>
      <c r="B86" s="6" t="s">
        <v>768</v>
      </c>
      <c r="C86" s="6" t="s">
        <v>389</v>
      </c>
      <c r="D86" s="6" t="str">
        <f>Tabla18[[#This Row],[Vendor]]</f>
        <v>Maison Margaux</v>
      </c>
      <c r="E86" s="6" t="s">
        <v>823</v>
      </c>
      <c r="F86" s="6"/>
      <c r="G86" s="6"/>
      <c r="H86" s="6" t="s">
        <v>881</v>
      </c>
      <c r="I86" s="6"/>
      <c r="J86" s="6">
        <v>15</v>
      </c>
      <c r="K86" s="6" t="s">
        <v>19</v>
      </c>
      <c r="L86" s="10">
        <v>104.81</v>
      </c>
      <c r="M86" s="6" t="s">
        <v>33</v>
      </c>
      <c r="N86" s="10">
        <f>Tabla18[[#This Row],[Price]]*Tabla18[[#This Row],[QTY Adjusted]]</f>
        <v>1572.15</v>
      </c>
      <c r="O86" s="10">
        <v>1572.15</v>
      </c>
      <c r="P86" s="10" t="s">
        <v>4226</v>
      </c>
      <c r="Q86" s="6">
        <v>0</v>
      </c>
    </row>
    <row r="87" spans="1:17" ht="38.4" customHeight="1" x14ac:dyDescent="0.3">
      <c r="A87" s="6">
        <v>380</v>
      </c>
      <c r="B87" s="6" t="s">
        <v>768</v>
      </c>
      <c r="C87" s="6" t="s">
        <v>389</v>
      </c>
      <c r="D87" s="6" t="str">
        <f>Tabla18[[#This Row],[Vendor]]</f>
        <v>Maison Margaux</v>
      </c>
      <c r="E87" s="6" t="s">
        <v>823</v>
      </c>
      <c r="F87" s="6"/>
      <c r="G87" s="6"/>
      <c r="H87" s="6" t="s">
        <v>849</v>
      </c>
      <c r="I87" s="6" t="s">
        <v>850</v>
      </c>
      <c r="J87" s="6">
        <v>100</v>
      </c>
      <c r="K87" s="6" t="s">
        <v>19</v>
      </c>
      <c r="L87" s="10">
        <v>22.45</v>
      </c>
      <c r="M87" s="6" t="s">
        <v>33</v>
      </c>
      <c r="N87" s="10">
        <f>Tabla18[[#This Row],[Price]]*Tabla18[[#This Row],[QTY Adjusted]]</f>
        <v>2245</v>
      </c>
      <c r="O87" s="10">
        <v>2245</v>
      </c>
      <c r="P87" s="10" t="s">
        <v>4226</v>
      </c>
      <c r="Q87" s="6">
        <v>0</v>
      </c>
    </row>
    <row r="88" spans="1:17" ht="38.4" customHeight="1" x14ac:dyDescent="0.3">
      <c r="A88" s="6">
        <v>468</v>
      </c>
      <c r="B88" s="6" t="s">
        <v>768</v>
      </c>
      <c r="C88" s="6" t="s">
        <v>561</v>
      </c>
      <c r="D88" s="6" t="s">
        <v>44</v>
      </c>
      <c r="E88" s="6" t="s">
        <v>1011</v>
      </c>
      <c r="F88" s="6" t="s">
        <v>4059</v>
      </c>
      <c r="G88" s="6" t="s">
        <v>1012</v>
      </c>
      <c r="H88" s="6" t="s">
        <v>1013</v>
      </c>
      <c r="I88" s="6"/>
      <c r="J88" s="6">
        <v>6</v>
      </c>
      <c r="K88" s="6" t="s">
        <v>19</v>
      </c>
      <c r="L88" s="10">
        <v>261.78250000000003</v>
      </c>
      <c r="M88" s="6" t="s">
        <v>33</v>
      </c>
      <c r="N88" s="10">
        <f>Tabla18[[#This Row],[Price]]*Tabla18[[#This Row],[QTY Adjusted]]</f>
        <v>1570.6950000000002</v>
      </c>
      <c r="O88" s="10">
        <v>1570.6950000000002</v>
      </c>
      <c r="P88" s="22" t="s">
        <v>4225</v>
      </c>
      <c r="Q88" s="6">
        <v>0</v>
      </c>
    </row>
    <row r="89" spans="1:17" ht="38.4" customHeight="1" x14ac:dyDescent="0.3">
      <c r="A89" s="6">
        <v>426</v>
      </c>
      <c r="B89" s="6" t="s">
        <v>768</v>
      </c>
      <c r="C89" s="6" t="s">
        <v>502</v>
      </c>
      <c r="D89" s="6" t="str">
        <f>Tabla18[[#This Row],[Vendor]]</f>
        <v>Hacha</v>
      </c>
      <c r="E89" s="6" t="s">
        <v>912</v>
      </c>
      <c r="F89" s="6" t="s">
        <v>4059</v>
      </c>
      <c r="G89" s="6" t="s">
        <v>913</v>
      </c>
      <c r="H89" s="6" t="s">
        <v>914</v>
      </c>
      <c r="I89" s="6"/>
      <c r="J89" s="6">
        <v>54</v>
      </c>
      <c r="K89" s="6" t="s">
        <v>19</v>
      </c>
      <c r="L89" s="10">
        <v>466</v>
      </c>
      <c r="M89" s="6" t="s">
        <v>20</v>
      </c>
      <c r="N89" s="10">
        <f>Tabla18[[#This Row],[Price]]*Tabla18[[#This Row],[QTY Adjusted]]</f>
        <v>25164</v>
      </c>
      <c r="O89" s="10">
        <v>1290.4615384615386</v>
      </c>
      <c r="P89" s="10" t="s">
        <v>4226</v>
      </c>
      <c r="Q89" s="6">
        <v>0</v>
      </c>
    </row>
    <row r="90" spans="1:17" ht="38.4" customHeight="1" x14ac:dyDescent="0.3">
      <c r="A90" s="6">
        <v>455</v>
      </c>
      <c r="B90" s="6" t="s">
        <v>768</v>
      </c>
      <c r="C90" s="6" t="s">
        <v>561</v>
      </c>
      <c r="D90" s="6" t="s">
        <v>44</v>
      </c>
      <c r="E90" s="6" t="s">
        <v>976</v>
      </c>
      <c r="F90" s="6" t="s">
        <v>4059</v>
      </c>
      <c r="G90" s="6" t="s">
        <v>977</v>
      </c>
      <c r="H90" s="6" t="s">
        <v>978</v>
      </c>
      <c r="I90" s="6"/>
      <c r="J90" s="6">
        <v>60</v>
      </c>
      <c r="K90" s="6" t="s">
        <v>19</v>
      </c>
      <c r="L90" s="10">
        <v>24.447500000000002</v>
      </c>
      <c r="M90" s="6" t="s">
        <v>33</v>
      </c>
      <c r="N90" s="10">
        <f>Tabla18[[#This Row],[Price]]*Tabla18[[#This Row],[QTY Adjusted]]</f>
        <v>1466.8500000000001</v>
      </c>
      <c r="O90" s="10">
        <v>1466.8500000000001</v>
      </c>
      <c r="P90" s="22" t="s">
        <v>4225</v>
      </c>
      <c r="Q90" s="6">
        <v>0</v>
      </c>
    </row>
    <row r="91" spans="1:17" ht="38.4" customHeight="1" x14ac:dyDescent="0.3">
      <c r="A91" s="6">
        <v>402</v>
      </c>
      <c r="B91" s="6" t="s">
        <v>768</v>
      </c>
      <c r="C91" s="6" t="s">
        <v>389</v>
      </c>
      <c r="D91" s="6" t="str">
        <f>Tabla18[[#This Row],[Vendor]]</f>
        <v>Maison Margaux</v>
      </c>
      <c r="E91" s="6" t="s">
        <v>823</v>
      </c>
      <c r="F91" s="6"/>
      <c r="G91" s="6"/>
      <c r="H91" s="6" t="s">
        <v>874</v>
      </c>
      <c r="I91" s="6"/>
      <c r="J91" s="6">
        <v>50</v>
      </c>
      <c r="K91" s="6" t="s">
        <v>19</v>
      </c>
      <c r="L91" s="10">
        <v>28</v>
      </c>
      <c r="M91" s="6" t="s">
        <v>33</v>
      </c>
      <c r="N91" s="10">
        <f>Tabla18[[#This Row],[Price]]*Tabla18[[#This Row],[QTY Adjusted]]</f>
        <v>1400</v>
      </c>
      <c r="O91" s="10">
        <v>1400</v>
      </c>
      <c r="P91" s="10" t="s">
        <v>4226</v>
      </c>
      <c r="Q91" s="6">
        <v>0</v>
      </c>
    </row>
    <row r="92" spans="1:17" ht="38.4" customHeight="1" x14ac:dyDescent="0.3">
      <c r="A92" s="6">
        <v>395</v>
      </c>
      <c r="B92" s="6" t="s">
        <v>768</v>
      </c>
      <c r="C92" s="6" t="s">
        <v>389</v>
      </c>
      <c r="D92" s="6" t="str">
        <f>Tabla18[[#This Row],[Vendor]]</f>
        <v>Maison Margaux</v>
      </c>
      <c r="E92" s="6" t="s">
        <v>823</v>
      </c>
      <c r="F92" s="6"/>
      <c r="G92" s="6"/>
      <c r="H92" s="6" t="s">
        <v>867</v>
      </c>
      <c r="I92" s="6" t="s">
        <v>842</v>
      </c>
      <c r="J92" s="6">
        <v>50</v>
      </c>
      <c r="K92" s="6" t="s">
        <v>19</v>
      </c>
      <c r="L92" s="10">
        <v>39.93</v>
      </c>
      <c r="M92" s="6" t="s">
        <v>33</v>
      </c>
      <c r="N92" s="10">
        <f>Tabla18[[#This Row],[Price]]*Tabla18[[#This Row],[QTY Adjusted]]</f>
        <v>1996.5</v>
      </c>
      <c r="O92" s="10">
        <v>1996.5</v>
      </c>
      <c r="P92" s="10" t="s">
        <v>4226</v>
      </c>
      <c r="Q92" s="6">
        <v>0</v>
      </c>
    </row>
    <row r="93" spans="1:17" ht="38.4" customHeight="1" x14ac:dyDescent="0.3">
      <c r="A93" s="6">
        <v>504</v>
      </c>
      <c r="B93" s="6" t="s">
        <v>768</v>
      </c>
      <c r="C93" s="6" t="s">
        <v>561</v>
      </c>
      <c r="D93" s="6" t="s">
        <v>44</v>
      </c>
      <c r="E93" s="6" t="s">
        <v>794</v>
      </c>
      <c r="F93" s="6" t="s">
        <v>4059</v>
      </c>
      <c r="G93" s="6" t="s">
        <v>1110</v>
      </c>
      <c r="H93" s="6" t="s">
        <v>1111</v>
      </c>
      <c r="I93" s="6"/>
      <c r="J93" s="6">
        <v>36</v>
      </c>
      <c r="K93" s="6" t="s">
        <v>19</v>
      </c>
      <c r="L93" s="10">
        <v>38.045000000000002</v>
      </c>
      <c r="M93" s="6" t="s">
        <v>33</v>
      </c>
      <c r="N93" s="10">
        <f>Tabla18[[#This Row],[Price]]*Tabla18[[#This Row],[QTY Adjusted]]</f>
        <v>1369.6200000000001</v>
      </c>
      <c r="O93" s="10">
        <v>1369.6200000000001</v>
      </c>
      <c r="P93" s="22" t="s">
        <v>4225</v>
      </c>
      <c r="Q93" s="6">
        <v>0</v>
      </c>
    </row>
    <row r="94" spans="1:17" ht="38.4" customHeight="1" x14ac:dyDescent="0.3">
      <c r="A94" s="6">
        <v>486</v>
      </c>
      <c r="B94" s="6" t="s">
        <v>768</v>
      </c>
      <c r="C94" s="6" t="s">
        <v>130</v>
      </c>
      <c r="D94" s="6" t="s">
        <v>130</v>
      </c>
      <c r="E94" s="6" t="s">
        <v>1062</v>
      </c>
      <c r="F94" s="6" t="s">
        <v>4059</v>
      </c>
      <c r="G94" s="6" t="s">
        <v>1063</v>
      </c>
      <c r="H94" s="6" t="s">
        <v>1064</v>
      </c>
      <c r="I94" s="6"/>
      <c r="J94" s="6">
        <v>72</v>
      </c>
      <c r="K94" s="6" t="s">
        <v>19</v>
      </c>
      <c r="L94" s="10">
        <v>16.269876000139199</v>
      </c>
      <c r="M94" s="6" t="s">
        <v>33</v>
      </c>
      <c r="N94" s="10">
        <f>Tabla18[[#This Row],[Price]]*Tabla18[[#This Row],[QTY Adjusted]]</f>
        <v>1171.4310720100223</v>
      </c>
      <c r="O94" s="10">
        <v>1171.4310720100223</v>
      </c>
      <c r="P94" s="10" t="s">
        <v>4225</v>
      </c>
      <c r="Q94" s="6">
        <v>0</v>
      </c>
    </row>
    <row r="95" spans="1:17" ht="38.4" customHeight="1" x14ac:dyDescent="0.3">
      <c r="A95" s="6">
        <v>391</v>
      </c>
      <c r="B95" s="6" t="s">
        <v>768</v>
      </c>
      <c r="C95" s="6" t="s">
        <v>389</v>
      </c>
      <c r="D95" s="6" t="str">
        <f>Tabla18[[#This Row],[Vendor]]</f>
        <v>Maison Margaux</v>
      </c>
      <c r="E95" s="6" t="s">
        <v>823</v>
      </c>
      <c r="F95" s="6"/>
      <c r="G95" s="6"/>
      <c r="H95" s="6" t="s">
        <v>862</v>
      </c>
      <c r="I95" s="6" t="s">
        <v>847</v>
      </c>
      <c r="J95" s="6">
        <v>200</v>
      </c>
      <c r="K95" s="6" t="s">
        <v>19</v>
      </c>
      <c r="L95" s="10">
        <v>9.68</v>
      </c>
      <c r="M95" s="6" t="s">
        <v>33</v>
      </c>
      <c r="N95" s="10">
        <f>Tabla18[[#This Row],[Price]]*Tabla18[[#This Row],[QTY Adjusted]]</f>
        <v>1936</v>
      </c>
      <c r="O95" s="10">
        <v>1936</v>
      </c>
      <c r="P95" s="10" t="s">
        <v>4226</v>
      </c>
      <c r="Q95" s="6">
        <v>0</v>
      </c>
    </row>
    <row r="96" spans="1:17" ht="38.4" customHeight="1" x14ac:dyDescent="0.3">
      <c r="A96" s="6">
        <v>516</v>
      </c>
      <c r="B96" s="6" t="s">
        <v>768</v>
      </c>
      <c r="C96" s="6" t="s">
        <v>43</v>
      </c>
      <c r="D96" s="6" t="s">
        <v>44</v>
      </c>
      <c r="E96" s="6" t="s">
        <v>1141</v>
      </c>
      <c r="F96" s="6" t="s">
        <v>4059</v>
      </c>
      <c r="G96" s="6" t="s">
        <v>1142</v>
      </c>
      <c r="H96" s="6" t="s">
        <v>1143</v>
      </c>
      <c r="I96" s="6"/>
      <c r="J96" s="6">
        <v>6</v>
      </c>
      <c r="K96" s="6" t="s">
        <v>19</v>
      </c>
      <c r="L96" s="10">
        <v>222.89500000000001</v>
      </c>
      <c r="M96" s="6" t="s">
        <v>33</v>
      </c>
      <c r="N96" s="10">
        <f>Tabla18[[#This Row],[Price]]*Tabla18[[#This Row],[QTY Adjusted]]</f>
        <v>1337.3700000000001</v>
      </c>
      <c r="O96" s="10">
        <v>1337.3700000000001</v>
      </c>
      <c r="P96" s="22">
        <v>46108</v>
      </c>
      <c r="Q96" s="6">
        <v>0</v>
      </c>
    </row>
    <row r="97" spans="1:17" ht="38.4" customHeight="1" x14ac:dyDescent="0.3">
      <c r="A97" s="6">
        <v>517</v>
      </c>
      <c r="B97" s="6" t="s">
        <v>768</v>
      </c>
      <c r="C97" s="6" t="s">
        <v>43</v>
      </c>
      <c r="D97" s="6" t="s">
        <v>44</v>
      </c>
      <c r="E97" s="6" t="s">
        <v>1141</v>
      </c>
      <c r="F97" s="6" t="s">
        <v>4059</v>
      </c>
      <c r="G97" s="6" t="s">
        <v>1144</v>
      </c>
      <c r="H97" s="6" t="s">
        <v>1145</v>
      </c>
      <c r="I97" s="6"/>
      <c r="J97" s="6">
        <v>6</v>
      </c>
      <c r="K97" s="6" t="s">
        <v>19</v>
      </c>
      <c r="L97" s="10">
        <v>222.89500000000001</v>
      </c>
      <c r="M97" s="6" t="s">
        <v>33</v>
      </c>
      <c r="N97" s="10">
        <f>Tabla18[[#This Row],[Price]]*Tabla18[[#This Row],[QTY Adjusted]]</f>
        <v>1337.3700000000001</v>
      </c>
      <c r="O97" s="10">
        <v>1337.3700000000001</v>
      </c>
      <c r="P97" s="22">
        <v>46108</v>
      </c>
      <c r="Q97" s="6">
        <v>0</v>
      </c>
    </row>
    <row r="98" spans="1:17" ht="38.4" customHeight="1" x14ac:dyDescent="0.3">
      <c r="A98" s="6">
        <v>487</v>
      </c>
      <c r="B98" s="6" t="s">
        <v>768</v>
      </c>
      <c r="C98" s="6" t="s">
        <v>130</v>
      </c>
      <c r="D98" s="6" t="s">
        <v>130</v>
      </c>
      <c r="E98" s="6" t="s">
        <v>1062</v>
      </c>
      <c r="F98" s="6" t="s">
        <v>4059</v>
      </c>
      <c r="G98" s="6" t="s">
        <v>1065</v>
      </c>
      <c r="H98" s="6" t="s">
        <v>1066</v>
      </c>
      <c r="I98" s="6"/>
      <c r="J98" s="6">
        <v>72</v>
      </c>
      <c r="K98" s="6" t="s">
        <v>19</v>
      </c>
      <c r="L98" s="10">
        <v>15.8268465128115</v>
      </c>
      <c r="M98" s="6" t="s">
        <v>33</v>
      </c>
      <c r="N98" s="10">
        <f>Tabla18[[#This Row],[Price]]*Tabla18[[#This Row],[QTY Adjusted]]</f>
        <v>1139.532948922428</v>
      </c>
      <c r="O98" s="10">
        <v>1139.532948922428</v>
      </c>
      <c r="P98" s="10" t="s">
        <v>4225</v>
      </c>
      <c r="Q98" s="6">
        <v>0</v>
      </c>
    </row>
    <row r="99" spans="1:17" ht="38.4" customHeight="1" x14ac:dyDescent="0.3">
      <c r="A99" s="6">
        <v>440</v>
      </c>
      <c r="B99" s="6" t="s">
        <v>768</v>
      </c>
      <c r="C99" s="6" t="s">
        <v>684</v>
      </c>
      <c r="D99" s="6" t="str">
        <f>Tabla18[[#This Row],[Vendor]]</f>
        <v>Pantheon</v>
      </c>
      <c r="E99" s="6" t="s">
        <v>687</v>
      </c>
      <c r="F99" s="6" t="s">
        <v>4059</v>
      </c>
      <c r="G99" s="6"/>
      <c r="H99" s="6"/>
      <c r="I99" s="6"/>
      <c r="J99" s="6">
        <v>12</v>
      </c>
      <c r="K99" s="6" t="s">
        <v>19</v>
      </c>
      <c r="L99" s="10">
        <v>110.07</v>
      </c>
      <c r="M99" s="6" t="s">
        <v>33</v>
      </c>
      <c r="N99" s="10">
        <f>Tabla18[[#This Row],[Price]]*Tabla18[[#This Row],[QTY Adjusted]]</f>
        <v>1320.84</v>
      </c>
      <c r="O99" s="10">
        <v>1320.84</v>
      </c>
      <c r="P99" s="10" t="s">
        <v>4234</v>
      </c>
      <c r="Q99" s="6" t="s">
        <v>4245</v>
      </c>
    </row>
    <row r="100" spans="1:17" ht="38.4" customHeight="1" x14ac:dyDescent="0.3">
      <c r="A100" s="6">
        <v>368</v>
      </c>
      <c r="B100" s="6" t="s">
        <v>768</v>
      </c>
      <c r="C100" s="6" t="s">
        <v>389</v>
      </c>
      <c r="D100" s="6" t="str">
        <f>Tabla18[[#This Row],[Vendor]]</f>
        <v>Maison Margaux</v>
      </c>
      <c r="E100" s="6" t="s">
        <v>823</v>
      </c>
      <c r="F100" s="6"/>
      <c r="G100" s="6"/>
      <c r="H100" s="6" t="s">
        <v>460</v>
      </c>
      <c r="I100" s="6" t="s">
        <v>827</v>
      </c>
      <c r="J100" s="6">
        <v>49</v>
      </c>
      <c r="K100" s="6" t="s">
        <v>19</v>
      </c>
      <c r="L100" s="10">
        <v>26.84</v>
      </c>
      <c r="M100" s="6" t="s">
        <v>33</v>
      </c>
      <c r="N100" s="10">
        <f>Tabla18[[#This Row],[Price]]*Tabla18[[#This Row],[QTY Adjusted]]</f>
        <v>1315.16</v>
      </c>
      <c r="O100" s="10">
        <v>1315.16</v>
      </c>
      <c r="P100" s="10" t="s">
        <v>4226</v>
      </c>
      <c r="Q100" s="6">
        <v>0</v>
      </c>
    </row>
    <row r="101" spans="1:17" ht="38.4" customHeight="1" x14ac:dyDescent="0.3">
      <c r="A101" s="6">
        <v>493</v>
      </c>
      <c r="B101" s="6" t="s">
        <v>768</v>
      </c>
      <c r="C101" s="6" t="s">
        <v>561</v>
      </c>
      <c r="D101" s="6" t="s">
        <v>44</v>
      </c>
      <c r="E101" s="6" t="s">
        <v>1077</v>
      </c>
      <c r="F101" s="6" t="s">
        <v>4059</v>
      </c>
      <c r="G101" s="6" t="s">
        <v>1078</v>
      </c>
      <c r="H101" s="6" t="s">
        <v>1079</v>
      </c>
      <c r="I101" s="6"/>
      <c r="J101" s="6">
        <v>6</v>
      </c>
      <c r="K101" s="6" t="s">
        <v>19</v>
      </c>
      <c r="L101" s="10">
        <v>218.0675</v>
      </c>
      <c r="M101" s="6" t="s">
        <v>33</v>
      </c>
      <c r="N101" s="10">
        <f>Tabla18[[#This Row],[Price]]*Tabla18[[#This Row],[QTY Adjusted]]</f>
        <v>1308.405</v>
      </c>
      <c r="O101" s="10">
        <v>1308.405</v>
      </c>
      <c r="P101" s="22" t="s">
        <v>4225</v>
      </c>
      <c r="Q101" s="6">
        <v>0</v>
      </c>
    </row>
    <row r="102" spans="1:17" ht="38.4" customHeight="1" x14ac:dyDescent="0.3">
      <c r="A102" s="6">
        <v>424</v>
      </c>
      <c r="B102" s="6" t="s">
        <v>768</v>
      </c>
      <c r="C102" s="6" t="s">
        <v>502</v>
      </c>
      <c r="D102" s="6" t="str">
        <f>Tabla18[[#This Row],[Vendor]]</f>
        <v>Hacha</v>
      </c>
      <c r="E102" s="6" t="s">
        <v>907</v>
      </c>
      <c r="F102" s="6" t="s">
        <v>4059</v>
      </c>
      <c r="G102" s="6" t="s">
        <v>908</v>
      </c>
      <c r="H102" s="6" t="s">
        <v>909</v>
      </c>
      <c r="I102" s="6"/>
      <c r="J102" s="6">
        <v>54</v>
      </c>
      <c r="K102" s="6" t="s">
        <v>19</v>
      </c>
      <c r="L102" s="10">
        <v>401</v>
      </c>
      <c r="M102" s="6" t="s">
        <v>20</v>
      </c>
      <c r="N102" s="10">
        <f>Tabla18[[#This Row],[Price]]*Tabla18[[#This Row],[QTY Adjusted]]</f>
        <v>21654</v>
      </c>
      <c r="O102" s="10">
        <v>1110.4615384615386</v>
      </c>
      <c r="P102" s="10" t="s">
        <v>4226</v>
      </c>
      <c r="Q102" s="6">
        <v>0</v>
      </c>
    </row>
    <row r="103" spans="1:17" ht="38.4" customHeight="1" x14ac:dyDescent="0.3">
      <c r="A103" s="6">
        <v>425</v>
      </c>
      <c r="B103" s="6" t="s">
        <v>768</v>
      </c>
      <c r="C103" s="6" t="s">
        <v>502</v>
      </c>
      <c r="D103" s="6" t="str">
        <f>Tabla18[[#This Row],[Vendor]]</f>
        <v>Hacha</v>
      </c>
      <c r="E103" s="6" t="s">
        <v>907</v>
      </c>
      <c r="F103" s="6" t="s">
        <v>4059</v>
      </c>
      <c r="G103" s="6" t="s">
        <v>910</v>
      </c>
      <c r="H103" s="6" t="s">
        <v>911</v>
      </c>
      <c r="I103" s="6"/>
      <c r="J103" s="6">
        <v>54</v>
      </c>
      <c r="K103" s="6" t="s">
        <v>19</v>
      </c>
      <c r="L103" s="10">
        <v>401</v>
      </c>
      <c r="M103" s="6" t="s">
        <v>20</v>
      </c>
      <c r="N103" s="10">
        <f>Tabla18[[#This Row],[Price]]*Tabla18[[#This Row],[QTY Adjusted]]</f>
        <v>21654</v>
      </c>
      <c r="O103" s="10">
        <v>1110.4615384615386</v>
      </c>
      <c r="P103" s="10" t="s">
        <v>4226</v>
      </c>
      <c r="Q103" s="6">
        <v>0</v>
      </c>
    </row>
    <row r="104" spans="1:17" ht="38.4" customHeight="1" x14ac:dyDescent="0.3">
      <c r="A104" s="6">
        <v>400</v>
      </c>
      <c r="B104" s="6" t="s">
        <v>768</v>
      </c>
      <c r="C104" s="6" t="s">
        <v>389</v>
      </c>
      <c r="D104" s="6" t="str">
        <f>Tabla18[[#This Row],[Vendor]]</f>
        <v>Maison Margaux</v>
      </c>
      <c r="E104" s="6" t="s">
        <v>823</v>
      </c>
      <c r="F104" s="6"/>
      <c r="G104" s="6"/>
      <c r="H104" s="6" t="s">
        <v>872</v>
      </c>
      <c r="I104" s="6" t="s">
        <v>842</v>
      </c>
      <c r="J104" s="6">
        <v>35</v>
      </c>
      <c r="K104" s="6" t="s">
        <v>19</v>
      </c>
      <c r="L104" s="10">
        <v>37</v>
      </c>
      <c r="M104" s="6" t="s">
        <v>33</v>
      </c>
      <c r="N104" s="10">
        <f>Tabla18[[#This Row],[Price]]*Tabla18[[#This Row],[QTY Adjusted]]</f>
        <v>1295</v>
      </c>
      <c r="O104" s="10">
        <v>1295</v>
      </c>
      <c r="P104" s="10" t="s">
        <v>4226</v>
      </c>
      <c r="Q104" s="6">
        <v>0</v>
      </c>
    </row>
    <row r="105" spans="1:17" ht="38.4" customHeight="1" x14ac:dyDescent="0.3">
      <c r="A105" s="6">
        <v>411</v>
      </c>
      <c r="B105" s="6" t="s">
        <v>768</v>
      </c>
      <c r="C105" s="6" t="s">
        <v>389</v>
      </c>
      <c r="D105" s="6" t="str">
        <f>Tabla18[[#This Row],[Vendor]]</f>
        <v>Maison Margaux</v>
      </c>
      <c r="E105" s="6" t="s">
        <v>823</v>
      </c>
      <c r="F105" s="6"/>
      <c r="G105" s="6"/>
      <c r="H105" s="6" t="s">
        <v>883</v>
      </c>
      <c r="I105" s="6"/>
      <c r="J105" s="6">
        <v>10</v>
      </c>
      <c r="K105" s="6" t="s">
        <v>19</v>
      </c>
      <c r="L105" s="10">
        <v>128.97999999999999</v>
      </c>
      <c r="M105" s="6" t="s">
        <v>33</v>
      </c>
      <c r="N105" s="10">
        <f>Tabla18[[#This Row],[Price]]*Tabla18[[#This Row],[QTY Adjusted]]</f>
        <v>1289.8</v>
      </c>
      <c r="O105" s="10">
        <v>1289.8</v>
      </c>
      <c r="P105" s="10" t="s">
        <v>4226</v>
      </c>
      <c r="Q105" s="6">
        <v>0</v>
      </c>
    </row>
    <row r="106" spans="1:17" ht="38.4" customHeight="1" x14ac:dyDescent="0.3">
      <c r="A106" s="6">
        <v>396</v>
      </c>
      <c r="B106" s="6" t="s">
        <v>768</v>
      </c>
      <c r="C106" s="6" t="s">
        <v>389</v>
      </c>
      <c r="D106" s="6" t="str">
        <f>Tabla18[[#This Row],[Vendor]]</f>
        <v>Maison Margaux</v>
      </c>
      <c r="E106" s="6" t="s">
        <v>823</v>
      </c>
      <c r="F106" s="6"/>
      <c r="G106" s="6"/>
      <c r="H106" s="6" t="s">
        <v>868</v>
      </c>
      <c r="I106" s="6" t="s">
        <v>847</v>
      </c>
      <c r="J106" s="6">
        <v>50</v>
      </c>
      <c r="K106" s="6" t="s">
        <v>19</v>
      </c>
      <c r="L106" s="10">
        <v>36.76</v>
      </c>
      <c r="M106" s="6" t="s">
        <v>33</v>
      </c>
      <c r="N106" s="10">
        <f>Tabla18[[#This Row],[Price]]*Tabla18[[#This Row],[QTY Adjusted]]</f>
        <v>1838</v>
      </c>
      <c r="O106" s="10">
        <v>1838</v>
      </c>
      <c r="P106" s="10" t="s">
        <v>4226</v>
      </c>
      <c r="Q106" s="6">
        <v>0</v>
      </c>
    </row>
    <row r="107" spans="1:17" ht="38.4" customHeight="1" x14ac:dyDescent="0.3">
      <c r="A107" s="6">
        <v>505</v>
      </c>
      <c r="B107" s="6" t="s">
        <v>768</v>
      </c>
      <c r="C107" s="6" t="s">
        <v>561</v>
      </c>
      <c r="D107" s="6" t="s">
        <v>44</v>
      </c>
      <c r="E107" s="6" t="s">
        <v>1112</v>
      </c>
      <c r="F107" s="6" t="s">
        <v>4059</v>
      </c>
      <c r="G107" s="6" t="s">
        <v>1113</v>
      </c>
      <c r="H107" s="6" t="s">
        <v>1114</v>
      </c>
      <c r="I107" s="6"/>
      <c r="J107" s="6">
        <v>24</v>
      </c>
      <c r="K107" s="6" t="s">
        <v>19</v>
      </c>
      <c r="L107" s="10">
        <v>52.0625</v>
      </c>
      <c r="M107" s="6" t="s">
        <v>33</v>
      </c>
      <c r="N107" s="10">
        <f>Tabla18[[#This Row],[Price]]*Tabla18[[#This Row],[QTY Adjusted]]</f>
        <v>1249.5</v>
      </c>
      <c r="O107" s="10">
        <v>1249.5</v>
      </c>
      <c r="P107" s="22" t="s">
        <v>4225</v>
      </c>
      <c r="Q107" s="6">
        <v>0</v>
      </c>
    </row>
    <row r="108" spans="1:17" ht="38.4" customHeight="1" x14ac:dyDescent="0.3">
      <c r="A108" s="6">
        <v>351</v>
      </c>
      <c r="B108" s="6" t="s">
        <v>768</v>
      </c>
      <c r="C108" s="6" t="s">
        <v>38</v>
      </c>
      <c r="D108" s="6" t="str">
        <f>Tabla18[[#This Row],[Vendor]]</f>
        <v>Peugeot</v>
      </c>
      <c r="E108" s="6"/>
      <c r="F108" s="6" t="s">
        <v>4059</v>
      </c>
      <c r="G108" s="6"/>
      <c r="H108" s="6" t="s">
        <v>803</v>
      </c>
      <c r="I108" s="6" t="s">
        <v>804</v>
      </c>
      <c r="J108" s="6">
        <v>36</v>
      </c>
      <c r="K108" s="6" t="s">
        <v>19</v>
      </c>
      <c r="L108" s="10">
        <v>29.4</v>
      </c>
      <c r="M108" s="6" t="s">
        <v>33</v>
      </c>
      <c r="N108" s="10">
        <f>Tabla18[[#This Row],[Price]]*Tabla18[[#This Row],[QTY Adjusted]]</f>
        <v>1058.3999999999999</v>
      </c>
      <c r="O108" s="10">
        <v>1058.3999999999999</v>
      </c>
      <c r="P108" s="10" t="s">
        <v>4232</v>
      </c>
      <c r="Q108" s="6">
        <v>0</v>
      </c>
    </row>
    <row r="109" spans="1:17" ht="38.4" customHeight="1" x14ac:dyDescent="0.3">
      <c r="A109" s="6">
        <v>352</v>
      </c>
      <c r="B109" s="6" t="s">
        <v>768</v>
      </c>
      <c r="C109" s="6" t="s">
        <v>38</v>
      </c>
      <c r="D109" s="6" t="str">
        <f>Tabla18[[#This Row],[Vendor]]</f>
        <v>Peugeot</v>
      </c>
      <c r="E109" s="6"/>
      <c r="F109" s="6" t="s">
        <v>4059</v>
      </c>
      <c r="G109" s="6"/>
      <c r="H109" s="6" t="s">
        <v>805</v>
      </c>
      <c r="I109" s="6" t="s">
        <v>806</v>
      </c>
      <c r="J109" s="6">
        <v>36</v>
      </c>
      <c r="K109" s="6" t="s">
        <v>19</v>
      </c>
      <c r="L109" s="10">
        <v>29.4</v>
      </c>
      <c r="M109" s="6" t="s">
        <v>33</v>
      </c>
      <c r="N109" s="10">
        <f>Tabla18[[#This Row],[Price]]*Tabla18[[#This Row],[QTY Adjusted]]</f>
        <v>1058.3999999999999</v>
      </c>
      <c r="O109" s="10">
        <v>1058.3999999999999</v>
      </c>
      <c r="P109" s="10" t="s">
        <v>4232</v>
      </c>
      <c r="Q109" s="6">
        <v>0</v>
      </c>
    </row>
    <row r="110" spans="1:17" ht="38.4" customHeight="1" x14ac:dyDescent="0.3">
      <c r="A110" s="6">
        <v>575</v>
      </c>
      <c r="B110" s="6" t="s">
        <v>768</v>
      </c>
      <c r="C110" s="6" t="s">
        <v>14</v>
      </c>
      <c r="D110" s="6" t="str">
        <f>Tabla18[[#This Row],[Vendor]]</f>
        <v>Oaxifornia</v>
      </c>
      <c r="E110" s="6" t="s">
        <v>1182</v>
      </c>
      <c r="F110" s="6" t="s">
        <v>4059</v>
      </c>
      <c r="G110" s="6" t="s">
        <v>195</v>
      </c>
      <c r="H110" s="6" t="s">
        <v>1183</v>
      </c>
      <c r="I110" s="6"/>
      <c r="J110" s="6">
        <v>24</v>
      </c>
      <c r="K110" s="6" t="s">
        <v>19</v>
      </c>
      <c r="L110" s="10">
        <v>1001</v>
      </c>
      <c r="M110" s="6" t="s">
        <v>20</v>
      </c>
      <c r="N110" s="10">
        <f>Tabla18[[#This Row],[Price]]*Tabla18[[#This Row],[QTY Adjusted]]</f>
        <v>24024</v>
      </c>
      <c r="O110" s="10">
        <v>1232</v>
      </c>
      <c r="P110" s="10" t="s">
        <v>4232</v>
      </c>
      <c r="Q110" s="6">
        <v>0</v>
      </c>
    </row>
    <row r="111" spans="1:17" ht="38.4" customHeight="1" x14ac:dyDescent="0.3">
      <c r="A111" s="6">
        <v>401</v>
      </c>
      <c r="B111" s="6" t="s">
        <v>768</v>
      </c>
      <c r="C111" s="6" t="s">
        <v>389</v>
      </c>
      <c r="D111" s="6" t="str">
        <f>Tabla18[[#This Row],[Vendor]]</f>
        <v>Maison Margaux</v>
      </c>
      <c r="E111" s="6" t="s">
        <v>823</v>
      </c>
      <c r="F111" s="6"/>
      <c r="G111" s="6"/>
      <c r="H111" s="6" t="s">
        <v>873</v>
      </c>
      <c r="I111" s="6" t="s">
        <v>842</v>
      </c>
      <c r="J111" s="6">
        <v>70</v>
      </c>
      <c r="K111" s="6" t="s">
        <v>19</v>
      </c>
      <c r="L111" s="10">
        <v>17.47</v>
      </c>
      <c r="M111" s="6" t="s">
        <v>33</v>
      </c>
      <c r="N111" s="10">
        <f>Tabla18[[#This Row],[Price]]*Tabla18[[#This Row],[QTY Adjusted]]</f>
        <v>1222.8999999999999</v>
      </c>
      <c r="O111" s="10">
        <v>1222.8999999999999</v>
      </c>
      <c r="P111" s="10" t="s">
        <v>4226</v>
      </c>
      <c r="Q111" s="6">
        <v>0</v>
      </c>
    </row>
    <row r="112" spans="1:17" ht="38.4" customHeight="1" x14ac:dyDescent="0.3">
      <c r="A112" s="6">
        <v>488</v>
      </c>
      <c r="B112" s="6" t="s">
        <v>768</v>
      </c>
      <c r="C112" s="6" t="s">
        <v>502</v>
      </c>
      <c r="D112" s="6" t="str">
        <f>Tabla18[[#This Row],[Vendor]]</f>
        <v>Hacha</v>
      </c>
      <c r="E112" s="6" t="s">
        <v>997</v>
      </c>
      <c r="F112" s="6" t="s">
        <v>4059</v>
      </c>
      <c r="G112" s="6" t="s">
        <v>998</v>
      </c>
      <c r="H112" s="6" t="s">
        <v>999</v>
      </c>
      <c r="I112" s="6"/>
      <c r="J112" s="6">
        <v>58</v>
      </c>
      <c r="K112" s="6" t="s">
        <v>19</v>
      </c>
      <c r="L112" s="10">
        <v>342</v>
      </c>
      <c r="M112" s="6" t="s">
        <v>20</v>
      </c>
      <c r="N112" s="10">
        <f>Tabla18[[#This Row],[Price]]*Tabla18[[#This Row],[QTY Adjusted]]</f>
        <v>19836</v>
      </c>
      <c r="O112" s="10">
        <v>1017.2307692307693</v>
      </c>
      <c r="P112" s="10" t="s">
        <v>4226</v>
      </c>
      <c r="Q112" s="6">
        <v>0</v>
      </c>
    </row>
    <row r="113" spans="1:17" ht="38.4" customHeight="1" x14ac:dyDescent="0.3">
      <c r="A113" s="6">
        <v>471</v>
      </c>
      <c r="B113" s="6" t="s">
        <v>768</v>
      </c>
      <c r="C113" s="6" t="s">
        <v>561</v>
      </c>
      <c r="D113" s="6" t="s">
        <v>44</v>
      </c>
      <c r="E113" s="6" t="s">
        <v>1020</v>
      </c>
      <c r="F113" s="6" t="s">
        <v>4059</v>
      </c>
      <c r="G113" s="6" t="s">
        <v>1021</v>
      </c>
      <c r="H113" s="6" t="s">
        <v>1022</v>
      </c>
      <c r="I113" s="6"/>
      <c r="J113" s="6">
        <v>6</v>
      </c>
      <c r="K113" s="6" t="s">
        <v>19</v>
      </c>
      <c r="L113" s="10">
        <v>198.1</v>
      </c>
      <c r="M113" s="6" t="s">
        <v>33</v>
      </c>
      <c r="N113" s="10">
        <f>Tabla18[[#This Row],[Price]]*Tabla18[[#This Row],[QTY Adjusted]]</f>
        <v>1188.5999999999999</v>
      </c>
      <c r="O113" s="10">
        <v>1188.5999999999999</v>
      </c>
      <c r="P113" s="22" t="s">
        <v>4225</v>
      </c>
      <c r="Q113" s="6">
        <v>0</v>
      </c>
    </row>
    <row r="114" spans="1:17" ht="38.4" customHeight="1" x14ac:dyDescent="0.3">
      <c r="A114" s="6">
        <v>510</v>
      </c>
      <c r="B114" s="6" t="s">
        <v>768</v>
      </c>
      <c r="C114" s="6" t="s">
        <v>43</v>
      </c>
      <c r="D114" s="6" t="s">
        <v>44</v>
      </c>
      <c r="E114" s="6" t="s">
        <v>1127</v>
      </c>
      <c r="F114" s="6" t="s">
        <v>4059</v>
      </c>
      <c r="G114" s="6" t="s">
        <v>1128</v>
      </c>
      <c r="H114" s="6" t="s">
        <v>1129</v>
      </c>
      <c r="I114" s="6"/>
      <c r="J114" s="6">
        <v>6</v>
      </c>
      <c r="K114" s="6" t="s">
        <v>19</v>
      </c>
      <c r="L114" s="10">
        <v>197.88499999999999</v>
      </c>
      <c r="M114" s="6" t="s">
        <v>33</v>
      </c>
      <c r="N114" s="10">
        <f>Tabla18[[#This Row],[Price]]*Tabla18[[#This Row],[QTY Adjusted]]</f>
        <v>1187.31</v>
      </c>
      <c r="O114" s="10">
        <v>1187.31</v>
      </c>
      <c r="P114" s="22">
        <v>46108</v>
      </c>
      <c r="Q114" s="6">
        <v>0</v>
      </c>
    </row>
    <row r="115" spans="1:17" ht="38.4" customHeight="1" x14ac:dyDescent="0.3">
      <c r="A115" s="6">
        <v>511</v>
      </c>
      <c r="B115" s="6" t="s">
        <v>768</v>
      </c>
      <c r="C115" s="6" t="s">
        <v>43</v>
      </c>
      <c r="D115" s="6" t="s">
        <v>44</v>
      </c>
      <c r="E115" s="6" t="s">
        <v>1127</v>
      </c>
      <c r="F115" s="6" t="s">
        <v>4059</v>
      </c>
      <c r="G115" s="6" t="s">
        <v>1130</v>
      </c>
      <c r="H115" s="6" t="s">
        <v>1131</v>
      </c>
      <c r="I115" s="6"/>
      <c r="J115" s="6">
        <v>6</v>
      </c>
      <c r="K115" s="6" t="s">
        <v>19</v>
      </c>
      <c r="L115" s="10">
        <v>197.88499999999999</v>
      </c>
      <c r="M115" s="6" t="s">
        <v>33</v>
      </c>
      <c r="N115" s="10">
        <f>Tabla18[[#This Row],[Price]]*Tabla18[[#This Row],[QTY Adjusted]]</f>
        <v>1187.31</v>
      </c>
      <c r="O115" s="10">
        <v>1187.31</v>
      </c>
      <c r="P115" s="22">
        <v>46108</v>
      </c>
      <c r="Q115" s="6">
        <v>0</v>
      </c>
    </row>
    <row r="116" spans="1:17" ht="38.4" customHeight="1" x14ac:dyDescent="0.3">
      <c r="A116" s="6">
        <v>482</v>
      </c>
      <c r="B116" s="6" t="s">
        <v>768</v>
      </c>
      <c r="C116" s="6" t="s">
        <v>561</v>
      </c>
      <c r="D116" s="6" t="s">
        <v>44</v>
      </c>
      <c r="E116" s="6" t="s">
        <v>1050</v>
      </c>
      <c r="F116" s="6" t="s">
        <v>4059</v>
      </c>
      <c r="G116" s="6" t="s">
        <v>1051</v>
      </c>
      <c r="H116" s="6" t="s">
        <v>1052</v>
      </c>
      <c r="I116" s="6"/>
      <c r="J116" s="6">
        <v>24</v>
      </c>
      <c r="K116" s="6" t="s">
        <v>19</v>
      </c>
      <c r="L116" s="10">
        <v>49.14</v>
      </c>
      <c r="M116" s="6" t="s">
        <v>33</v>
      </c>
      <c r="N116" s="10">
        <f>Tabla18[[#This Row],[Price]]*Tabla18[[#This Row],[QTY Adjusted]]</f>
        <v>1179.3600000000001</v>
      </c>
      <c r="O116" s="10">
        <v>1179.3600000000001</v>
      </c>
      <c r="P116" s="22" t="s">
        <v>4225</v>
      </c>
      <c r="Q116" s="6">
        <v>0</v>
      </c>
    </row>
    <row r="117" spans="1:17" ht="38.4" customHeight="1" x14ac:dyDescent="0.3">
      <c r="A117" s="6">
        <v>344</v>
      </c>
      <c r="B117" s="6" t="s">
        <v>768</v>
      </c>
      <c r="C117" s="6" t="s">
        <v>389</v>
      </c>
      <c r="D117" s="6" t="str">
        <f>Tabla18[[#This Row],[Vendor]]</f>
        <v>Maison Margaux</v>
      </c>
      <c r="E117" s="6" t="s">
        <v>769</v>
      </c>
      <c r="F117" s="6"/>
      <c r="G117" s="6"/>
      <c r="H117" s="6" t="s">
        <v>790</v>
      </c>
      <c r="I117" s="6" t="s">
        <v>791</v>
      </c>
      <c r="J117" s="6">
        <v>35</v>
      </c>
      <c r="K117" s="6" t="s">
        <v>19</v>
      </c>
      <c r="L117" s="10">
        <v>33.340000000000003</v>
      </c>
      <c r="M117" s="6" t="s">
        <v>33</v>
      </c>
      <c r="N117" s="10">
        <f>Tabla18[[#This Row],[Price]]*Tabla18[[#This Row],[QTY Adjusted]]</f>
        <v>1166.9000000000001</v>
      </c>
      <c r="O117" s="10">
        <v>1166.9000000000001</v>
      </c>
      <c r="P117" s="10" t="s">
        <v>4226</v>
      </c>
      <c r="Q117" s="6">
        <v>0</v>
      </c>
    </row>
    <row r="118" spans="1:17" ht="38.4" customHeight="1" x14ac:dyDescent="0.3">
      <c r="A118" s="6">
        <v>507</v>
      </c>
      <c r="B118" s="6" t="s">
        <v>768</v>
      </c>
      <c r="C118" s="6" t="s">
        <v>561</v>
      </c>
      <c r="D118" s="6" t="s">
        <v>44</v>
      </c>
      <c r="E118" s="6" t="s">
        <v>1118</v>
      </c>
      <c r="F118" s="6" t="s">
        <v>4059</v>
      </c>
      <c r="G118" s="6" t="s">
        <v>1119</v>
      </c>
      <c r="H118" s="6" t="s">
        <v>1120</v>
      </c>
      <c r="I118" s="6"/>
      <c r="J118" s="6">
        <v>9</v>
      </c>
      <c r="K118" s="6" t="s">
        <v>19</v>
      </c>
      <c r="L118" s="10">
        <v>128.99250000000001</v>
      </c>
      <c r="M118" s="6" t="s">
        <v>33</v>
      </c>
      <c r="N118" s="10">
        <f>Tabla18[[#This Row],[Price]]*Tabla18[[#This Row],[QTY Adjusted]]</f>
        <v>1160.9325000000001</v>
      </c>
      <c r="O118" s="10">
        <v>1160.9325000000001</v>
      </c>
      <c r="P118" s="22" t="s">
        <v>4225</v>
      </c>
      <c r="Q118" s="6">
        <v>0</v>
      </c>
    </row>
    <row r="119" spans="1:17" ht="38.4" customHeight="1" x14ac:dyDescent="0.3">
      <c r="A119" s="6">
        <v>404</v>
      </c>
      <c r="B119" s="6" t="s">
        <v>768</v>
      </c>
      <c r="C119" s="6" t="s">
        <v>389</v>
      </c>
      <c r="D119" s="6" t="str">
        <f>Tabla18[[#This Row],[Vendor]]</f>
        <v>Maison Margaux</v>
      </c>
      <c r="E119" s="6" t="s">
        <v>823</v>
      </c>
      <c r="F119" s="6"/>
      <c r="G119" s="6"/>
      <c r="H119" s="6" t="s">
        <v>876</v>
      </c>
      <c r="I119" s="6"/>
      <c r="J119" s="6">
        <v>30</v>
      </c>
      <c r="K119" s="6" t="s">
        <v>19</v>
      </c>
      <c r="L119" s="10">
        <v>38.28</v>
      </c>
      <c r="M119" s="6" t="s">
        <v>33</v>
      </c>
      <c r="N119" s="10">
        <f>Tabla18[[#This Row],[Price]]*Tabla18[[#This Row],[QTY Adjusted]]</f>
        <v>1148.4000000000001</v>
      </c>
      <c r="O119" s="10">
        <v>1148.4000000000001</v>
      </c>
      <c r="P119" s="10" t="s">
        <v>4226</v>
      </c>
      <c r="Q119" s="6">
        <v>0</v>
      </c>
    </row>
    <row r="120" spans="1:17" ht="38.4" customHeight="1" x14ac:dyDescent="0.3">
      <c r="A120" s="6">
        <v>494</v>
      </c>
      <c r="B120" s="6" t="s">
        <v>768</v>
      </c>
      <c r="C120" s="6" t="s">
        <v>561</v>
      </c>
      <c r="D120" s="6" t="s">
        <v>44</v>
      </c>
      <c r="E120" s="6" t="s">
        <v>1080</v>
      </c>
      <c r="F120" s="6" t="s">
        <v>4059</v>
      </c>
      <c r="G120" s="6" t="s">
        <v>1081</v>
      </c>
      <c r="H120" s="6" t="s">
        <v>1082</v>
      </c>
      <c r="I120" s="6"/>
      <c r="J120" s="6">
        <v>6</v>
      </c>
      <c r="K120" s="6" t="s">
        <v>19</v>
      </c>
      <c r="L120" s="10">
        <v>188.8775</v>
      </c>
      <c r="M120" s="6" t="s">
        <v>33</v>
      </c>
      <c r="N120" s="10">
        <f>Tabla18[[#This Row],[Price]]*Tabla18[[#This Row],[QTY Adjusted]]</f>
        <v>1133.2649999999999</v>
      </c>
      <c r="O120" s="10">
        <v>1133.2649999999999</v>
      </c>
      <c r="P120" s="22" t="s">
        <v>4225</v>
      </c>
      <c r="Q120" s="6">
        <v>0</v>
      </c>
    </row>
    <row r="121" spans="1:17" ht="38.4" customHeight="1" x14ac:dyDescent="0.3">
      <c r="A121" s="6">
        <v>444</v>
      </c>
      <c r="B121" s="6" t="s">
        <v>768</v>
      </c>
      <c r="C121" s="6" t="s">
        <v>232</v>
      </c>
      <c r="D121" s="6" t="s">
        <v>233</v>
      </c>
      <c r="E121" s="6" t="s">
        <v>142</v>
      </c>
      <c r="F121" s="6" t="s">
        <v>4062</v>
      </c>
      <c r="G121" s="6">
        <v>26.112414999999999</v>
      </c>
      <c r="H121" s="6" t="s">
        <v>951</v>
      </c>
      <c r="I121" s="6"/>
      <c r="J121" s="6">
        <v>106</v>
      </c>
      <c r="K121" s="6" t="s">
        <v>19</v>
      </c>
      <c r="L121" s="10">
        <v>8.9499999999999993</v>
      </c>
      <c r="M121" s="6" t="s">
        <v>33</v>
      </c>
      <c r="N121" s="10">
        <f>Tabla18[[#This Row],[Price]]*Tabla18[[#This Row],[QTY Adjusted]]</f>
        <v>948.69999999999993</v>
      </c>
      <c r="O121" s="10">
        <v>948.69999999999993</v>
      </c>
      <c r="P121" s="10" t="s">
        <v>4239</v>
      </c>
      <c r="Q121" s="6">
        <v>0</v>
      </c>
    </row>
    <row r="122" spans="1:17" ht="38.4" customHeight="1" x14ac:dyDescent="0.3">
      <c r="A122" s="6">
        <v>443</v>
      </c>
      <c r="B122" s="6" t="s">
        <v>768</v>
      </c>
      <c r="C122" s="6" t="s">
        <v>232</v>
      </c>
      <c r="D122" s="6" t="s">
        <v>233</v>
      </c>
      <c r="E122" s="6" t="s">
        <v>949</v>
      </c>
      <c r="F122" s="6" t="s">
        <v>4062</v>
      </c>
      <c r="G122" s="6">
        <v>26.11242</v>
      </c>
      <c r="H122" s="6" t="s">
        <v>950</v>
      </c>
      <c r="I122" s="6"/>
      <c r="J122" s="6">
        <v>106</v>
      </c>
      <c r="K122" s="6" t="s">
        <v>19</v>
      </c>
      <c r="L122" s="10">
        <v>8.8699999999999992</v>
      </c>
      <c r="M122" s="6" t="s">
        <v>33</v>
      </c>
      <c r="N122" s="10">
        <f>Tabla18[[#This Row],[Price]]*Tabla18[[#This Row],[QTY Adjusted]]</f>
        <v>940.21999999999991</v>
      </c>
      <c r="O122" s="10">
        <v>940.21999999999991</v>
      </c>
      <c r="P122" s="10" t="s">
        <v>4239</v>
      </c>
      <c r="Q122" s="6">
        <v>0</v>
      </c>
    </row>
    <row r="123" spans="1:17" ht="38.4" customHeight="1" x14ac:dyDescent="0.3">
      <c r="A123" s="6">
        <v>340</v>
      </c>
      <c r="B123" s="6" t="s">
        <v>768</v>
      </c>
      <c r="C123" s="6" t="s">
        <v>389</v>
      </c>
      <c r="D123" s="6" t="str">
        <f>Tabla18[[#This Row],[Vendor]]</f>
        <v>Maison Margaux</v>
      </c>
      <c r="E123" s="6" t="s">
        <v>769</v>
      </c>
      <c r="F123" s="6"/>
      <c r="G123" s="6"/>
      <c r="H123" s="6" t="s">
        <v>782</v>
      </c>
      <c r="I123" s="6" t="s">
        <v>783</v>
      </c>
      <c r="J123" s="6">
        <v>350</v>
      </c>
      <c r="K123" s="6" t="s">
        <v>19</v>
      </c>
      <c r="L123" s="10">
        <v>2.93</v>
      </c>
      <c r="M123" s="6" t="s">
        <v>33</v>
      </c>
      <c r="N123" s="10">
        <f>Tabla18[[#This Row],[Price]]*Tabla18[[#This Row],[QTY Adjusted]]</f>
        <v>1025.5</v>
      </c>
      <c r="O123" s="10">
        <v>1025.5</v>
      </c>
      <c r="P123" s="10" t="s">
        <v>4226</v>
      </c>
      <c r="Q123" s="6">
        <v>0</v>
      </c>
    </row>
    <row r="124" spans="1:17" ht="38.4" customHeight="1" x14ac:dyDescent="0.3">
      <c r="A124" s="6">
        <v>461</v>
      </c>
      <c r="B124" s="6" t="s">
        <v>768</v>
      </c>
      <c r="C124" s="6" t="s">
        <v>219</v>
      </c>
      <c r="D124" s="6" t="s">
        <v>44</v>
      </c>
      <c r="E124" s="6" t="s">
        <v>994</v>
      </c>
      <c r="F124" s="6" t="s">
        <v>4059</v>
      </c>
      <c r="G124" s="6" t="s">
        <v>995</v>
      </c>
      <c r="H124" s="6" t="s">
        <v>996</v>
      </c>
      <c r="I124" s="6"/>
      <c r="J124" s="6">
        <v>36</v>
      </c>
      <c r="K124" s="6" t="s">
        <v>19</v>
      </c>
      <c r="L124" s="10">
        <v>24.036000000000001</v>
      </c>
      <c r="M124" s="6" t="s">
        <v>33</v>
      </c>
      <c r="N124" s="10">
        <f>Tabla18[[#This Row],[Price]]*Tabla18[[#This Row],[QTY Adjusted]]</f>
        <v>865.29600000000005</v>
      </c>
      <c r="O124" s="10">
        <v>865.29600000000005</v>
      </c>
      <c r="P124" s="22" t="s">
        <v>4225</v>
      </c>
      <c r="Q124" s="6">
        <v>0</v>
      </c>
    </row>
    <row r="125" spans="1:17" ht="38.4" customHeight="1" x14ac:dyDescent="0.3">
      <c r="A125" s="6">
        <v>552</v>
      </c>
      <c r="B125" s="6" t="s">
        <v>768</v>
      </c>
      <c r="C125" s="6" t="s">
        <v>325</v>
      </c>
      <c r="D125" s="6" t="str">
        <f>Tabla18[[#This Row],[Vendor]]</f>
        <v>John Boos</v>
      </c>
      <c r="E125" s="6" t="s">
        <v>327</v>
      </c>
      <c r="F125" s="6" t="s">
        <v>4059</v>
      </c>
      <c r="G125" s="6" t="s">
        <v>326</v>
      </c>
      <c r="H125" s="20" t="s">
        <v>328</v>
      </c>
      <c r="I125" s="20"/>
      <c r="J125" s="6">
        <v>4</v>
      </c>
      <c r="K125" s="6" t="s">
        <v>19</v>
      </c>
      <c r="L125" s="10">
        <v>250</v>
      </c>
      <c r="M125" s="6" t="s">
        <v>33</v>
      </c>
      <c r="N125" s="10">
        <f>Tabla18[[#This Row],[Price]]*Tabla18[[#This Row],[QTY Adjusted]]</f>
        <v>1000</v>
      </c>
      <c r="O125" s="10">
        <v>1000</v>
      </c>
      <c r="P125" s="10" t="s">
        <v>4218</v>
      </c>
      <c r="Q125" s="6" t="s">
        <v>4245</v>
      </c>
    </row>
    <row r="126" spans="1:17" ht="38.4" customHeight="1" x14ac:dyDescent="0.3">
      <c r="A126" s="6">
        <v>436</v>
      </c>
      <c r="B126" s="6" t="s">
        <v>768</v>
      </c>
      <c r="C126" s="6" t="s">
        <v>130</v>
      </c>
      <c r="D126" s="6" t="s">
        <v>130</v>
      </c>
      <c r="E126" s="6" t="s">
        <v>939</v>
      </c>
      <c r="F126" s="6" t="s">
        <v>4059</v>
      </c>
      <c r="G126" s="6" t="s">
        <v>940</v>
      </c>
      <c r="H126" s="6" t="s">
        <v>941</v>
      </c>
      <c r="I126" s="6"/>
      <c r="J126" s="6">
        <v>94</v>
      </c>
      <c r="K126" s="6" t="s">
        <v>19</v>
      </c>
      <c r="L126" s="10">
        <v>8.8771950496779404</v>
      </c>
      <c r="M126" s="6" t="s">
        <v>33</v>
      </c>
      <c r="N126" s="10">
        <f>Tabla18[[#This Row],[Price]]*Tabla18[[#This Row],[QTY Adjusted]]</f>
        <v>834.4563346697264</v>
      </c>
      <c r="O126" s="10">
        <v>834.4563346697264</v>
      </c>
      <c r="P126" s="10" t="s">
        <v>4225</v>
      </c>
      <c r="Q126" s="6">
        <v>0</v>
      </c>
    </row>
    <row r="127" spans="1:17" ht="38.4" customHeight="1" x14ac:dyDescent="0.3">
      <c r="A127" s="6">
        <v>405</v>
      </c>
      <c r="B127" s="6" t="s">
        <v>768</v>
      </c>
      <c r="C127" s="6" t="s">
        <v>389</v>
      </c>
      <c r="D127" s="6" t="str">
        <f>Tabla18[[#This Row],[Vendor]]</f>
        <v>Maison Margaux</v>
      </c>
      <c r="E127" s="6" t="s">
        <v>823</v>
      </c>
      <c r="F127" s="6"/>
      <c r="G127" s="6"/>
      <c r="H127" s="6" t="s">
        <v>877</v>
      </c>
      <c r="I127" s="6"/>
      <c r="J127" s="6">
        <v>30</v>
      </c>
      <c r="K127" s="6" t="s">
        <v>19</v>
      </c>
      <c r="L127" s="10">
        <v>31.68</v>
      </c>
      <c r="M127" s="6" t="s">
        <v>33</v>
      </c>
      <c r="N127" s="10">
        <f>Tabla18[[#This Row],[Price]]*Tabla18[[#This Row],[QTY Adjusted]]</f>
        <v>950.4</v>
      </c>
      <c r="O127" s="10">
        <v>950.4</v>
      </c>
      <c r="P127" s="10" t="s">
        <v>4226</v>
      </c>
      <c r="Q127" s="6">
        <v>0</v>
      </c>
    </row>
    <row r="128" spans="1:17" ht="38.4" customHeight="1" x14ac:dyDescent="0.3">
      <c r="A128" s="6">
        <v>429</v>
      </c>
      <c r="B128" s="6" t="s">
        <v>768</v>
      </c>
      <c r="C128" s="6" t="s">
        <v>502</v>
      </c>
      <c r="D128" s="6" t="str">
        <f>Tabla18[[#This Row],[Vendor]]</f>
        <v>Hacha</v>
      </c>
      <c r="E128" s="6" t="s">
        <v>920</v>
      </c>
      <c r="F128" s="6" t="s">
        <v>4059</v>
      </c>
      <c r="G128" s="6" t="s">
        <v>921</v>
      </c>
      <c r="H128" s="6" t="s">
        <v>922</v>
      </c>
      <c r="I128" s="6"/>
      <c r="J128" s="6">
        <v>47</v>
      </c>
      <c r="K128" s="6" t="s">
        <v>19</v>
      </c>
      <c r="L128" s="10">
        <v>331</v>
      </c>
      <c r="M128" s="6" t="s">
        <v>20</v>
      </c>
      <c r="N128" s="10">
        <f>Tabla18[[#This Row],[Price]]*Tabla18[[#This Row],[QTY Adjusted]]</f>
        <v>15557</v>
      </c>
      <c r="O128" s="10">
        <v>797.79487179487182</v>
      </c>
      <c r="P128" s="10" t="s">
        <v>4226</v>
      </c>
      <c r="Q128" s="6">
        <v>0</v>
      </c>
    </row>
    <row r="129" spans="1:17" ht="38.4" customHeight="1" x14ac:dyDescent="0.3">
      <c r="A129" s="6">
        <v>445</v>
      </c>
      <c r="B129" s="6" t="s">
        <v>768</v>
      </c>
      <c r="C129" s="6" t="s">
        <v>134</v>
      </c>
      <c r="D129" s="6" t="s">
        <v>44</v>
      </c>
      <c r="E129" s="6" t="s">
        <v>156</v>
      </c>
      <c r="F129" s="6" t="s">
        <v>4062</v>
      </c>
      <c r="G129" s="6" t="s">
        <v>952</v>
      </c>
      <c r="H129" s="6" t="s">
        <v>953</v>
      </c>
      <c r="I129" s="6"/>
      <c r="J129" s="6">
        <v>128</v>
      </c>
      <c r="K129" s="6" t="s">
        <v>19</v>
      </c>
      <c r="L129" s="10">
        <v>6.0839999999999996</v>
      </c>
      <c r="M129" s="6" t="s">
        <v>33</v>
      </c>
      <c r="N129" s="10">
        <f>Tabla18[[#This Row],[Price]]*Tabla18[[#This Row],[QTY Adjusted]]</f>
        <v>778.75199999999995</v>
      </c>
      <c r="O129" s="10">
        <v>778.75199999999995</v>
      </c>
      <c r="P129" s="22">
        <v>46096</v>
      </c>
      <c r="Q129" s="6">
        <v>0</v>
      </c>
    </row>
    <row r="130" spans="1:17" ht="38.4" customHeight="1" x14ac:dyDescent="0.3">
      <c r="A130" s="6">
        <v>514</v>
      </c>
      <c r="B130" s="6" t="s">
        <v>768</v>
      </c>
      <c r="C130" s="6" t="s">
        <v>43</v>
      </c>
      <c r="D130" s="6" t="s">
        <v>44</v>
      </c>
      <c r="E130" s="6" t="s">
        <v>1137</v>
      </c>
      <c r="F130" s="6" t="s">
        <v>4059</v>
      </c>
      <c r="G130" s="6" t="s">
        <v>1138</v>
      </c>
      <c r="H130" s="6" t="s">
        <v>1139</v>
      </c>
      <c r="I130" s="6"/>
      <c r="J130" s="6">
        <v>6</v>
      </c>
      <c r="K130" s="6" t="s">
        <v>19</v>
      </c>
      <c r="L130" s="10">
        <v>146.315</v>
      </c>
      <c r="M130" s="6" t="s">
        <v>33</v>
      </c>
      <c r="N130" s="10">
        <f>Tabla18[[#This Row],[Price]]*Tabla18[[#This Row],[QTY Adjusted]]</f>
        <v>877.89</v>
      </c>
      <c r="O130" s="10">
        <v>877.89</v>
      </c>
      <c r="P130" s="22">
        <v>46108</v>
      </c>
      <c r="Q130" s="6">
        <v>0</v>
      </c>
    </row>
    <row r="131" spans="1:17" ht="38.4" customHeight="1" x14ac:dyDescent="0.3">
      <c r="A131" s="6">
        <v>501</v>
      </c>
      <c r="B131" s="6" t="s">
        <v>768</v>
      </c>
      <c r="C131" s="6" t="s">
        <v>561</v>
      </c>
      <c r="D131" s="6" t="s">
        <v>44</v>
      </c>
      <c r="E131" s="6" t="s">
        <v>1101</v>
      </c>
      <c r="F131" s="6" t="s">
        <v>4059</v>
      </c>
      <c r="G131" s="6" t="s">
        <v>1102</v>
      </c>
      <c r="H131" s="6" t="s">
        <v>1103</v>
      </c>
      <c r="I131" s="6"/>
      <c r="J131" s="6">
        <v>6</v>
      </c>
      <c r="K131" s="6" t="s">
        <v>19</v>
      </c>
      <c r="L131" s="10">
        <v>145.9325</v>
      </c>
      <c r="M131" s="6" t="s">
        <v>33</v>
      </c>
      <c r="N131" s="10">
        <f>Tabla18[[#This Row],[Price]]*Tabla18[[#This Row],[QTY Adjusted]]</f>
        <v>875.59500000000003</v>
      </c>
      <c r="O131" s="10">
        <v>875.59500000000003</v>
      </c>
      <c r="P131" s="22" t="s">
        <v>4225</v>
      </c>
      <c r="Q131" s="6">
        <v>0</v>
      </c>
    </row>
    <row r="132" spans="1:17" ht="38.4" customHeight="1" x14ac:dyDescent="0.3">
      <c r="A132" s="6">
        <v>431</v>
      </c>
      <c r="B132" s="6" t="s">
        <v>768</v>
      </c>
      <c r="C132" s="6" t="s">
        <v>502</v>
      </c>
      <c r="D132" s="6" t="str">
        <f>Tabla18[[#This Row],[Vendor]]</f>
        <v>Hacha</v>
      </c>
      <c r="E132" s="6" t="s">
        <v>926</v>
      </c>
      <c r="F132" s="6" t="s">
        <v>4059</v>
      </c>
      <c r="G132" s="6" t="s">
        <v>927</v>
      </c>
      <c r="H132" s="6" t="s">
        <v>928</v>
      </c>
      <c r="I132" s="6"/>
      <c r="J132" s="6">
        <v>47</v>
      </c>
      <c r="K132" s="6" t="s">
        <v>19</v>
      </c>
      <c r="L132" s="10">
        <v>304</v>
      </c>
      <c r="M132" s="6" t="s">
        <v>20</v>
      </c>
      <c r="N132" s="10">
        <f>Tabla18[[#This Row],[Price]]*Tabla18[[#This Row],[QTY Adjusted]]</f>
        <v>14288</v>
      </c>
      <c r="O132" s="10">
        <v>732.71794871794873</v>
      </c>
      <c r="P132" s="10" t="s">
        <v>4226</v>
      </c>
      <c r="Q132" s="6">
        <v>0</v>
      </c>
    </row>
    <row r="133" spans="1:17" ht="38.4" customHeight="1" x14ac:dyDescent="0.3">
      <c r="A133" s="6">
        <v>457</v>
      </c>
      <c r="B133" s="6" t="s">
        <v>768</v>
      </c>
      <c r="C133" s="6" t="s">
        <v>219</v>
      </c>
      <c r="D133" s="6" t="s">
        <v>44</v>
      </c>
      <c r="E133" s="6" t="s">
        <v>979</v>
      </c>
      <c r="F133" s="6" t="s">
        <v>4059</v>
      </c>
      <c r="G133" s="6" t="s">
        <v>982</v>
      </c>
      <c r="H133" s="6" t="s">
        <v>983</v>
      </c>
      <c r="I133" s="6"/>
      <c r="J133" s="6">
        <v>36</v>
      </c>
      <c r="K133" s="6" t="s">
        <v>19</v>
      </c>
      <c r="L133" s="10">
        <v>23.687999999999999</v>
      </c>
      <c r="M133" s="6" t="s">
        <v>33</v>
      </c>
      <c r="N133" s="10">
        <f>Tabla18[[#This Row],[Price]]*Tabla18[[#This Row],[QTY Adjusted]]</f>
        <v>852.76799999999992</v>
      </c>
      <c r="O133" s="10">
        <v>852.76799999999992</v>
      </c>
      <c r="P133" s="22" t="s">
        <v>4225</v>
      </c>
      <c r="Q133" s="6">
        <v>0</v>
      </c>
    </row>
    <row r="134" spans="1:17" ht="38.4" customHeight="1" x14ac:dyDescent="0.3">
      <c r="A134" s="6">
        <v>522</v>
      </c>
      <c r="B134" s="6" t="s">
        <v>768</v>
      </c>
      <c r="C134" s="6" t="s">
        <v>237</v>
      </c>
      <c r="D134" s="6" t="s">
        <v>93</v>
      </c>
      <c r="E134" s="6" t="s">
        <v>239</v>
      </c>
      <c r="F134" s="6" t="s">
        <v>4059</v>
      </c>
      <c r="G134" s="6" t="s">
        <v>1155</v>
      </c>
      <c r="H134" s="6" t="s">
        <v>1156</v>
      </c>
      <c r="I134" s="6"/>
      <c r="J134" s="6">
        <v>4</v>
      </c>
      <c r="K134" s="6" t="s">
        <v>19</v>
      </c>
      <c r="L134" s="10">
        <v>206.91</v>
      </c>
      <c r="M134" s="6" t="s">
        <v>33</v>
      </c>
      <c r="N134" s="10">
        <f>Tabla18[[#This Row],[Price]]*Tabla18[[#This Row],[QTY Adjusted]]</f>
        <v>827.64</v>
      </c>
      <c r="O134" s="10">
        <v>827.64</v>
      </c>
      <c r="P134" s="10" t="s">
        <v>4225</v>
      </c>
      <c r="Q134" s="6">
        <v>0</v>
      </c>
    </row>
    <row r="135" spans="1:17" ht="38.4" customHeight="1" x14ac:dyDescent="0.3">
      <c r="A135" s="6">
        <v>420</v>
      </c>
      <c r="B135" s="6" t="s">
        <v>768</v>
      </c>
      <c r="C135" s="6" t="s">
        <v>561</v>
      </c>
      <c r="D135" s="6" t="s">
        <v>44</v>
      </c>
      <c r="E135" s="6" t="s">
        <v>895</v>
      </c>
      <c r="F135" s="6" t="s">
        <v>4059</v>
      </c>
      <c r="G135" s="6" t="s">
        <v>562</v>
      </c>
      <c r="H135" s="6" t="s">
        <v>896</v>
      </c>
      <c r="I135" s="6"/>
      <c r="J135" s="6">
        <v>30</v>
      </c>
      <c r="K135" s="6" t="s">
        <v>19</v>
      </c>
      <c r="L135" s="10">
        <v>26.565000000000001</v>
      </c>
      <c r="M135" s="6" t="s">
        <v>33</v>
      </c>
      <c r="N135" s="10">
        <f>Tabla18[[#This Row],[Price]]*Tabla18[[#This Row],[QTY Adjusted]]</f>
        <v>796.95</v>
      </c>
      <c r="O135" s="10">
        <v>796.95</v>
      </c>
      <c r="P135" s="22">
        <v>46096</v>
      </c>
      <c r="Q135" s="6">
        <v>0</v>
      </c>
    </row>
    <row r="136" spans="1:17" ht="38.4" customHeight="1" x14ac:dyDescent="0.3">
      <c r="A136" s="6">
        <v>479</v>
      </c>
      <c r="B136" s="6" t="s">
        <v>768</v>
      </c>
      <c r="C136" s="6" t="s">
        <v>561</v>
      </c>
      <c r="D136" s="6" t="s">
        <v>44</v>
      </c>
      <c r="E136" s="6" t="s">
        <v>1042</v>
      </c>
      <c r="F136" s="6" t="s">
        <v>4059</v>
      </c>
      <c r="G136" s="6" t="s">
        <v>1043</v>
      </c>
      <c r="H136" s="6" t="s">
        <v>1044</v>
      </c>
      <c r="I136" s="6"/>
      <c r="J136" s="6">
        <v>1</v>
      </c>
      <c r="K136" s="6" t="s">
        <v>19</v>
      </c>
      <c r="L136" s="10">
        <v>795.46249999999998</v>
      </c>
      <c r="M136" s="6" t="s">
        <v>33</v>
      </c>
      <c r="N136" s="10">
        <f>Tabla18[[#This Row],[Price]]*Tabla18[[#This Row],[QTY Adjusted]]</f>
        <v>795.46249999999998</v>
      </c>
      <c r="O136" s="10">
        <v>795.46249999999998</v>
      </c>
      <c r="P136" s="22" t="s">
        <v>4225</v>
      </c>
      <c r="Q136" s="6">
        <v>0</v>
      </c>
    </row>
    <row r="137" spans="1:17" ht="38.4" customHeight="1" x14ac:dyDescent="0.3">
      <c r="A137" s="6">
        <v>503</v>
      </c>
      <c r="B137" s="6" t="s">
        <v>768</v>
      </c>
      <c r="C137" s="6" t="s">
        <v>561</v>
      </c>
      <c r="D137" s="6" t="s">
        <v>44</v>
      </c>
      <c r="E137" s="6" t="s">
        <v>1107</v>
      </c>
      <c r="F137" s="6" t="s">
        <v>4059</v>
      </c>
      <c r="G137" s="6" t="s">
        <v>1108</v>
      </c>
      <c r="H137" s="6" t="s">
        <v>1109</v>
      </c>
      <c r="I137" s="6"/>
      <c r="J137" s="6">
        <v>6</v>
      </c>
      <c r="K137" s="6" t="s">
        <v>19</v>
      </c>
      <c r="L137" s="10">
        <v>129.9375</v>
      </c>
      <c r="M137" s="6" t="s">
        <v>33</v>
      </c>
      <c r="N137" s="10">
        <f>Tabla18[[#This Row],[Price]]*Tabla18[[#This Row],[QTY Adjusted]]</f>
        <v>779.625</v>
      </c>
      <c r="O137" s="10">
        <v>779.625</v>
      </c>
      <c r="P137" s="22" t="s">
        <v>4225</v>
      </c>
      <c r="Q137" s="6">
        <v>0</v>
      </c>
    </row>
    <row r="138" spans="1:17" ht="38.4" customHeight="1" x14ac:dyDescent="0.3">
      <c r="A138" s="6">
        <v>413</v>
      </c>
      <c r="B138" s="6" t="s">
        <v>768</v>
      </c>
      <c r="C138" s="6" t="s">
        <v>389</v>
      </c>
      <c r="D138" s="6" t="str">
        <f>Tabla18[[#This Row],[Vendor]]</f>
        <v>Maison Margaux</v>
      </c>
      <c r="E138" s="6" t="s">
        <v>823</v>
      </c>
      <c r="F138" s="6"/>
      <c r="G138" s="6"/>
      <c r="H138" s="6" t="s">
        <v>885</v>
      </c>
      <c r="I138" s="6"/>
      <c r="J138" s="6">
        <v>10</v>
      </c>
      <c r="K138" s="6" t="s">
        <v>19</v>
      </c>
      <c r="L138" s="10">
        <v>77.38</v>
      </c>
      <c r="M138" s="6" t="s">
        <v>33</v>
      </c>
      <c r="N138" s="10">
        <f>Tabla18[[#This Row],[Price]]*Tabla18[[#This Row],[QTY Adjusted]]</f>
        <v>773.8</v>
      </c>
      <c r="O138" s="10">
        <v>773.8</v>
      </c>
      <c r="P138" s="10" t="s">
        <v>4226</v>
      </c>
      <c r="Q138" s="6">
        <v>0</v>
      </c>
    </row>
    <row r="139" spans="1:17" ht="38.4" customHeight="1" x14ac:dyDescent="0.3">
      <c r="A139" s="6">
        <v>519</v>
      </c>
      <c r="B139" s="6" t="s">
        <v>768</v>
      </c>
      <c r="C139" s="6" t="s">
        <v>1148</v>
      </c>
      <c r="D139" s="6" t="s">
        <v>1490</v>
      </c>
      <c r="E139" s="6" t="s">
        <v>1149</v>
      </c>
      <c r="F139" s="6" t="s">
        <v>4059</v>
      </c>
      <c r="G139" s="6" t="s">
        <v>1150</v>
      </c>
      <c r="H139" s="6" t="s">
        <v>1151</v>
      </c>
      <c r="I139" s="6"/>
      <c r="J139" s="6">
        <v>6</v>
      </c>
      <c r="K139" s="6" t="s">
        <v>19</v>
      </c>
      <c r="L139" s="10">
        <v>128.57</v>
      </c>
      <c r="M139" s="6" t="s">
        <v>33</v>
      </c>
      <c r="N139" s="10">
        <f>Tabla18[[#This Row],[Price]]*Tabla18[[#This Row],[QTY Adjusted]]</f>
        <v>771.42</v>
      </c>
      <c r="O139" s="10">
        <v>771.42</v>
      </c>
      <c r="P139" s="10" t="s">
        <v>4225</v>
      </c>
      <c r="Q139" s="6">
        <v>0</v>
      </c>
    </row>
    <row r="140" spans="1:17" ht="38.4" customHeight="1" x14ac:dyDescent="0.3">
      <c r="A140" s="6">
        <v>523</v>
      </c>
      <c r="B140" s="6" t="s">
        <v>768</v>
      </c>
      <c r="C140" s="6" t="s">
        <v>223</v>
      </c>
      <c r="D140" s="6" t="s">
        <v>199</v>
      </c>
      <c r="E140" s="6" t="s">
        <v>242</v>
      </c>
      <c r="F140" s="6" t="s">
        <v>4059</v>
      </c>
      <c r="G140" s="6" t="s">
        <v>1157</v>
      </c>
      <c r="H140" s="6" t="s">
        <v>1158</v>
      </c>
      <c r="I140" s="6"/>
      <c r="J140" s="6">
        <v>2</v>
      </c>
      <c r="K140" s="6" t="s">
        <v>19</v>
      </c>
      <c r="L140" s="10">
        <v>367.85883749999994</v>
      </c>
      <c r="M140" s="6" t="s">
        <v>33</v>
      </c>
      <c r="N140" s="10">
        <f>Tabla18[[#This Row],[Price]]*Tabla18[[#This Row],[QTY Adjusted]]</f>
        <v>735.71767499999987</v>
      </c>
      <c r="O140" s="10">
        <v>735.71767499999987</v>
      </c>
      <c r="P140" s="10" t="s">
        <v>4239</v>
      </c>
      <c r="Q140" s="6">
        <v>0</v>
      </c>
    </row>
    <row r="141" spans="1:17" ht="38.4" customHeight="1" x14ac:dyDescent="0.3">
      <c r="A141" s="6">
        <v>525</v>
      </c>
      <c r="B141" s="6" t="s">
        <v>768</v>
      </c>
      <c r="C141" s="6" t="s">
        <v>228</v>
      </c>
      <c r="D141" s="6" t="s">
        <v>44</v>
      </c>
      <c r="E141" s="6" t="s">
        <v>248</v>
      </c>
      <c r="F141" s="6" t="s">
        <v>4059</v>
      </c>
      <c r="G141" s="6" t="s">
        <v>247</v>
      </c>
      <c r="H141" s="20" t="s">
        <v>249</v>
      </c>
      <c r="I141" s="20"/>
      <c r="J141" s="6">
        <v>0</v>
      </c>
      <c r="K141" s="6" t="s">
        <v>748</v>
      </c>
      <c r="L141" s="10">
        <v>364.5</v>
      </c>
      <c r="M141" s="6" t="s">
        <v>33</v>
      </c>
      <c r="N141" s="10">
        <f>Tabla18[[#This Row],[Price]]*Tabla18[[#This Row],[QTY Adjusted]]</f>
        <v>0</v>
      </c>
      <c r="O141" s="10">
        <v>0</v>
      </c>
      <c r="P141" s="10" t="s">
        <v>4240</v>
      </c>
      <c r="Q141" s="6" t="s">
        <v>4245</v>
      </c>
    </row>
    <row r="142" spans="1:17" ht="38.4" customHeight="1" x14ac:dyDescent="0.3">
      <c r="A142" s="6">
        <v>526</v>
      </c>
      <c r="B142" s="6" t="s">
        <v>768</v>
      </c>
      <c r="C142" s="6" t="s">
        <v>228</v>
      </c>
      <c r="D142" s="6" t="s">
        <v>44</v>
      </c>
      <c r="E142" s="6" t="s">
        <v>248</v>
      </c>
      <c r="F142" s="6" t="s">
        <v>4059</v>
      </c>
      <c r="G142" s="6" t="s">
        <v>250</v>
      </c>
      <c r="H142" s="20" t="s">
        <v>251</v>
      </c>
      <c r="I142" s="20"/>
      <c r="J142" s="6">
        <v>0</v>
      </c>
      <c r="K142" s="6" t="s">
        <v>748</v>
      </c>
      <c r="L142" s="10">
        <v>364.5</v>
      </c>
      <c r="M142" s="6" t="s">
        <v>33</v>
      </c>
      <c r="N142" s="10">
        <f>Tabla18[[#This Row],[Price]]*Tabla18[[#This Row],[QTY Adjusted]]</f>
        <v>0</v>
      </c>
      <c r="O142" s="10">
        <v>0</v>
      </c>
      <c r="P142" s="10" t="s">
        <v>4240</v>
      </c>
      <c r="Q142" s="6" t="s">
        <v>4245</v>
      </c>
    </row>
    <row r="143" spans="1:17" ht="38.4" customHeight="1" x14ac:dyDescent="0.3">
      <c r="A143" s="6">
        <v>527</v>
      </c>
      <c r="B143" s="6" t="s">
        <v>768</v>
      </c>
      <c r="C143" s="6" t="s">
        <v>228</v>
      </c>
      <c r="D143" s="6" t="s">
        <v>44</v>
      </c>
      <c r="E143" s="6" t="s">
        <v>248</v>
      </c>
      <c r="F143" s="6" t="s">
        <v>4059</v>
      </c>
      <c r="G143" s="6" t="s">
        <v>252</v>
      </c>
      <c r="H143" s="20" t="s">
        <v>253</v>
      </c>
      <c r="I143" s="20"/>
      <c r="J143" s="6">
        <v>0</v>
      </c>
      <c r="K143" s="6" t="s">
        <v>748</v>
      </c>
      <c r="L143" s="10">
        <v>364.5</v>
      </c>
      <c r="M143" s="6" t="s">
        <v>33</v>
      </c>
      <c r="N143" s="10">
        <f>Tabla18[[#This Row],[Price]]*Tabla18[[#This Row],[QTY Adjusted]]</f>
        <v>0</v>
      </c>
      <c r="O143" s="10">
        <v>0</v>
      </c>
      <c r="P143" s="10" t="s">
        <v>4240</v>
      </c>
      <c r="Q143" s="6" t="s">
        <v>4245</v>
      </c>
    </row>
    <row r="144" spans="1:17" ht="38.4" customHeight="1" x14ac:dyDescent="0.3">
      <c r="A144" s="6">
        <v>528</v>
      </c>
      <c r="B144" s="6" t="s">
        <v>768</v>
      </c>
      <c r="C144" s="6" t="s">
        <v>228</v>
      </c>
      <c r="D144" s="6" t="s">
        <v>44</v>
      </c>
      <c r="E144" s="6" t="s">
        <v>248</v>
      </c>
      <c r="F144" s="6" t="s">
        <v>4059</v>
      </c>
      <c r="G144" s="6" t="s">
        <v>254</v>
      </c>
      <c r="H144" s="20" t="s">
        <v>255</v>
      </c>
      <c r="I144" s="20"/>
      <c r="J144" s="6">
        <v>0</v>
      </c>
      <c r="K144" s="6" t="s">
        <v>748</v>
      </c>
      <c r="L144" s="10">
        <v>364.5</v>
      </c>
      <c r="M144" s="6" t="s">
        <v>33</v>
      </c>
      <c r="N144" s="10">
        <f>Tabla18[[#This Row],[Price]]*Tabla18[[#This Row],[QTY Adjusted]]</f>
        <v>0</v>
      </c>
      <c r="O144" s="10">
        <v>0</v>
      </c>
      <c r="P144" s="10" t="s">
        <v>4240</v>
      </c>
      <c r="Q144" s="6" t="s">
        <v>4245</v>
      </c>
    </row>
    <row r="145" spans="1:17" ht="38.4" customHeight="1" x14ac:dyDescent="0.3">
      <c r="A145" s="6">
        <v>529</v>
      </c>
      <c r="B145" s="6" t="s">
        <v>768</v>
      </c>
      <c r="C145" s="6" t="s">
        <v>228</v>
      </c>
      <c r="D145" s="6" t="s">
        <v>44</v>
      </c>
      <c r="E145" s="6" t="s">
        <v>248</v>
      </c>
      <c r="F145" s="6" t="s">
        <v>4059</v>
      </c>
      <c r="G145" s="6" t="s">
        <v>256</v>
      </c>
      <c r="H145" s="20" t="s">
        <v>257</v>
      </c>
      <c r="I145" s="20"/>
      <c r="J145" s="6">
        <v>0</v>
      </c>
      <c r="K145" s="6" t="s">
        <v>748</v>
      </c>
      <c r="L145" s="10">
        <v>364.5</v>
      </c>
      <c r="M145" s="6" t="s">
        <v>33</v>
      </c>
      <c r="N145" s="10">
        <f>Tabla18[[#This Row],[Price]]*Tabla18[[#This Row],[QTY Adjusted]]</f>
        <v>0</v>
      </c>
      <c r="O145" s="10">
        <v>0</v>
      </c>
      <c r="P145" s="10" t="s">
        <v>4240</v>
      </c>
      <c r="Q145" s="6" t="s">
        <v>4245</v>
      </c>
    </row>
    <row r="146" spans="1:17" ht="38.4" customHeight="1" x14ac:dyDescent="0.3">
      <c r="A146" s="6">
        <v>530</v>
      </c>
      <c r="B146" s="6" t="s">
        <v>768</v>
      </c>
      <c r="C146" s="6" t="s">
        <v>228</v>
      </c>
      <c r="D146" s="6" t="s">
        <v>44</v>
      </c>
      <c r="E146" s="6" t="s">
        <v>248</v>
      </c>
      <c r="F146" s="6" t="s">
        <v>4059</v>
      </c>
      <c r="G146" s="6" t="s">
        <v>258</v>
      </c>
      <c r="H146" s="20" t="s">
        <v>259</v>
      </c>
      <c r="I146" s="20"/>
      <c r="J146" s="6">
        <v>0</v>
      </c>
      <c r="K146" s="6" t="s">
        <v>748</v>
      </c>
      <c r="L146" s="10">
        <v>364.5</v>
      </c>
      <c r="M146" s="6" t="s">
        <v>33</v>
      </c>
      <c r="N146" s="10">
        <f>Tabla18[[#This Row],[Price]]*Tabla18[[#This Row],[QTY Adjusted]]</f>
        <v>0</v>
      </c>
      <c r="O146" s="10">
        <v>0</v>
      </c>
      <c r="P146" s="10" t="s">
        <v>4240</v>
      </c>
      <c r="Q146" s="6" t="s">
        <v>4245</v>
      </c>
    </row>
    <row r="147" spans="1:17" ht="38.4" customHeight="1" x14ac:dyDescent="0.3">
      <c r="A147" s="6">
        <v>531</v>
      </c>
      <c r="B147" s="6" t="s">
        <v>768</v>
      </c>
      <c r="C147" s="6" t="s">
        <v>228</v>
      </c>
      <c r="D147" s="6" t="s">
        <v>44</v>
      </c>
      <c r="E147" s="6" t="s">
        <v>248</v>
      </c>
      <c r="F147" s="6" t="s">
        <v>4059</v>
      </c>
      <c r="G147" s="6" t="s">
        <v>260</v>
      </c>
      <c r="H147" s="20" t="s">
        <v>261</v>
      </c>
      <c r="I147" s="20"/>
      <c r="J147" s="6">
        <v>0</v>
      </c>
      <c r="K147" s="6" t="s">
        <v>748</v>
      </c>
      <c r="L147" s="10">
        <v>364.5</v>
      </c>
      <c r="M147" s="6" t="s">
        <v>33</v>
      </c>
      <c r="N147" s="10">
        <f>Tabla18[[#This Row],[Price]]*Tabla18[[#This Row],[QTY Adjusted]]</f>
        <v>0</v>
      </c>
      <c r="O147" s="10">
        <v>0</v>
      </c>
      <c r="P147" s="10" t="s">
        <v>4240</v>
      </c>
      <c r="Q147" s="6" t="s">
        <v>4245</v>
      </c>
    </row>
    <row r="148" spans="1:17" ht="38.4" customHeight="1" x14ac:dyDescent="0.3">
      <c r="A148" s="6">
        <v>532</v>
      </c>
      <c r="B148" s="6" t="s">
        <v>768</v>
      </c>
      <c r="C148" s="6" t="s">
        <v>228</v>
      </c>
      <c r="D148" s="6" t="s">
        <v>44</v>
      </c>
      <c r="E148" s="6" t="s">
        <v>248</v>
      </c>
      <c r="F148" s="6" t="s">
        <v>4059</v>
      </c>
      <c r="G148" s="6" t="s">
        <v>262</v>
      </c>
      <c r="H148" s="20" t="s">
        <v>263</v>
      </c>
      <c r="I148" s="20"/>
      <c r="J148" s="6">
        <v>0</v>
      </c>
      <c r="K148" s="6" t="s">
        <v>748</v>
      </c>
      <c r="L148" s="10">
        <v>364.5</v>
      </c>
      <c r="M148" s="6" t="s">
        <v>33</v>
      </c>
      <c r="N148" s="10">
        <f>Tabla18[[#This Row],[Price]]*Tabla18[[#This Row],[QTY Adjusted]]</f>
        <v>0</v>
      </c>
      <c r="O148" s="10">
        <v>0</v>
      </c>
      <c r="P148" s="10" t="s">
        <v>4240</v>
      </c>
      <c r="Q148" s="6" t="s">
        <v>4245</v>
      </c>
    </row>
    <row r="149" spans="1:17" ht="38.4" customHeight="1" x14ac:dyDescent="0.3">
      <c r="A149" s="6">
        <v>533</v>
      </c>
      <c r="B149" s="6" t="s">
        <v>768</v>
      </c>
      <c r="C149" s="6" t="s">
        <v>228</v>
      </c>
      <c r="D149" s="6" t="s">
        <v>44</v>
      </c>
      <c r="E149" s="6" t="s">
        <v>248</v>
      </c>
      <c r="F149" s="6" t="s">
        <v>4059</v>
      </c>
      <c r="G149" s="6" t="s">
        <v>264</v>
      </c>
      <c r="H149" s="20" t="s">
        <v>265</v>
      </c>
      <c r="I149" s="20"/>
      <c r="J149" s="6">
        <v>0</v>
      </c>
      <c r="K149" s="6" t="s">
        <v>748</v>
      </c>
      <c r="L149" s="10">
        <v>364.5</v>
      </c>
      <c r="M149" s="6" t="s">
        <v>33</v>
      </c>
      <c r="N149" s="10">
        <f>Tabla18[[#This Row],[Price]]*Tabla18[[#This Row],[QTY Adjusted]]</f>
        <v>0</v>
      </c>
      <c r="O149" s="10">
        <v>0</v>
      </c>
      <c r="P149" s="10" t="s">
        <v>4240</v>
      </c>
      <c r="Q149" s="6" t="s">
        <v>4245</v>
      </c>
    </row>
    <row r="150" spans="1:17" ht="38.4" customHeight="1" x14ac:dyDescent="0.3">
      <c r="A150" s="6">
        <v>347</v>
      </c>
      <c r="B150" s="6" t="s">
        <v>768</v>
      </c>
      <c r="C150" s="6" t="s">
        <v>389</v>
      </c>
      <c r="D150" s="6" t="str">
        <f>Tabla18[[#This Row],[Vendor]]</f>
        <v>Maison Margaux</v>
      </c>
      <c r="E150" s="6" t="s">
        <v>769</v>
      </c>
      <c r="F150" s="6"/>
      <c r="G150" s="6"/>
      <c r="H150" s="6" t="s">
        <v>796</v>
      </c>
      <c r="I150" s="6" t="s">
        <v>797</v>
      </c>
      <c r="J150" s="6">
        <v>21</v>
      </c>
      <c r="K150" s="6" t="s">
        <v>19</v>
      </c>
      <c r="L150" s="10">
        <v>34.549999999999997</v>
      </c>
      <c r="M150" s="6" t="s">
        <v>33</v>
      </c>
      <c r="N150" s="10">
        <f>Tabla18[[#This Row],[Price]]*Tabla18[[#This Row],[QTY Adjusted]]</f>
        <v>725.55</v>
      </c>
      <c r="O150" s="10">
        <v>725.55</v>
      </c>
      <c r="P150" s="10" t="s">
        <v>4226</v>
      </c>
      <c r="Q150" s="6">
        <v>0</v>
      </c>
    </row>
    <row r="151" spans="1:17" ht="38.4" customHeight="1" x14ac:dyDescent="0.3">
      <c r="A151" s="6">
        <v>480</v>
      </c>
      <c r="B151" s="6" t="s">
        <v>768</v>
      </c>
      <c r="C151" s="6" t="s">
        <v>561</v>
      </c>
      <c r="D151" s="6" t="s">
        <v>44</v>
      </c>
      <c r="E151" s="6" t="s">
        <v>1045</v>
      </c>
      <c r="F151" s="6" t="s">
        <v>4059</v>
      </c>
      <c r="G151" s="6" t="s">
        <v>1046</v>
      </c>
      <c r="H151" s="6" t="s">
        <v>1047</v>
      </c>
      <c r="I151" s="6"/>
      <c r="J151" s="6">
        <v>6</v>
      </c>
      <c r="K151" s="6" t="s">
        <v>19</v>
      </c>
      <c r="L151" s="10">
        <v>120.5575</v>
      </c>
      <c r="M151" s="6" t="s">
        <v>33</v>
      </c>
      <c r="N151" s="10">
        <f>Tabla18[[#This Row],[Price]]*Tabla18[[#This Row],[QTY Adjusted]]</f>
        <v>723.34500000000003</v>
      </c>
      <c r="O151" s="10">
        <v>723.34500000000003</v>
      </c>
      <c r="P151" s="22" t="s">
        <v>4225</v>
      </c>
      <c r="Q151" s="6">
        <v>0</v>
      </c>
    </row>
    <row r="152" spans="1:17" ht="38.4" customHeight="1" x14ac:dyDescent="0.3">
      <c r="A152" s="6">
        <v>506</v>
      </c>
      <c r="B152" s="6" t="s">
        <v>768</v>
      </c>
      <c r="C152" s="6" t="s">
        <v>561</v>
      </c>
      <c r="D152" s="6" t="s">
        <v>44</v>
      </c>
      <c r="E152" s="6" t="s">
        <v>1115</v>
      </c>
      <c r="F152" s="6" t="s">
        <v>4059</v>
      </c>
      <c r="G152" s="6" t="s">
        <v>1116</v>
      </c>
      <c r="H152" s="6" t="s">
        <v>1117</v>
      </c>
      <c r="I152" s="6"/>
      <c r="J152" s="6">
        <v>18</v>
      </c>
      <c r="K152" s="6" t="s">
        <v>19</v>
      </c>
      <c r="L152" s="10">
        <v>39.935000000000002</v>
      </c>
      <c r="M152" s="6" t="s">
        <v>33</v>
      </c>
      <c r="N152" s="10">
        <f>Tabla18[[#This Row],[Price]]*Tabla18[[#This Row],[QTY Adjusted]]</f>
        <v>718.83</v>
      </c>
      <c r="O152" s="10">
        <v>718.83</v>
      </c>
      <c r="P152" s="22">
        <v>46096</v>
      </c>
      <c r="Q152" s="6">
        <v>0</v>
      </c>
    </row>
    <row r="153" spans="1:17" ht="38.4" customHeight="1" x14ac:dyDescent="0.3">
      <c r="A153" s="6">
        <v>477</v>
      </c>
      <c r="B153" s="6" t="s">
        <v>768</v>
      </c>
      <c r="C153" s="6" t="s">
        <v>561</v>
      </c>
      <c r="D153" s="6" t="s">
        <v>44</v>
      </c>
      <c r="E153" s="6" t="s">
        <v>1036</v>
      </c>
      <c r="F153" s="6" t="s">
        <v>4059</v>
      </c>
      <c r="G153" s="6" t="s">
        <v>1037</v>
      </c>
      <c r="H153" s="6" t="s">
        <v>1038</v>
      </c>
      <c r="I153" s="6"/>
      <c r="J153" s="6">
        <v>1</v>
      </c>
      <c r="K153" s="6" t="s">
        <v>19</v>
      </c>
      <c r="L153" s="10">
        <v>700.245</v>
      </c>
      <c r="M153" s="6" t="s">
        <v>33</v>
      </c>
      <c r="N153" s="10">
        <f>Tabla18[[#This Row],[Price]]*Tabla18[[#This Row],[QTY Adjusted]]</f>
        <v>700.245</v>
      </c>
      <c r="O153" s="10">
        <v>700.245</v>
      </c>
      <c r="P153" s="22" t="s">
        <v>4225</v>
      </c>
      <c r="Q153" s="6">
        <v>0</v>
      </c>
    </row>
    <row r="154" spans="1:17" ht="38.4" customHeight="1" x14ac:dyDescent="0.3">
      <c r="A154" s="6">
        <v>448</v>
      </c>
      <c r="B154" s="6" t="s">
        <v>768</v>
      </c>
      <c r="C154" s="6" t="s">
        <v>228</v>
      </c>
      <c r="D154" s="6" t="s">
        <v>44</v>
      </c>
      <c r="E154" s="6" t="s">
        <v>959</v>
      </c>
      <c r="F154" s="6" t="s">
        <v>4062</v>
      </c>
      <c r="G154" s="6" t="s">
        <v>960</v>
      </c>
      <c r="H154" s="6" t="s">
        <v>961</v>
      </c>
      <c r="I154" s="6"/>
      <c r="J154" s="6">
        <v>53</v>
      </c>
      <c r="K154" s="6" t="s">
        <v>19</v>
      </c>
      <c r="L154" s="10">
        <v>11.214</v>
      </c>
      <c r="M154" s="6" t="s">
        <v>33</v>
      </c>
      <c r="N154" s="10">
        <f>Tabla18[[#This Row],[Price]]*Tabla18[[#This Row],[QTY Adjusted]]</f>
        <v>594.34199999999998</v>
      </c>
      <c r="O154" s="10">
        <v>594.34199999999998</v>
      </c>
      <c r="P154" s="22" t="s">
        <v>4225</v>
      </c>
      <c r="Q154" s="6">
        <v>0</v>
      </c>
    </row>
    <row r="155" spans="1:17" ht="38.4" customHeight="1" x14ac:dyDescent="0.3">
      <c r="A155" s="6">
        <v>350</v>
      </c>
      <c r="B155" s="6" t="s">
        <v>768</v>
      </c>
      <c r="C155" s="6" t="s">
        <v>219</v>
      </c>
      <c r="D155" s="6" t="s">
        <v>44</v>
      </c>
      <c r="E155" s="6"/>
      <c r="F155" s="6" t="s">
        <v>4063</v>
      </c>
      <c r="G155" s="6" t="s">
        <v>801</v>
      </c>
      <c r="H155" s="6" t="s">
        <v>589</v>
      </c>
      <c r="I155" s="6" t="s">
        <v>802</v>
      </c>
      <c r="J155" s="6">
        <v>48</v>
      </c>
      <c r="K155" s="6" t="s">
        <v>19</v>
      </c>
      <c r="L155" s="10">
        <v>11.856</v>
      </c>
      <c r="M155" s="6" t="s">
        <v>33</v>
      </c>
      <c r="N155" s="10">
        <f>Tabla18[[#This Row],[Price]]*Tabla18[[#This Row],[QTY Adjusted]]</f>
        <v>569.08799999999997</v>
      </c>
      <c r="O155" s="10">
        <v>569.08799999999997</v>
      </c>
      <c r="P155" s="22" t="s">
        <v>4225</v>
      </c>
      <c r="Q155" s="6">
        <v>0</v>
      </c>
    </row>
    <row r="156" spans="1:17" ht="38.4" customHeight="1" x14ac:dyDescent="0.3">
      <c r="A156" s="6">
        <v>473</v>
      </c>
      <c r="B156" s="6" t="s">
        <v>768</v>
      </c>
      <c r="C156" s="6" t="s">
        <v>502</v>
      </c>
      <c r="D156" s="6" t="str">
        <f>Tabla18[[#This Row],[Vendor]]</f>
        <v>Hacha</v>
      </c>
      <c r="E156" s="6" t="s">
        <v>1026</v>
      </c>
      <c r="F156" s="6" t="s">
        <v>4060</v>
      </c>
      <c r="G156" s="6" t="s">
        <v>1027</v>
      </c>
      <c r="H156" s="6" t="s">
        <v>1028</v>
      </c>
      <c r="I156" s="6"/>
      <c r="J156" s="6">
        <v>15</v>
      </c>
      <c r="K156" s="6" t="s">
        <v>19</v>
      </c>
      <c r="L156" s="10">
        <v>749</v>
      </c>
      <c r="M156" s="6" t="s">
        <v>20</v>
      </c>
      <c r="N156" s="10">
        <f>Tabla18[[#This Row],[Price]]*Tabla18[[#This Row],[QTY Adjusted]]</f>
        <v>11235</v>
      </c>
      <c r="O156" s="10">
        <v>576.15384615384619</v>
      </c>
      <c r="P156" s="10" t="s">
        <v>4226</v>
      </c>
      <c r="Q156" s="6">
        <v>0</v>
      </c>
    </row>
    <row r="157" spans="1:17" ht="38.4" customHeight="1" x14ac:dyDescent="0.3">
      <c r="A157" s="6">
        <v>499</v>
      </c>
      <c r="B157" s="6" t="s">
        <v>768</v>
      </c>
      <c r="C157" s="6" t="s">
        <v>561</v>
      </c>
      <c r="D157" s="6" t="s">
        <v>44</v>
      </c>
      <c r="E157" s="6" t="s">
        <v>1095</v>
      </c>
      <c r="F157" s="6" t="s">
        <v>4059</v>
      </c>
      <c r="G157" s="6" t="s">
        <v>1096</v>
      </c>
      <c r="H157" s="6" t="s">
        <v>1097</v>
      </c>
      <c r="I157" s="6"/>
      <c r="J157" s="6">
        <v>6</v>
      </c>
      <c r="K157" s="6" t="s">
        <v>19</v>
      </c>
      <c r="L157" s="10">
        <v>108.535</v>
      </c>
      <c r="M157" s="6" t="s">
        <v>33</v>
      </c>
      <c r="N157" s="10">
        <f>Tabla18[[#This Row],[Price]]*Tabla18[[#This Row],[QTY Adjusted]]</f>
        <v>651.21</v>
      </c>
      <c r="O157" s="10">
        <v>651.21</v>
      </c>
      <c r="P157" s="22">
        <v>46096</v>
      </c>
      <c r="Q157" s="6">
        <v>0</v>
      </c>
    </row>
    <row r="158" spans="1:17" ht="38.4" customHeight="1" x14ac:dyDescent="0.3">
      <c r="A158" s="6">
        <v>447</v>
      </c>
      <c r="B158" s="6" t="s">
        <v>768</v>
      </c>
      <c r="C158" s="6" t="s">
        <v>134</v>
      </c>
      <c r="D158" s="6" t="s">
        <v>44</v>
      </c>
      <c r="E158" s="6" t="s">
        <v>148</v>
      </c>
      <c r="F158" s="6" t="s">
        <v>4062</v>
      </c>
      <c r="G158" s="6" t="s">
        <v>957</v>
      </c>
      <c r="H158" s="6" t="s">
        <v>958</v>
      </c>
      <c r="I158" s="6"/>
      <c r="J158" s="6">
        <v>106</v>
      </c>
      <c r="K158" s="6" t="s">
        <v>19</v>
      </c>
      <c r="L158" s="10">
        <v>5.1479999999999997</v>
      </c>
      <c r="M158" s="6" t="s">
        <v>33</v>
      </c>
      <c r="N158" s="10">
        <f>Tabla18[[#This Row],[Price]]*Tabla18[[#This Row],[QTY Adjusted]]</f>
        <v>545.68799999999999</v>
      </c>
      <c r="O158" s="10">
        <v>545.68799999999999</v>
      </c>
      <c r="P158" s="10" t="s">
        <v>4225</v>
      </c>
      <c r="Q158" s="6">
        <v>0</v>
      </c>
    </row>
    <row r="159" spans="1:17" ht="38.4" customHeight="1" x14ac:dyDescent="0.3">
      <c r="A159" s="6">
        <v>478</v>
      </c>
      <c r="B159" s="6" t="s">
        <v>768</v>
      </c>
      <c r="C159" s="6" t="s">
        <v>561</v>
      </c>
      <c r="D159" s="6" t="s">
        <v>44</v>
      </c>
      <c r="E159" s="6" t="s">
        <v>1039</v>
      </c>
      <c r="F159" s="6" t="s">
        <v>4059</v>
      </c>
      <c r="G159" s="6" t="s">
        <v>1040</v>
      </c>
      <c r="H159" s="6" t="s">
        <v>1041</v>
      </c>
      <c r="I159" s="6"/>
      <c r="J159" s="6">
        <v>6</v>
      </c>
      <c r="K159" s="6" t="s">
        <v>19</v>
      </c>
      <c r="L159" s="10">
        <v>104.4225</v>
      </c>
      <c r="M159" s="6" t="s">
        <v>33</v>
      </c>
      <c r="N159" s="10">
        <f>Tabla18[[#This Row],[Price]]*Tabla18[[#This Row],[QTY Adjusted]]</f>
        <v>626.53499999999997</v>
      </c>
      <c r="O159" s="10">
        <v>626.53499999999997</v>
      </c>
      <c r="P159" s="22" t="s">
        <v>4225</v>
      </c>
      <c r="Q159" s="6">
        <v>0</v>
      </c>
    </row>
    <row r="160" spans="1:17" ht="38.4" customHeight="1" x14ac:dyDescent="0.3">
      <c r="A160" s="6">
        <v>430</v>
      </c>
      <c r="B160" s="6" t="s">
        <v>768</v>
      </c>
      <c r="C160" s="6" t="s">
        <v>502</v>
      </c>
      <c r="D160" s="6" t="str">
        <f>Tabla18[[#This Row],[Vendor]]</f>
        <v>Hacha</v>
      </c>
      <c r="E160" s="6" t="s">
        <v>923</v>
      </c>
      <c r="F160" s="6" t="s">
        <v>4060</v>
      </c>
      <c r="G160" s="6" t="s">
        <v>924</v>
      </c>
      <c r="H160" s="6" t="s">
        <v>925</v>
      </c>
      <c r="I160" s="6"/>
      <c r="J160" s="6">
        <v>62</v>
      </c>
      <c r="K160" s="6" t="s">
        <v>19</v>
      </c>
      <c r="L160" s="10">
        <v>168</v>
      </c>
      <c r="M160" s="6" t="s">
        <v>20</v>
      </c>
      <c r="N160" s="10">
        <f>Tabla18[[#This Row],[Price]]*Tabla18[[#This Row],[QTY Adjusted]]</f>
        <v>10416</v>
      </c>
      <c r="O160" s="10">
        <v>534.15384615384619</v>
      </c>
      <c r="P160" s="10" t="s">
        <v>4226</v>
      </c>
      <c r="Q160" s="6">
        <v>0</v>
      </c>
    </row>
    <row r="161" spans="1:17" ht="38.4" customHeight="1" x14ac:dyDescent="0.3">
      <c r="A161" s="6">
        <v>462</v>
      </c>
      <c r="B161" s="6" t="s">
        <v>768</v>
      </c>
      <c r="C161" s="6" t="s">
        <v>502</v>
      </c>
      <c r="D161" s="6" t="str">
        <f>Tabla18[[#This Row],[Vendor]]</f>
        <v>Hacha</v>
      </c>
      <c r="E161" s="6" t="s">
        <v>997</v>
      </c>
      <c r="F161" s="6" t="s">
        <v>4059</v>
      </c>
      <c r="G161" s="6" t="s">
        <v>998</v>
      </c>
      <c r="H161" s="6" t="s">
        <v>999</v>
      </c>
      <c r="I161" s="6"/>
      <c r="J161" s="6">
        <v>29</v>
      </c>
      <c r="K161" s="6" t="s">
        <v>19</v>
      </c>
      <c r="L161" s="10">
        <v>342</v>
      </c>
      <c r="M161" s="6" t="s">
        <v>20</v>
      </c>
      <c r="N161" s="10">
        <f>Tabla18[[#This Row],[Price]]*Tabla18[[#This Row],[QTY Adjusted]]</f>
        <v>9918</v>
      </c>
      <c r="O161" s="10">
        <v>508.61538461538464</v>
      </c>
      <c r="P161" s="10" t="s">
        <v>4226</v>
      </c>
      <c r="Q161" s="6">
        <v>0</v>
      </c>
    </row>
    <row r="162" spans="1:17" ht="38.4" customHeight="1" x14ac:dyDescent="0.3">
      <c r="A162" s="6">
        <v>495</v>
      </c>
      <c r="B162" s="6" t="s">
        <v>768</v>
      </c>
      <c r="C162" s="6" t="s">
        <v>561</v>
      </c>
      <c r="D162" s="6" t="s">
        <v>44</v>
      </c>
      <c r="E162" s="6" t="s">
        <v>1083</v>
      </c>
      <c r="F162" s="6" t="s">
        <v>4059</v>
      </c>
      <c r="G162" s="6" t="s">
        <v>1084</v>
      </c>
      <c r="H162" s="6" t="s">
        <v>1085</v>
      </c>
      <c r="I162" s="6"/>
      <c r="J162" s="6">
        <v>3</v>
      </c>
      <c r="K162" s="6" t="s">
        <v>19</v>
      </c>
      <c r="L162" s="10">
        <v>196.56</v>
      </c>
      <c r="M162" s="6" t="s">
        <v>33</v>
      </c>
      <c r="N162" s="10">
        <f>Tabla18[[#This Row],[Price]]*Tabla18[[#This Row],[QTY Adjusted]]</f>
        <v>589.68000000000006</v>
      </c>
      <c r="O162" s="10">
        <v>589.68000000000006</v>
      </c>
      <c r="P162" s="22" t="s">
        <v>4225</v>
      </c>
      <c r="Q162" s="6">
        <v>0</v>
      </c>
    </row>
    <row r="163" spans="1:17" ht="38.4" customHeight="1" x14ac:dyDescent="0.3">
      <c r="A163" s="6">
        <v>469</v>
      </c>
      <c r="B163" s="6" t="s">
        <v>768</v>
      </c>
      <c r="C163" s="6" t="s">
        <v>561</v>
      </c>
      <c r="D163" s="6" t="s">
        <v>44</v>
      </c>
      <c r="E163" s="6" t="s">
        <v>1014</v>
      </c>
      <c r="F163" s="6" t="s">
        <v>4059</v>
      </c>
      <c r="G163" s="6" t="s">
        <v>1015</v>
      </c>
      <c r="H163" s="6" t="s">
        <v>1016</v>
      </c>
      <c r="I163" s="6"/>
      <c r="J163" s="6">
        <v>6</v>
      </c>
      <c r="K163" s="6" t="s">
        <v>19</v>
      </c>
      <c r="L163" s="10">
        <v>91.367500000000007</v>
      </c>
      <c r="M163" s="6" t="s">
        <v>33</v>
      </c>
      <c r="N163" s="10">
        <f>Tabla18[[#This Row],[Price]]*Tabla18[[#This Row],[QTY Adjusted]]</f>
        <v>548.20500000000004</v>
      </c>
      <c r="O163" s="10">
        <v>548.20500000000004</v>
      </c>
      <c r="P163" s="22" t="s">
        <v>4225</v>
      </c>
      <c r="Q163" s="6">
        <v>0</v>
      </c>
    </row>
    <row r="164" spans="1:17" ht="38.4" customHeight="1" x14ac:dyDescent="0.3">
      <c r="A164" s="6">
        <v>345</v>
      </c>
      <c r="B164" s="6" t="s">
        <v>768</v>
      </c>
      <c r="C164" s="6" t="s">
        <v>389</v>
      </c>
      <c r="D164" s="6" t="str">
        <f>Tabla18[[#This Row],[Vendor]]</f>
        <v>Maison Margaux</v>
      </c>
      <c r="E164" s="6" t="s">
        <v>769</v>
      </c>
      <c r="F164" s="6"/>
      <c r="G164" s="6"/>
      <c r="H164" s="6" t="s">
        <v>792</v>
      </c>
      <c r="I164" s="6" t="s">
        <v>793</v>
      </c>
      <c r="J164" s="6">
        <v>21</v>
      </c>
      <c r="K164" s="6" t="s">
        <v>19</v>
      </c>
      <c r="L164" s="10">
        <v>25.79</v>
      </c>
      <c r="M164" s="6" t="s">
        <v>33</v>
      </c>
      <c r="N164" s="10">
        <f>Tabla18[[#This Row],[Price]]*Tabla18[[#This Row],[QTY Adjusted]]</f>
        <v>541.59</v>
      </c>
      <c r="O164" s="10">
        <v>541.59</v>
      </c>
      <c r="P164" s="10" t="s">
        <v>4226</v>
      </c>
      <c r="Q164" s="6">
        <v>0</v>
      </c>
    </row>
    <row r="165" spans="1:17" ht="38.4" customHeight="1" x14ac:dyDescent="0.3">
      <c r="A165" s="6">
        <v>452</v>
      </c>
      <c r="B165" s="6" t="s">
        <v>768</v>
      </c>
      <c r="C165" s="6" t="s">
        <v>92</v>
      </c>
      <c r="D165" s="6" t="s">
        <v>93</v>
      </c>
      <c r="E165" s="6" t="s">
        <v>187</v>
      </c>
      <c r="F165" s="6" t="s">
        <v>4059</v>
      </c>
      <c r="G165" s="6" t="s">
        <v>969</v>
      </c>
      <c r="H165" s="6" t="s">
        <v>970</v>
      </c>
      <c r="I165" s="6"/>
      <c r="J165" s="6">
        <v>22</v>
      </c>
      <c r="K165" s="6" t="s">
        <v>19</v>
      </c>
      <c r="L165" s="10">
        <v>20.2</v>
      </c>
      <c r="M165" s="6" t="s">
        <v>33</v>
      </c>
      <c r="N165" s="10">
        <f>Tabla18[[#This Row],[Price]]*Tabla18[[#This Row],[QTY Adjusted]]</f>
        <v>444.4</v>
      </c>
      <c r="O165" s="10">
        <v>444.4</v>
      </c>
      <c r="P165" s="10" t="s">
        <v>4228</v>
      </c>
      <c r="Q165" s="6" t="s">
        <v>4246</v>
      </c>
    </row>
    <row r="166" spans="1:17" ht="38.4" customHeight="1" x14ac:dyDescent="0.3">
      <c r="A166" s="6">
        <v>500</v>
      </c>
      <c r="B166" s="6" t="s">
        <v>768</v>
      </c>
      <c r="C166" s="6" t="s">
        <v>561</v>
      </c>
      <c r="D166" s="6" t="s">
        <v>44</v>
      </c>
      <c r="E166" s="6" t="s">
        <v>1098</v>
      </c>
      <c r="F166" s="6" t="s">
        <v>4059</v>
      </c>
      <c r="G166" s="6" t="s">
        <v>1099</v>
      </c>
      <c r="H166" s="6" t="s">
        <v>1100</v>
      </c>
      <c r="I166" s="6"/>
      <c r="J166" s="6">
        <v>6</v>
      </c>
      <c r="K166" s="6" t="s">
        <v>19</v>
      </c>
      <c r="L166" s="10">
        <v>85.067499999999995</v>
      </c>
      <c r="M166" s="6" t="s">
        <v>33</v>
      </c>
      <c r="N166" s="10">
        <f>Tabla18[[#This Row],[Price]]*Tabla18[[#This Row],[QTY Adjusted]]</f>
        <v>510.40499999999997</v>
      </c>
      <c r="O166" s="10">
        <v>510.40499999999997</v>
      </c>
      <c r="P166" s="22">
        <v>46096</v>
      </c>
      <c r="Q166" s="6">
        <v>0</v>
      </c>
    </row>
    <row r="167" spans="1:17" ht="38.4" customHeight="1" x14ac:dyDescent="0.3">
      <c r="A167" s="6">
        <v>518</v>
      </c>
      <c r="B167" s="6" t="s">
        <v>768</v>
      </c>
      <c r="C167" s="6" t="s">
        <v>43</v>
      </c>
      <c r="D167" s="6" t="s">
        <v>44</v>
      </c>
      <c r="E167" s="6" t="s">
        <v>1146</v>
      </c>
      <c r="F167" s="6" t="s">
        <v>4059</v>
      </c>
      <c r="G167" s="6">
        <v>656412</v>
      </c>
      <c r="H167" s="6" t="s">
        <v>1147</v>
      </c>
      <c r="I167" s="6"/>
      <c r="J167" s="6">
        <v>12</v>
      </c>
      <c r="K167" s="6" t="s">
        <v>19</v>
      </c>
      <c r="L167" s="10">
        <v>39.369999999999997</v>
      </c>
      <c r="M167" s="6" t="s">
        <v>33</v>
      </c>
      <c r="N167" s="10">
        <f>Tabla18[[#This Row],[Price]]*Tabla18[[#This Row],[QTY Adjusted]]</f>
        <v>472.43999999999994</v>
      </c>
      <c r="O167" s="10">
        <v>472.43999999999994</v>
      </c>
      <c r="P167" s="22">
        <v>46108</v>
      </c>
      <c r="Q167" s="6">
        <v>0</v>
      </c>
    </row>
    <row r="168" spans="1:17" ht="38.4" customHeight="1" x14ac:dyDescent="0.3">
      <c r="A168" s="6">
        <v>515</v>
      </c>
      <c r="B168" s="6" t="s">
        <v>768</v>
      </c>
      <c r="C168" s="6" t="s">
        <v>43</v>
      </c>
      <c r="D168" s="6" t="s">
        <v>44</v>
      </c>
      <c r="E168" s="6" t="s">
        <v>1137</v>
      </c>
      <c r="F168" s="6" t="s">
        <v>4059</v>
      </c>
      <c r="G168" s="6">
        <v>660161</v>
      </c>
      <c r="H168" s="6" t="s">
        <v>1140</v>
      </c>
      <c r="I168" s="6"/>
      <c r="J168" s="6">
        <v>6</v>
      </c>
      <c r="K168" s="6" t="s">
        <v>19</v>
      </c>
      <c r="L168" s="10">
        <v>77.415000000000006</v>
      </c>
      <c r="M168" s="6" t="s">
        <v>33</v>
      </c>
      <c r="N168" s="10">
        <f>Tabla18[[#This Row],[Price]]*Tabla18[[#This Row],[QTY Adjusted]]</f>
        <v>464.49</v>
      </c>
      <c r="O168" s="10">
        <v>464.49</v>
      </c>
      <c r="P168" s="22">
        <v>46108</v>
      </c>
      <c r="Q168" s="6">
        <v>0</v>
      </c>
    </row>
    <row r="169" spans="1:17" ht="38.4" customHeight="1" x14ac:dyDescent="0.3">
      <c r="A169" s="6">
        <v>458</v>
      </c>
      <c r="B169" s="6" t="s">
        <v>768</v>
      </c>
      <c r="C169" s="6" t="s">
        <v>219</v>
      </c>
      <c r="D169" s="6" t="s">
        <v>44</v>
      </c>
      <c r="E169" s="6" t="s">
        <v>984</v>
      </c>
      <c r="F169" s="6" t="s">
        <v>4059</v>
      </c>
      <c r="G169" s="6" t="s">
        <v>985</v>
      </c>
      <c r="H169" s="6" t="s">
        <v>986</v>
      </c>
      <c r="I169" s="6"/>
      <c r="J169" s="6">
        <v>24</v>
      </c>
      <c r="K169" s="6" t="s">
        <v>19</v>
      </c>
      <c r="L169" s="10">
        <v>18.966000000000001</v>
      </c>
      <c r="M169" s="6" t="s">
        <v>33</v>
      </c>
      <c r="N169" s="10">
        <f>Tabla18[[#This Row],[Price]]*Tabla18[[#This Row],[QTY Adjusted]]</f>
        <v>455.18400000000003</v>
      </c>
      <c r="O169" s="10">
        <v>455.18400000000003</v>
      </c>
      <c r="P169" s="22" t="s">
        <v>4225</v>
      </c>
      <c r="Q169" s="6">
        <v>0</v>
      </c>
    </row>
    <row r="170" spans="1:17" ht="38.4" customHeight="1" x14ac:dyDescent="0.3">
      <c r="A170" s="6">
        <v>502</v>
      </c>
      <c r="B170" s="6" t="s">
        <v>768</v>
      </c>
      <c r="C170" s="6" t="s">
        <v>561</v>
      </c>
      <c r="D170" s="6" t="s">
        <v>44</v>
      </c>
      <c r="E170" s="6" t="s">
        <v>1104</v>
      </c>
      <c r="F170" s="6" t="s">
        <v>4059</v>
      </c>
      <c r="G170" s="6" t="s">
        <v>1105</v>
      </c>
      <c r="H170" s="6" t="s">
        <v>1106</v>
      </c>
      <c r="I170" s="6"/>
      <c r="J170" s="6">
        <v>6</v>
      </c>
      <c r="K170" s="6" t="s">
        <v>19</v>
      </c>
      <c r="L170" s="10">
        <v>75.827500000000001</v>
      </c>
      <c r="M170" s="6" t="s">
        <v>33</v>
      </c>
      <c r="N170" s="10">
        <f>Tabla18[[#This Row],[Price]]*Tabla18[[#This Row],[QTY Adjusted]]</f>
        <v>454.96500000000003</v>
      </c>
      <c r="O170" s="10">
        <v>454.96500000000003</v>
      </c>
      <c r="P170" s="22" t="s">
        <v>4225</v>
      </c>
      <c r="Q170" s="6">
        <v>0</v>
      </c>
    </row>
    <row r="171" spans="1:17" ht="38.4" customHeight="1" x14ac:dyDescent="0.3">
      <c r="A171" s="6">
        <v>450</v>
      </c>
      <c r="B171" s="6" t="s">
        <v>768</v>
      </c>
      <c r="C171" s="6" t="s">
        <v>228</v>
      </c>
      <c r="D171" s="6" t="s">
        <v>44</v>
      </c>
      <c r="E171" s="6" t="s">
        <v>706</v>
      </c>
      <c r="F171" s="6" t="s">
        <v>4062</v>
      </c>
      <c r="G171" s="6" t="s">
        <v>965</v>
      </c>
      <c r="H171" s="6" t="s">
        <v>966</v>
      </c>
      <c r="I171" s="6"/>
      <c r="J171" s="6">
        <v>53</v>
      </c>
      <c r="K171" s="6" t="s">
        <v>19</v>
      </c>
      <c r="L171" s="10">
        <v>7.2539999999999996</v>
      </c>
      <c r="M171" s="6" t="s">
        <v>33</v>
      </c>
      <c r="N171" s="10">
        <f>Tabla18[[#This Row],[Price]]*Tabla18[[#This Row],[QTY Adjusted]]</f>
        <v>384.46199999999999</v>
      </c>
      <c r="O171" s="10">
        <v>384.46199999999999</v>
      </c>
      <c r="P171" s="22" t="s">
        <v>4225</v>
      </c>
      <c r="Q171" s="6">
        <v>0</v>
      </c>
    </row>
    <row r="172" spans="1:17" ht="38.4" customHeight="1" x14ac:dyDescent="0.3">
      <c r="A172" s="6">
        <v>456</v>
      </c>
      <c r="B172" s="6" t="s">
        <v>768</v>
      </c>
      <c r="C172" s="6" t="s">
        <v>219</v>
      </c>
      <c r="D172" s="6" t="s">
        <v>44</v>
      </c>
      <c r="E172" s="6" t="s">
        <v>979</v>
      </c>
      <c r="F172" s="6" t="s">
        <v>4059</v>
      </c>
      <c r="G172" s="6" t="s">
        <v>980</v>
      </c>
      <c r="H172" s="6" t="s">
        <v>981</v>
      </c>
      <c r="I172" s="6"/>
      <c r="J172" s="6">
        <v>36</v>
      </c>
      <c r="K172" s="6" t="s">
        <v>19</v>
      </c>
      <c r="L172" s="10">
        <v>12.24</v>
      </c>
      <c r="M172" s="6" t="s">
        <v>33</v>
      </c>
      <c r="N172" s="10">
        <f>Tabla18[[#This Row],[Price]]*Tabla18[[#This Row],[QTY Adjusted]]</f>
        <v>440.64</v>
      </c>
      <c r="O172" s="10">
        <v>440.64</v>
      </c>
      <c r="P172" s="22" t="s">
        <v>4225</v>
      </c>
      <c r="Q172" s="6">
        <v>0</v>
      </c>
    </row>
    <row r="173" spans="1:17" ht="38.4" customHeight="1" x14ac:dyDescent="0.3">
      <c r="A173" s="6">
        <v>472</v>
      </c>
      <c r="B173" s="6" t="s">
        <v>768</v>
      </c>
      <c r="C173" s="6" t="s">
        <v>561</v>
      </c>
      <c r="D173" s="6" t="s">
        <v>44</v>
      </c>
      <c r="E173" s="6" t="s">
        <v>1023</v>
      </c>
      <c r="F173" s="6" t="s">
        <v>4059</v>
      </c>
      <c r="G173" s="6" t="s">
        <v>1024</v>
      </c>
      <c r="H173" s="6" t="s">
        <v>1025</v>
      </c>
      <c r="I173" s="6"/>
      <c r="J173" s="6">
        <v>6</v>
      </c>
      <c r="K173" s="6" t="s">
        <v>19</v>
      </c>
      <c r="L173" s="10">
        <v>69.107500000000002</v>
      </c>
      <c r="M173" s="6" t="s">
        <v>33</v>
      </c>
      <c r="N173" s="10">
        <f>Tabla18[[#This Row],[Price]]*Tabla18[[#This Row],[QTY Adjusted]]</f>
        <v>414.64499999999998</v>
      </c>
      <c r="O173" s="10">
        <v>414.64499999999998</v>
      </c>
      <c r="P173" s="22">
        <v>46091</v>
      </c>
      <c r="Q173" s="6">
        <v>0</v>
      </c>
    </row>
    <row r="174" spans="1:17" ht="38.4" customHeight="1" x14ac:dyDescent="0.3">
      <c r="A174" s="6">
        <v>474</v>
      </c>
      <c r="B174" s="6" t="s">
        <v>768</v>
      </c>
      <c r="C174" s="6" t="s">
        <v>502</v>
      </c>
      <c r="D174" s="6" t="str">
        <f>Tabla18[[#This Row],[Vendor]]</f>
        <v>Hacha</v>
      </c>
      <c r="E174" s="6" t="s">
        <v>1029</v>
      </c>
      <c r="F174" s="6" t="s">
        <v>4060</v>
      </c>
      <c r="G174" s="6" t="s">
        <v>916</v>
      </c>
      <c r="H174" s="6" t="s">
        <v>1030</v>
      </c>
      <c r="I174" s="6"/>
      <c r="J174" s="6">
        <v>15</v>
      </c>
      <c r="K174" s="6" t="s">
        <v>19</v>
      </c>
      <c r="L174" s="10">
        <v>466</v>
      </c>
      <c r="M174" s="6" t="s">
        <v>20</v>
      </c>
      <c r="N174" s="10">
        <f>Tabla18[[#This Row],[Price]]*Tabla18[[#This Row],[QTY Adjusted]]</f>
        <v>6990</v>
      </c>
      <c r="O174" s="10">
        <v>358.46153846153845</v>
      </c>
      <c r="P174" s="10" t="s">
        <v>4226</v>
      </c>
      <c r="Q174" s="6">
        <v>0</v>
      </c>
    </row>
    <row r="175" spans="1:17" ht="38.4" customHeight="1" x14ac:dyDescent="0.3">
      <c r="A175" s="6">
        <v>475</v>
      </c>
      <c r="B175" s="6" t="s">
        <v>768</v>
      </c>
      <c r="C175" s="6" t="s">
        <v>502</v>
      </c>
      <c r="D175" s="6" t="str">
        <f>Tabla18[[#This Row],[Vendor]]</f>
        <v>Hacha</v>
      </c>
      <c r="E175" s="6" t="s">
        <v>907</v>
      </c>
      <c r="F175" s="6" t="s">
        <v>4060</v>
      </c>
      <c r="G175" s="6" t="s">
        <v>1031</v>
      </c>
      <c r="H175" s="6" t="s">
        <v>1032</v>
      </c>
      <c r="I175" s="6"/>
      <c r="J175" s="6">
        <v>15</v>
      </c>
      <c r="K175" s="6" t="s">
        <v>19</v>
      </c>
      <c r="L175" s="10">
        <v>466</v>
      </c>
      <c r="M175" s="6" t="s">
        <v>20</v>
      </c>
      <c r="N175" s="10">
        <f>Tabla18[[#This Row],[Price]]*Tabla18[[#This Row],[QTY Adjusted]]</f>
        <v>6990</v>
      </c>
      <c r="O175" s="10">
        <v>358.46153846153845</v>
      </c>
      <c r="P175" s="10" t="s">
        <v>4226</v>
      </c>
      <c r="Q175" s="6">
        <v>0</v>
      </c>
    </row>
    <row r="176" spans="1:17" ht="38.4" customHeight="1" x14ac:dyDescent="0.3">
      <c r="A176" s="6">
        <v>427</v>
      </c>
      <c r="B176" s="6" t="s">
        <v>768</v>
      </c>
      <c r="C176" s="6" t="s">
        <v>502</v>
      </c>
      <c r="D176" s="6" t="str">
        <f>Tabla18[[#This Row],[Vendor]]</f>
        <v>Hacha</v>
      </c>
      <c r="E176" s="6" t="s">
        <v>915</v>
      </c>
      <c r="F176" s="6" t="s">
        <v>4060</v>
      </c>
      <c r="G176" s="6" t="s">
        <v>916</v>
      </c>
      <c r="H176" s="6" t="s">
        <v>917</v>
      </c>
      <c r="I176" s="6"/>
      <c r="J176" s="6">
        <v>36</v>
      </c>
      <c r="K176" s="6" t="s">
        <v>19</v>
      </c>
      <c r="L176" s="10">
        <v>168</v>
      </c>
      <c r="M176" s="6" t="s">
        <v>20</v>
      </c>
      <c r="N176" s="10">
        <f>Tabla18[[#This Row],[Price]]*Tabla18[[#This Row],[QTY Adjusted]]</f>
        <v>6048</v>
      </c>
      <c r="O176" s="10">
        <v>310.15384615384613</v>
      </c>
      <c r="P176" s="10" t="s">
        <v>4226</v>
      </c>
      <c r="Q176" s="6">
        <v>0</v>
      </c>
    </row>
    <row r="177" spans="1:17" ht="38.4" customHeight="1" x14ac:dyDescent="0.3">
      <c r="A177" s="6">
        <v>428</v>
      </c>
      <c r="B177" s="6" t="s">
        <v>768</v>
      </c>
      <c r="C177" s="6" t="s">
        <v>502</v>
      </c>
      <c r="D177" s="6" t="str">
        <f>Tabla18[[#This Row],[Vendor]]</f>
        <v>Hacha</v>
      </c>
      <c r="E177" s="6" t="s">
        <v>915</v>
      </c>
      <c r="F177" s="6" t="s">
        <v>4060</v>
      </c>
      <c r="G177" s="6" t="s">
        <v>918</v>
      </c>
      <c r="H177" s="6" t="s">
        <v>919</v>
      </c>
      <c r="I177" s="6"/>
      <c r="J177" s="6">
        <v>36</v>
      </c>
      <c r="K177" s="6" t="s">
        <v>19</v>
      </c>
      <c r="L177" s="10">
        <v>168</v>
      </c>
      <c r="M177" s="6" t="s">
        <v>20</v>
      </c>
      <c r="N177" s="10">
        <f>Tabla18[[#This Row],[Price]]*Tabla18[[#This Row],[QTY Adjusted]]</f>
        <v>6048</v>
      </c>
      <c r="O177" s="10">
        <v>310.15384615384613</v>
      </c>
      <c r="P177" s="10" t="s">
        <v>4226</v>
      </c>
      <c r="Q177" s="6">
        <v>0</v>
      </c>
    </row>
    <row r="178" spans="1:17" ht="38.4" customHeight="1" x14ac:dyDescent="0.3">
      <c r="A178" s="6">
        <v>346</v>
      </c>
      <c r="B178" s="6" t="s">
        <v>768</v>
      </c>
      <c r="C178" s="6" t="s">
        <v>389</v>
      </c>
      <c r="D178" s="6" t="str">
        <f>Tabla18[[#This Row],[Vendor]]</f>
        <v>Maison Margaux</v>
      </c>
      <c r="E178" s="6" t="s">
        <v>769</v>
      </c>
      <c r="F178" s="6"/>
      <c r="G178" s="6"/>
      <c r="H178" s="6" t="s">
        <v>794</v>
      </c>
      <c r="I178" s="6" t="s">
        <v>795</v>
      </c>
      <c r="J178" s="6">
        <v>28</v>
      </c>
      <c r="K178" s="6" t="s">
        <v>19</v>
      </c>
      <c r="L178" s="10">
        <v>12.9</v>
      </c>
      <c r="M178" s="6" t="s">
        <v>33</v>
      </c>
      <c r="N178" s="10">
        <f>Tabla18[[#This Row],[Price]]*Tabla18[[#This Row],[QTY Adjusted]]</f>
        <v>361.2</v>
      </c>
      <c r="O178" s="10">
        <v>361.2</v>
      </c>
      <c r="P178" s="10" t="s">
        <v>4226</v>
      </c>
      <c r="Q178" s="6">
        <v>0</v>
      </c>
    </row>
    <row r="179" spans="1:17" ht="38.4" customHeight="1" x14ac:dyDescent="0.3">
      <c r="A179" s="6">
        <v>549</v>
      </c>
      <c r="B179" s="6" t="s">
        <v>768</v>
      </c>
      <c r="C179" s="6" t="s">
        <v>314</v>
      </c>
      <c r="D179" s="6" t="s">
        <v>93</v>
      </c>
      <c r="E179" s="6" t="s">
        <v>316</v>
      </c>
      <c r="F179" s="6" t="s">
        <v>4059</v>
      </c>
      <c r="G179" s="6" t="s">
        <v>315</v>
      </c>
      <c r="H179" s="6" t="s">
        <v>317</v>
      </c>
      <c r="I179" s="6"/>
      <c r="J179" s="6">
        <v>2</v>
      </c>
      <c r="K179" s="6" t="s">
        <v>19</v>
      </c>
      <c r="L179" s="10">
        <v>175.87</v>
      </c>
      <c r="M179" s="6" t="s">
        <v>33</v>
      </c>
      <c r="N179" s="10">
        <f>Tabla18[[#This Row],[Price]]*Tabla18[[#This Row],[QTY Adjusted]]</f>
        <v>351.74</v>
      </c>
      <c r="O179" s="10">
        <v>351.74</v>
      </c>
      <c r="P179" s="10" t="s">
        <v>4225</v>
      </c>
      <c r="Q179" s="6">
        <v>0</v>
      </c>
    </row>
    <row r="180" spans="1:17" ht="38.4" customHeight="1" x14ac:dyDescent="0.3">
      <c r="A180" s="6">
        <v>484</v>
      </c>
      <c r="B180" s="6" t="s">
        <v>768</v>
      </c>
      <c r="C180" s="6" t="s">
        <v>232</v>
      </c>
      <c r="D180" s="6" t="s">
        <v>233</v>
      </c>
      <c r="E180" s="6" t="s">
        <v>1056</v>
      </c>
      <c r="F180" s="6" t="s">
        <v>4062</v>
      </c>
      <c r="G180" s="6" t="s">
        <v>1057</v>
      </c>
      <c r="H180" s="6" t="s">
        <v>1058</v>
      </c>
      <c r="I180" s="6"/>
      <c r="J180" s="6">
        <v>72</v>
      </c>
      <c r="K180" s="6" t="s">
        <v>19</v>
      </c>
      <c r="L180" s="10">
        <v>3.81</v>
      </c>
      <c r="M180" s="6" t="s">
        <v>33</v>
      </c>
      <c r="N180" s="10">
        <f>Tabla18[[#This Row],[Price]]*Tabla18[[#This Row],[QTY Adjusted]]</f>
        <v>274.32</v>
      </c>
      <c r="O180" s="10">
        <v>274.32</v>
      </c>
      <c r="P180" s="10" t="s">
        <v>4239</v>
      </c>
      <c r="Q180" s="6">
        <v>0</v>
      </c>
    </row>
    <row r="181" spans="1:17" ht="38.4" customHeight="1" x14ac:dyDescent="0.3">
      <c r="A181" s="6">
        <v>481</v>
      </c>
      <c r="B181" s="6" t="s">
        <v>768</v>
      </c>
      <c r="C181" s="6" t="s">
        <v>561</v>
      </c>
      <c r="D181" s="6" t="s">
        <v>44</v>
      </c>
      <c r="E181" s="6" t="s">
        <v>327</v>
      </c>
      <c r="F181" s="6" t="s">
        <v>4059</v>
      </c>
      <c r="G181" s="6" t="s">
        <v>1048</v>
      </c>
      <c r="H181" s="6" t="s">
        <v>1049</v>
      </c>
      <c r="I181" s="6"/>
      <c r="J181" s="6">
        <v>2</v>
      </c>
      <c r="K181" s="6" t="s">
        <v>19</v>
      </c>
      <c r="L181" s="10">
        <v>159.70500000000001</v>
      </c>
      <c r="M181" s="6" t="s">
        <v>33</v>
      </c>
      <c r="N181" s="10">
        <f>Tabla18[[#This Row],[Price]]*Tabla18[[#This Row],[QTY Adjusted]]</f>
        <v>319.41000000000003</v>
      </c>
      <c r="O181" s="10">
        <v>319.41000000000003</v>
      </c>
      <c r="P181" s="22" t="s">
        <v>4225</v>
      </c>
      <c r="Q181" s="6">
        <v>0</v>
      </c>
    </row>
    <row r="182" spans="1:17" ht="38.4" customHeight="1" x14ac:dyDescent="0.3">
      <c r="A182" s="6">
        <v>453</v>
      </c>
      <c r="B182" s="6" t="s">
        <v>768</v>
      </c>
      <c r="C182" s="6" t="s">
        <v>130</v>
      </c>
      <c r="D182" s="6" t="s">
        <v>130</v>
      </c>
      <c r="E182" s="6" t="s">
        <v>971</v>
      </c>
      <c r="F182" s="6" t="s">
        <v>4059</v>
      </c>
      <c r="G182" s="6" t="s">
        <v>972</v>
      </c>
      <c r="H182" s="6" t="s">
        <v>973</v>
      </c>
      <c r="I182" s="6"/>
      <c r="J182" s="6">
        <v>15</v>
      </c>
      <c r="K182" s="6" t="s">
        <v>19</v>
      </c>
      <c r="L182" s="10">
        <v>17.736456371982801</v>
      </c>
      <c r="M182" s="6" t="s">
        <v>33</v>
      </c>
      <c r="N182" s="10">
        <f>Tabla18[[#This Row],[Price]]*Tabla18[[#This Row],[QTY Adjusted]]</f>
        <v>266.04684557974201</v>
      </c>
      <c r="O182" s="10">
        <v>266.04684557974201</v>
      </c>
      <c r="P182" s="10" t="s">
        <v>4225</v>
      </c>
      <c r="Q182" s="6">
        <v>0</v>
      </c>
    </row>
    <row r="183" spans="1:17" ht="38.4" customHeight="1" x14ac:dyDescent="0.3">
      <c r="A183" s="6">
        <v>451</v>
      </c>
      <c r="B183" s="6" t="s">
        <v>768</v>
      </c>
      <c r="C183" s="6" t="s">
        <v>228</v>
      </c>
      <c r="D183" s="6" t="s">
        <v>44</v>
      </c>
      <c r="E183" s="6" t="s">
        <v>408</v>
      </c>
      <c r="F183" s="6" t="s">
        <v>4062</v>
      </c>
      <c r="G183" s="6" t="s">
        <v>967</v>
      </c>
      <c r="H183" s="6" t="s">
        <v>968</v>
      </c>
      <c r="I183" s="6"/>
      <c r="J183" s="6">
        <v>53</v>
      </c>
      <c r="K183" s="6" t="s">
        <v>19</v>
      </c>
      <c r="L183" s="10">
        <v>4.8600000000000003</v>
      </c>
      <c r="M183" s="6" t="s">
        <v>33</v>
      </c>
      <c r="N183" s="10">
        <f>Tabla18[[#This Row],[Price]]*Tabla18[[#This Row],[QTY Adjusted]]</f>
        <v>257.58000000000004</v>
      </c>
      <c r="O183" s="10">
        <v>257.58000000000004</v>
      </c>
      <c r="P183" s="22" t="s">
        <v>4225</v>
      </c>
      <c r="Q183" s="6">
        <v>0</v>
      </c>
    </row>
    <row r="184" spans="1:17" ht="38.4" customHeight="1" x14ac:dyDescent="0.3">
      <c r="A184" s="6">
        <v>485</v>
      </c>
      <c r="B184" s="6" t="s">
        <v>768</v>
      </c>
      <c r="C184" s="6" t="s">
        <v>232</v>
      </c>
      <c r="D184" s="6" t="s">
        <v>233</v>
      </c>
      <c r="E184" s="6" t="s">
        <v>1059</v>
      </c>
      <c r="F184" s="6" t="s">
        <v>4062</v>
      </c>
      <c r="G184" s="6" t="s">
        <v>1060</v>
      </c>
      <c r="H184" s="6" t="s">
        <v>1061</v>
      </c>
      <c r="I184" s="6"/>
      <c r="J184" s="6">
        <v>72</v>
      </c>
      <c r="K184" s="6" t="s">
        <v>19</v>
      </c>
      <c r="L184" s="10">
        <v>3.56</v>
      </c>
      <c r="M184" s="6" t="s">
        <v>33</v>
      </c>
      <c r="N184" s="10">
        <f>Tabla18[[#This Row],[Price]]*Tabla18[[#This Row],[QTY Adjusted]]</f>
        <v>256.32</v>
      </c>
      <c r="O184" s="10">
        <v>256.32</v>
      </c>
      <c r="P184" s="10" t="s">
        <v>4239</v>
      </c>
      <c r="Q184" s="6">
        <v>0</v>
      </c>
    </row>
    <row r="185" spans="1:17" ht="38.4" customHeight="1" x14ac:dyDescent="0.3">
      <c r="A185" s="6">
        <v>446</v>
      </c>
      <c r="B185" s="6" t="s">
        <v>768</v>
      </c>
      <c r="C185" s="6" t="s">
        <v>134</v>
      </c>
      <c r="D185" s="6" t="s">
        <v>44</v>
      </c>
      <c r="E185" s="6" t="s">
        <v>954</v>
      </c>
      <c r="F185" s="6" t="s">
        <v>4062</v>
      </c>
      <c r="G185" s="6" t="s">
        <v>955</v>
      </c>
      <c r="H185" s="6" t="s">
        <v>956</v>
      </c>
      <c r="I185" s="6"/>
      <c r="J185" s="6">
        <v>53</v>
      </c>
      <c r="K185" s="6" t="s">
        <v>19</v>
      </c>
      <c r="L185" s="10">
        <v>4.8099999999999996</v>
      </c>
      <c r="M185" s="6" t="s">
        <v>33</v>
      </c>
      <c r="N185" s="10">
        <f>Tabla18[[#This Row],[Price]]*Tabla18[[#This Row],[QTY Adjusted]]</f>
        <v>254.92999999999998</v>
      </c>
      <c r="O185" s="10">
        <v>254.92999999999998</v>
      </c>
      <c r="P185" s="10" t="s">
        <v>4225</v>
      </c>
      <c r="Q185" s="6">
        <v>0</v>
      </c>
    </row>
    <row r="186" spans="1:17" ht="38.4" customHeight="1" x14ac:dyDescent="0.3">
      <c r="A186" s="6">
        <v>432</v>
      </c>
      <c r="B186" s="6" t="s">
        <v>768</v>
      </c>
      <c r="C186" s="6" t="s">
        <v>502</v>
      </c>
      <c r="D186" s="6" t="str">
        <f>Tabla18[[#This Row],[Vendor]]</f>
        <v>Hacha</v>
      </c>
      <c r="E186" s="6" t="s">
        <v>929</v>
      </c>
      <c r="F186" s="6" t="s">
        <v>4059</v>
      </c>
      <c r="G186" s="6" t="s">
        <v>503</v>
      </c>
      <c r="H186" s="6" t="s">
        <v>930</v>
      </c>
      <c r="I186" s="6"/>
      <c r="J186" s="6">
        <v>18</v>
      </c>
      <c r="K186" s="6" t="s">
        <v>19</v>
      </c>
      <c r="L186" s="10">
        <v>315</v>
      </c>
      <c r="M186" s="6" t="s">
        <v>20</v>
      </c>
      <c r="N186" s="10">
        <f>Tabla18[[#This Row],[Price]]*Tabla18[[#This Row],[QTY Adjusted]]</f>
        <v>5670</v>
      </c>
      <c r="O186" s="10">
        <v>290.76923076923077</v>
      </c>
      <c r="P186" s="10" t="s">
        <v>4226</v>
      </c>
      <c r="Q186" s="6">
        <v>0</v>
      </c>
    </row>
    <row r="187" spans="1:17" ht="38.4" customHeight="1" x14ac:dyDescent="0.3">
      <c r="A187" s="6">
        <v>449</v>
      </c>
      <c r="B187" s="6" t="s">
        <v>768</v>
      </c>
      <c r="C187" s="6" t="s">
        <v>228</v>
      </c>
      <c r="D187" s="6" t="s">
        <v>44</v>
      </c>
      <c r="E187" s="6" t="s">
        <v>962</v>
      </c>
      <c r="F187" s="6" t="s">
        <v>4062</v>
      </c>
      <c r="G187" s="6" t="s">
        <v>963</v>
      </c>
      <c r="H187" s="6" t="s">
        <v>964</v>
      </c>
      <c r="I187" s="6"/>
      <c r="J187" s="6">
        <v>53</v>
      </c>
      <c r="K187" s="6" t="s">
        <v>19</v>
      </c>
      <c r="L187" s="10">
        <v>4.5810000000000004</v>
      </c>
      <c r="M187" s="6" t="s">
        <v>33</v>
      </c>
      <c r="N187" s="10">
        <f>Tabla18[[#This Row],[Price]]*Tabla18[[#This Row],[QTY Adjusted]]</f>
        <v>242.79300000000003</v>
      </c>
      <c r="O187" s="10">
        <v>242.79300000000003</v>
      </c>
      <c r="P187" s="22" t="s">
        <v>4225</v>
      </c>
      <c r="Q187" s="6">
        <v>0</v>
      </c>
    </row>
    <row r="188" spans="1:17" ht="38.4" customHeight="1" x14ac:dyDescent="0.3">
      <c r="A188" s="6">
        <v>509</v>
      </c>
      <c r="B188" s="6" t="s">
        <v>768</v>
      </c>
      <c r="C188" s="6" t="s">
        <v>561</v>
      </c>
      <c r="D188" s="6" t="s">
        <v>44</v>
      </c>
      <c r="E188" s="6" t="s">
        <v>1124</v>
      </c>
      <c r="F188" s="6" t="s">
        <v>4059</v>
      </c>
      <c r="G188" s="6" t="s">
        <v>1125</v>
      </c>
      <c r="H188" s="6" t="s">
        <v>1126</v>
      </c>
      <c r="I188" s="6"/>
      <c r="J188" s="6">
        <v>9</v>
      </c>
      <c r="K188" s="6" t="s">
        <v>19</v>
      </c>
      <c r="L188" s="10">
        <v>30.712499999999999</v>
      </c>
      <c r="M188" s="6" t="s">
        <v>33</v>
      </c>
      <c r="N188" s="10">
        <f>Tabla18[[#This Row],[Price]]*Tabla18[[#This Row],[QTY Adjusted]]</f>
        <v>276.41249999999997</v>
      </c>
      <c r="O188" s="10">
        <v>276.41249999999997</v>
      </c>
      <c r="P188" s="22">
        <v>46096</v>
      </c>
      <c r="Q188" s="6">
        <v>0</v>
      </c>
    </row>
    <row r="189" spans="1:17" ht="38.4" customHeight="1" x14ac:dyDescent="0.3">
      <c r="A189" s="6">
        <v>520</v>
      </c>
      <c r="B189" s="6" t="s">
        <v>768</v>
      </c>
      <c r="C189" s="6" t="s">
        <v>321</v>
      </c>
      <c r="D189" s="6" t="s">
        <v>199</v>
      </c>
      <c r="E189" s="6" t="s">
        <v>1152</v>
      </c>
      <c r="F189" s="6" t="s">
        <v>4059</v>
      </c>
      <c r="G189" s="6" t="s">
        <v>1153</v>
      </c>
      <c r="H189" s="6" t="s">
        <v>1154</v>
      </c>
      <c r="I189" s="6"/>
      <c r="J189" s="6">
        <v>4</v>
      </c>
      <c r="K189" s="6" t="s">
        <v>19</v>
      </c>
      <c r="L189" s="10">
        <v>68.75661003750001</v>
      </c>
      <c r="M189" s="6" t="s">
        <v>33</v>
      </c>
      <c r="N189" s="10">
        <f>Tabla18[[#This Row],[Price]]*Tabla18[[#This Row],[QTY Adjusted]]</f>
        <v>275.02644015000004</v>
      </c>
      <c r="O189" s="10">
        <v>275.02644015000004</v>
      </c>
      <c r="P189" s="10" t="s">
        <v>4225</v>
      </c>
      <c r="Q189" s="6">
        <v>0</v>
      </c>
    </row>
    <row r="190" spans="1:17" ht="38.4" customHeight="1" x14ac:dyDescent="0.3">
      <c r="A190" s="6">
        <v>564</v>
      </c>
      <c r="B190" s="6" t="s">
        <v>768</v>
      </c>
      <c r="C190" s="6" t="s">
        <v>361</v>
      </c>
      <c r="D190" s="6" t="s">
        <v>362</v>
      </c>
      <c r="E190" s="6" t="s">
        <v>364</v>
      </c>
      <c r="F190" s="6" t="s">
        <v>4059</v>
      </c>
      <c r="G190" s="6" t="s">
        <v>363</v>
      </c>
      <c r="H190" s="6" t="s">
        <v>365</v>
      </c>
      <c r="I190" s="6"/>
      <c r="J190" s="6">
        <v>6</v>
      </c>
      <c r="K190" s="6" t="s">
        <v>19</v>
      </c>
      <c r="L190" s="10">
        <v>44.937176470588234</v>
      </c>
      <c r="M190" s="6" t="s">
        <v>33</v>
      </c>
      <c r="N190" s="10">
        <f>Tabla18[[#This Row],[Price]]*Tabla18[[#This Row],[QTY Adjusted]]</f>
        <v>269.62305882352939</v>
      </c>
      <c r="O190" s="10">
        <v>269.62305882352939</v>
      </c>
      <c r="P190" s="10" t="s">
        <v>4225</v>
      </c>
      <c r="Q190" s="6">
        <v>0</v>
      </c>
    </row>
    <row r="191" spans="1:17" ht="38.4" customHeight="1" x14ac:dyDescent="0.3">
      <c r="A191" s="6">
        <v>556</v>
      </c>
      <c r="B191" s="6" t="s">
        <v>768</v>
      </c>
      <c r="C191" s="6" t="s">
        <v>237</v>
      </c>
      <c r="D191" s="6" t="s">
        <v>93</v>
      </c>
      <c r="E191" s="6" t="s">
        <v>334</v>
      </c>
      <c r="F191" s="6" t="s">
        <v>4059</v>
      </c>
      <c r="G191" s="6" t="s">
        <v>339</v>
      </c>
      <c r="H191" s="6" t="s">
        <v>340</v>
      </c>
      <c r="I191" s="6"/>
      <c r="J191" s="6">
        <v>6</v>
      </c>
      <c r="K191" s="6" t="s">
        <v>19</v>
      </c>
      <c r="L191" s="10">
        <v>41.19</v>
      </c>
      <c r="M191" s="6" t="s">
        <v>33</v>
      </c>
      <c r="N191" s="10">
        <f>Tabla18[[#This Row],[Price]]*Tabla18[[#This Row],[QTY Adjusted]]</f>
        <v>247.14</v>
      </c>
      <c r="O191" s="10">
        <v>247.14</v>
      </c>
      <c r="P191" s="10" t="s">
        <v>4225</v>
      </c>
      <c r="Q191" s="6">
        <v>0</v>
      </c>
    </row>
    <row r="192" spans="1:17" ht="38.4" customHeight="1" x14ac:dyDescent="0.3">
      <c r="A192" s="6">
        <v>491</v>
      </c>
      <c r="B192" s="6" t="s">
        <v>768</v>
      </c>
      <c r="C192" s="6" t="s">
        <v>124</v>
      </c>
      <c r="D192" s="6" t="str">
        <f>Tabla18[[#This Row],[Vendor]]</f>
        <v>Impulse</v>
      </c>
      <c r="E192" s="6" t="s">
        <v>1073</v>
      </c>
      <c r="F192" s="6" t="s">
        <v>4059</v>
      </c>
      <c r="G192" s="6">
        <v>3669</v>
      </c>
      <c r="H192" s="6" t="s">
        <v>1074</v>
      </c>
      <c r="I192" s="6"/>
      <c r="J192" s="6">
        <v>4</v>
      </c>
      <c r="K192" s="6" t="s">
        <v>19</v>
      </c>
      <c r="L192" s="10">
        <v>59</v>
      </c>
      <c r="M192" s="6" t="s">
        <v>33</v>
      </c>
      <c r="N192" s="10">
        <f>Tabla18[[#This Row],[Price]]*Tabla18[[#This Row],[QTY Adjusted]]</f>
        <v>236</v>
      </c>
      <c r="O192" s="10">
        <v>236</v>
      </c>
      <c r="P192" s="10" t="s">
        <v>4224</v>
      </c>
      <c r="Q192" s="6">
        <v>0</v>
      </c>
    </row>
    <row r="193" spans="1:17" ht="38.4" customHeight="1" x14ac:dyDescent="0.3">
      <c r="A193" s="6">
        <v>492</v>
      </c>
      <c r="B193" s="6" t="s">
        <v>768</v>
      </c>
      <c r="C193" s="6" t="s">
        <v>124</v>
      </c>
      <c r="D193" s="6" t="str">
        <f>Tabla18[[#This Row],[Vendor]]</f>
        <v>Impulse</v>
      </c>
      <c r="E193" s="6" t="s">
        <v>1075</v>
      </c>
      <c r="F193" s="6" t="s">
        <v>4059</v>
      </c>
      <c r="G193" s="6">
        <v>3670</v>
      </c>
      <c r="H193" s="6" t="s">
        <v>1076</v>
      </c>
      <c r="I193" s="6"/>
      <c r="J193" s="6">
        <v>4</v>
      </c>
      <c r="K193" s="6" t="s">
        <v>19</v>
      </c>
      <c r="L193" s="10">
        <v>59</v>
      </c>
      <c r="M193" s="6" t="s">
        <v>33</v>
      </c>
      <c r="N193" s="10">
        <f>Tabla18[[#This Row],[Price]]*Tabla18[[#This Row],[QTY Adjusted]]</f>
        <v>236</v>
      </c>
      <c r="O193" s="10">
        <v>236</v>
      </c>
      <c r="P193" s="10" t="s">
        <v>4224</v>
      </c>
      <c r="Q193" s="6">
        <v>0</v>
      </c>
    </row>
    <row r="194" spans="1:17" ht="38.4" customHeight="1" x14ac:dyDescent="0.3">
      <c r="A194" s="6">
        <v>464</v>
      </c>
      <c r="B194" s="6" t="s">
        <v>768</v>
      </c>
      <c r="C194" s="6" t="s">
        <v>38</v>
      </c>
      <c r="D194" s="6" t="str">
        <f>Tabla18[[#This Row],[Vendor]]</f>
        <v>Peugeot</v>
      </c>
      <c r="E194" s="6" t="s">
        <v>39</v>
      </c>
      <c r="F194" s="6" t="s">
        <v>4059</v>
      </c>
      <c r="G194" s="6">
        <v>3981300</v>
      </c>
      <c r="H194" s="6" t="s">
        <v>1003</v>
      </c>
      <c r="I194" s="6"/>
      <c r="J194" s="6">
        <v>2</v>
      </c>
      <c r="K194" s="6" t="s">
        <v>19</v>
      </c>
      <c r="L194" s="10">
        <v>112</v>
      </c>
      <c r="M194" s="6" t="s">
        <v>33</v>
      </c>
      <c r="N194" s="10">
        <f>Tabla18[[#This Row],[Price]]*Tabla18[[#This Row],[QTY Adjusted]]</f>
        <v>224</v>
      </c>
      <c r="O194" s="10">
        <v>224</v>
      </c>
      <c r="P194" s="10" t="s">
        <v>4232</v>
      </c>
      <c r="Q194" s="6">
        <v>0</v>
      </c>
    </row>
    <row r="195" spans="1:17" ht="38.4" customHeight="1" x14ac:dyDescent="0.3">
      <c r="A195" s="6">
        <v>470</v>
      </c>
      <c r="B195" s="6" t="s">
        <v>768</v>
      </c>
      <c r="C195" s="6" t="s">
        <v>561</v>
      </c>
      <c r="D195" s="6" t="s">
        <v>44</v>
      </c>
      <c r="E195" s="6" t="s">
        <v>1017</v>
      </c>
      <c r="F195" s="6" t="s">
        <v>4059</v>
      </c>
      <c r="G195" s="6" t="s">
        <v>1018</v>
      </c>
      <c r="H195" s="6" t="s">
        <v>1019</v>
      </c>
      <c r="I195" s="6"/>
      <c r="J195" s="6">
        <v>6</v>
      </c>
      <c r="K195" s="6" t="s">
        <v>19</v>
      </c>
      <c r="L195" s="10">
        <v>36.854999999999997</v>
      </c>
      <c r="M195" s="6" t="s">
        <v>33</v>
      </c>
      <c r="N195" s="10">
        <f>Tabla18[[#This Row],[Price]]*Tabla18[[#This Row],[QTY Adjusted]]</f>
        <v>221.13</v>
      </c>
      <c r="O195" s="10">
        <v>221.13</v>
      </c>
      <c r="P195" s="22">
        <v>46091</v>
      </c>
      <c r="Q195" s="6">
        <v>0</v>
      </c>
    </row>
    <row r="196" spans="1:17" ht="38.4" customHeight="1" x14ac:dyDescent="0.3">
      <c r="A196" s="6">
        <v>422</v>
      </c>
      <c r="B196" s="6" t="s">
        <v>768</v>
      </c>
      <c r="C196" s="6" t="s">
        <v>561</v>
      </c>
      <c r="D196" s="6" t="s">
        <v>44</v>
      </c>
      <c r="E196" s="6" t="s">
        <v>900</v>
      </c>
      <c r="F196" s="6" t="s">
        <v>4059</v>
      </c>
      <c r="G196" s="6" t="s">
        <v>901</v>
      </c>
      <c r="H196" s="6" t="s">
        <v>902</v>
      </c>
      <c r="I196" s="6"/>
      <c r="J196" s="6">
        <v>24</v>
      </c>
      <c r="K196" s="6" t="s">
        <v>19</v>
      </c>
      <c r="L196" s="10">
        <v>8.9949999999999992</v>
      </c>
      <c r="M196" s="6" t="s">
        <v>33</v>
      </c>
      <c r="N196" s="10">
        <f>Tabla18[[#This Row],[Price]]*Tabla18[[#This Row],[QTY Adjusted]]</f>
        <v>215.88</v>
      </c>
      <c r="O196" s="10">
        <v>215.88</v>
      </c>
      <c r="P196" s="22">
        <v>46096</v>
      </c>
      <c r="Q196" s="6">
        <v>0</v>
      </c>
    </row>
    <row r="197" spans="1:17" ht="38.4" customHeight="1" x14ac:dyDescent="0.3">
      <c r="A197" s="6">
        <v>548</v>
      </c>
      <c r="B197" s="6" t="s">
        <v>768</v>
      </c>
      <c r="C197" s="6" t="s">
        <v>309</v>
      </c>
      <c r="D197" s="6" t="s">
        <v>44</v>
      </c>
      <c r="E197" s="6" t="s">
        <v>312</v>
      </c>
      <c r="F197" s="6" t="s">
        <v>4059</v>
      </c>
      <c r="G197" s="6" t="s">
        <v>311</v>
      </c>
      <c r="H197" s="6" t="s">
        <v>313</v>
      </c>
      <c r="I197" s="6"/>
      <c r="J197" s="6">
        <v>2</v>
      </c>
      <c r="K197" s="6" t="s">
        <v>19</v>
      </c>
      <c r="L197" s="10">
        <v>105.01</v>
      </c>
      <c r="M197" s="6" t="s">
        <v>33</v>
      </c>
      <c r="N197" s="10">
        <f>Tabla18[[#This Row],[Price]]*Tabla18[[#This Row],[QTY Adjusted]]</f>
        <v>210.02</v>
      </c>
      <c r="O197" s="10">
        <v>210.02</v>
      </c>
      <c r="P197" s="10" t="s">
        <v>4225</v>
      </c>
      <c r="Q197" s="6">
        <v>0</v>
      </c>
    </row>
    <row r="198" spans="1:17" ht="38.4" customHeight="1" x14ac:dyDescent="0.3">
      <c r="A198" s="6">
        <v>433</v>
      </c>
      <c r="B198" s="6" t="s">
        <v>768</v>
      </c>
      <c r="C198" s="6" t="s">
        <v>92</v>
      </c>
      <c r="D198" s="6" t="s">
        <v>93</v>
      </c>
      <c r="E198" s="6" t="s">
        <v>931</v>
      </c>
      <c r="F198" s="6" t="s">
        <v>4059</v>
      </c>
      <c r="G198" s="6" t="s">
        <v>932</v>
      </c>
      <c r="H198" s="6" t="s">
        <v>933</v>
      </c>
      <c r="I198" s="6"/>
      <c r="J198" s="6">
        <v>24</v>
      </c>
      <c r="K198" s="6" t="s">
        <v>19</v>
      </c>
      <c r="L198" s="10">
        <v>8.68</v>
      </c>
      <c r="M198" s="6" t="s">
        <v>33</v>
      </c>
      <c r="N198" s="10">
        <f>Tabla18[[#This Row],[Price]]*Tabla18[[#This Row],[QTY Adjusted]]</f>
        <v>208.32</v>
      </c>
      <c r="O198" s="10">
        <v>208.32</v>
      </c>
      <c r="P198" s="10" t="s">
        <v>4225</v>
      </c>
      <c r="Q198" s="6">
        <v>0</v>
      </c>
    </row>
    <row r="199" spans="1:17" ht="38.4" customHeight="1" x14ac:dyDescent="0.3">
      <c r="A199" s="6">
        <v>498</v>
      </c>
      <c r="B199" s="6" t="s">
        <v>768</v>
      </c>
      <c r="C199" s="6" t="s">
        <v>561</v>
      </c>
      <c r="D199" s="6" t="s">
        <v>44</v>
      </c>
      <c r="E199" s="6" t="s">
        <v>1092</v>
      </c>
      <c r="F199" s="6" t="s">
        <v>4059</v>
      </c>
      <c r="G199" s="6" t="s">
        <v>1093</v>
      </c>
      <c r="H199" s="6" t="s">
        <v>1094</v>
      </c>
      <c r="I199" s="6"/>
      <c r="J199" s="6">
        <v>6</v>
      </c>
      <c r="K199" s="6" t="s">
        <v>19</v>
      </c>
      <c r="L199" s="10">
        <v>29.032499999999999</v>
      </c>
      <c r="M199" s="6" t="s">
        <v>33</v>
      </c>
      <c r="N199" s="10">
        <f>Tabla18[[#This Row],[Price]]*Tabla18[[#This Row],[QTY Adjusted]]</f>
        <v>174.19499999999999</v>
      </c>
      <c r="O199" s="10">
        <v>174.19499999999999</v>
      </c>
      <c r="P199" s="22">
        <v>46096</v>
      </c>
      <c r="Q199" s="6">
        <v>0</v>
      </c>
    </row>
    <row r="200" spans="1:17" ht="38.4" customHeight="1" x14ac:dyDescent="0.3">
      <c r="A200" s="6">
        <v>554</v>
      </c>
      <c r="B200" s="6" t="s">
        <v>768</v>
      </c>
      <c r="C200" s="6" t="s">
        <v>237</v>
      </c>
      <c r="D200" s="6" t="s">
        <v>93</v>
      </c>
      <c r="E200" s="6" t="s">
        <v>334</v>
      </c>
      <c r="F200" s="6" t="s">
        <v>4059</v>
      </c>
      <c r="G200" s="6" t="s">
        <v>333</v>
      </c>
      <c r="H200" s="6" t="s">
        <v>335</v>
      </c>
      <c r="I200" s="6"/>
      <c r="J200" s="6">
        <v>6</v>
      </c>
      <c r="K200" s="6" t="s">
        <v>19</v>
      </c>
      <c r="L200" s="10">
        <v>28.36</v>
      </c>
      <c r="M200" s="6" t="s">
        <v>33</v>
      </c>
      <c r="N200" s="10">
        <f>Tabla18[[#This Row],[Price]]*Tabla18[[#This Row],[QTY Adjusted]]</f>
        <v>170.16</v>
      </c>
      <c r="O200" s="10">
        <v>170.16</v>
      </c>
      <c r="P200" s="10" t="s">
        <v>4225</v>
      </c>
      <c r="Q200" s="6">
        <v>0</v>
      </c>
    </row>
    <row r="201" spans="1:17" ht="38.4" customHeight="1" x14ac:dyDescent="0.3">
      <c r="A201" s="6">
        <v>465</v>
      </c>
      <c r="B201" s="6" t="s">
        <v>768</v>
      </c>
      <c r="C201" s="6" t="s">
        <v>38</v>
      </c>
      <c r="D201" s="6" t="str">
        <f>Tabla18[[#This Row],[Vendor]]</f>
        <v>Peugeot</v>
      </c>
      <c r="E201" s="6" t="s">
        <v>41</v>
      </c>
      <c r="F201" s="6" t="s">
        <v>4059</v>
      </c>
      <c r="G201" s="6">
        <v>39806</v>
      </c>
      <c r="H201" s="6" t="s">
        <v>1004</v>
      </c>
      <c r="I201" s="6"/>
      <c r="J201" s="6">
        <v>2</v>
      </c>
      <c r="K201" s="6" t="s">
        <v>19</v>
      </c>
      <c r="L201" s="10">
        <v>84</v>
      </c>
      <c r="M201" s="6" t="s">
        <v>33</v>
      </c>
      <c r="N201" s="10">
        <f>Tabla18[[#This Row],[Price]]*Tabla18[[#This Row],[QTY Adjusted]]</f>
        <v>168</v>
      </c>
      <c r="O201" s="10">
        <v>168</v>
      </c>
      <c r="P201" s="10" t="s">
        <v>4232</v>
      </c>
      <c r="Q201" s="6">
        <v>0</v>
      </c>
    </row>
    <row r="202" spans="1:17" ht="38.4" customHeight="1" x14ac:dyDescent="0.3">
      <c r="A202" s="6">
        <v>406</v>
      </c>
      <c r="B202" s="6" t="s">
        <v>768</v>
      </c>
      <c r="C202" s="6" t="s">
        <v>389</v>
      </c>
      <c r="D202" s="6" t="str">
        <f>Tabla18[[#This Row],[Vendor]]</f>
        <v>Maison Margaux</v>
      </c>
      <c r="E202" s="6" t="s">
        <v>823</v>
      </c>
      <c r="F202" s="6"/>
      <c r="G202" s="6"/>
      <c r="H202" s="6" t="s">
        <v>878</v>
      </c>
      <c r="I202" s="6"/>
      <c r="J202" s="6">
        <v>10</v>
      </c>
      <c r="K202" s="6" t="s">
        <v>19</v>
      </c>
      <c r="L202" s="10">
        <v>16.66</v>
      </c>
      <c r="M202" s="6" t="s">
        <v>33</v>
      </c>
      <c r="N202" s="10">
        <f>Tabla18[[#This Row],[Price]]*Tabla18[[#This Row],[QTY Adjusted]]</f>
        <v>166.6</v>
      </c>
      <c r="O202" s="10">
        <v>166.6</v>
      </c>
      <c r="P202" s="10" t="s">
        <v>4226</v>
      </c>
      <c r="Q202" s="6">
        <v>0</v>
      </c>
    </row>
    <row r="203" spans="1:17" ht="38.4" customHeight="1" x14ac:dyDescent="0.3">
      <c r="A203" s="6">
        <v>559</v>
      </c>
      <c r="B203" s="6" t="s">
        <v>768</v>
      </c>
      <c r="C203" s="6" t="s">
        <v>329</v>
      </c>
      <c r="D203" s="6" t="s">
        <v>199</v>
      </c>
      <c r="E203" s="6" t="s">
        <v>347</v>
      </c>
      <c r="F203" s="6" t="s">
        <v>4059</v>
      </c>
      <c r="G203" s="6" t="s">
        <v>346</v>
      </c>
      <c r="H203" s="6" t="s">
        <v>348</v>
      </c>
      <c r="I203" s="6"/>
      <c r="J203" s="6">
        <v>6</v>
      </c>
      <c r="K203" s="6" t="s">
        <v>19</v>
      </c>
      <c r="L203" s="10">
        <v>27.350190000000001</v>
      </c>
      <c r="M203" s="6" t="s">
        <v>33</v>
      </c>
      <c r="N203" s="10">
        <f>Tabla18[[#This Row],[Price]]*Tabla18[[#This Row],[QTY Adjusted]]</f>
        <v>164.10114000000002</v>
      </c>
      <c r="O203" s="10">
        <v>164.10114000000002</v>
      </c>
      <c r="P203" s="10" t="s">
        <v>4225</v>
      </c>
      <c r="Q203" s="6">
        <v>0</v>
      </c>
    </row>
    <row r="204" spans="1:17" ht="38.4" customHeight="1" x14ac:dyDescent="0.3">
      <c r="A204" s="6">
        <v>524</v>
      </c>
      <c r="B204" s="6" t="s">
        <v>768</v>
      </c>
      <c r="C204" s="6" t="s">
        <v>237</v>
      </c>
      <c r="D204" s="6" t="s">
        <v>93</v>
      </c>
      <c r="E204" s="6" t="s">
        <v>245</v>
      </c>
      <c r="F204" s="6" t="s">
        <v>4059</v>
      </c>
      <c r="G204" s="6" t="s">
        <v>1159</v>
      </c>
      <c r="H204" s="6" t="s">
        <v>1160</v>
      </c>
      <c r="I204" s="6"/>
      <c r="J204" s="6">
        <v>2</v>
      </c>
      <c r="K204" s="6" t="s">
        <v>19</v>
      </c>
      <c r="L204" s="10">
        <v>77.989999999999995</v>
      </c>
      <c r="M204" s="6" t="s">
        <v>33</v>
      </c>
      <c r="N204" s="10">
        <f>Tabla18[[#This Row],[Price]]*Tabla18[[#This Row],[QTY Adjusted]]</f>
        <v>155.97999999999999</v>
      </c>
      <c r="O204" s="10">
        <v>155.97999999999999</v>
      </c>
      <c r="P204" s="10" t="s">
        <v>4225</v>
      </c>
      <c r="Q204" s="6">
        <v>0</v>
      </c>
    </row>
    <row r="205" spans="1:17" ht="38.4" customHeight="1" x14ac:dyDescent="0.3">
      <c r="A205" s="6">
        <v>547</v>
      </c>
      <c r="B205" s="6" t="s">
        <v>768</v>
      </c>
      <c r="C205" s="6" t="s">
        <v>272</v>
      </c>
      <c r="D205" s="6" t="str">
        <f>Tabla18[[#This Row],[Vendor]]</f>
        <v>Spill-Stop</v>
      </c>
      <c r="E205" s="6" t="s">
        <v>307</v>
      </c>
      <c r="F205" s="6" t="s">
        <v>4059</v>
      </c>
      <c r="G205" s="6" t="s">
        <v>306</v>
      </c>
      <c r="H205" s="6" t="s">
        <v>308</v>
      </c>
      <c r="I205" s="6"/>
      <c r="J205" s="6">
        <v>58</v>
      </c>
      <c r="K205" s="6" t="s">
        <v>19</v>
      </c>
      <c r="L205" s="10">
        <v>2.2799999999999998</v>
      </c>
      <c r="M205" s="6" t="s">
        <v>33</v>
      </c>
      <c r="N205" s="10">
        <f>Tabla18[[#This Row],[Price]]*Tabla18[[#This Row],[QTY Adjusted]]</f>
        <v>132.23999999999998</v>
      </c>
      <c r="O205" s="10">
        <v>132.23999999999998</v>
      </c>
      <c r="P205" s="10" t="s">
        <v>4230</v>
      </c>
      <c r="Q205" s="6">
        <v>0</v>
      </c>
    </row>
    <row r="206" spans="1:17" ht="38.4" customHeight="1" x14ac:dyDescent="0.3">
      <c r="A206" s="6">
        <v>460</v>
      </c>
      <c r="B206" s="6" t="s">
        <v>768</v>
      </c>
      <c r="C206" s="6" t="s">
        <v>990</v>
      </c>
      <c r="D206" s="6" t="s">
        <v>130</v>
      </c>
      <c r="E206" s="6" t="s">
        <v>991</v>
      </c>
      <c r="F206" s="6" t="s">
        <v>4059</v>
      </c>
      <c r="G206" s="6" t="s">
        <v>992</v>
      </c>
      <c r="H206" s="6" t="s">
        <v>993</v>
      </c>
      <c r="I206" s="6"/>
      <c r="J206" s="6">
        <v>2</v>
      </c>
      <c r="K206" s="6" t="s">
        <v>19</v>
      </c>
      <c r="L206" s="10">
        <v>68.901380567399301</v>
      </c>
      <c r="M206" s="6" t="s">
        <v>33</v>
      </c>
      <c r="N206" s="10">
        <f>Tabla18[[#This Row],[Price]]*Tabla18[[#This Row],[QTY Adjusted]]</f>
        <v>137.8027611347986</v>
      </c>
      <c r="O206" s="10">
        <v>137.8027611347986</v>
      </c>
      <c r="P206" s="10" t="s">
        <v>4225</v>
      </c>
      <c r="Q206" s="6">
        <v>0</v>
      </c>
    </row>
    <row r="207" spans="1:17" ht="38.4" customHeight="1" x14ac:dyDescent="0.3">
      <c r="A207" s="6">
        <v>463</v>
      </c>
      <c r="B207" s="6" t="s">
        <v>768</v>
      </c>
      <c r="C207" s="6" t="s">
        <v>219</v>
      </c>
      <c r="D207" s="6" t="s">
        <v>44</v>
      </c>
      <c r="E207" s="6" t="s">
        <v>1000</v>
      </c>
      <c r="F207" s="6" t="s">
        <v>4059</v>
      </c>
      <c r="G207" s="6" t="s">
        <v>1001</v>
      </c>
      <c r="H207" s="6" t="s">
        <v>1002</v>
      </c>
      <c r="I207" s="6"/>
      <c r="J207" s="6">
        <v>12</v>
      </c>
      <c r="K207" s="6" t="s">
        <v>19</v>
      </c>
      <c r="L207" s="10">
        <v>9.6120000000000001</v>
      </c>
      <c r="M207" s="6" t="s">
        <v>33</v>
      </c>
      <c r="N207" s="10">
        <f>Tabla18[[#This Row],[Price]]*Tabla18[[#This Row],[QTY Adjusted]]</f>
        <v>115.34399999999999</v>
      </c>
      <c r="O207" s="10">
        <v>115.34399999999999</v>
      </c>
      <c r="P207" s="22" t="s">
        <v>4225</v>
      </c>
      <c r="Q207" s="6">
        <v>0</v>
      </c>
    </row>
    <row r="208" spans="1:17" ht="38.4" customHeight="1" x14ac:dyDescent="0.3">
      <c r="A208" s="6">
        <v>459</v>
      </c>
      <c r="B208" s="6" t="s">
        <v>768</v>
      </c>
      <c r="C208" s="6" t="s">
        <v>219</v>
      </c>
      <c r="D208" s="6" t="s">
        <v>44</v>
      </c>
      <c r="E208" s="6" t="s">
        <v>987</v>
      </c>
      <c r="F208" s="6" t="s">
        <v>4059</v>
      </c>
      <c r="G208" s="6" t="s">
        <v>988</v>
      </c>
      <c r="H208" s="6" t="s">
        <v>989</v>
      </c>
      <c r="I208" s="6"/>
      <c r="J208" s="6">
        <v>6</v>
      </c>
      <c r="K208" s="6" t="s">
        <v>19</v>
      </c>
      <c r="L208" s="10">
        <v>19.026</v>
      </c>
      <c r="M208" s="6" t="s">
        <v>33</v>
      </c>
      <c r="N208" s="10">
        <f>Tabla18[[#This Row],[Price]]*Tabla18[[#This Row],[QTY Adjusted]]</f>
        <v>114.15600000000001</v>
      </c>
      <c r="O208" s="10">
        <v>114.15600000000001</v>
      </c>
      <c r="P208" s="22" t="s">
        <v>4225</v>
      </c>
      <c r="Q208" s="6">
        <v>0</v>
      </c>
    </row>
    <row r="209" spans="1:17" ht="38.4" customHeight="1" x14ac:dyDescent="0.3">
      <c r="A209" s="6">
        <v>407</v>
      </c>
      <c r="B209" s="6" t="s">
        <v>768</v>
      </c>
      <c r="C209" s="6" t="s">
        <v>389</v>
      </c>
      <c r="D209" s="6" t="str">
        <f>Tabla18[[#This Row],[Vendor]]</f>
        <v>Maison Margaux</v>
      </c>
      <c r="E209" s="6" t="s">
        <v>823</v>
      </c>
      <c r="F209" s="6"/>
      <c r="G209" s="6"/>
      <c r="H209" s="6" t="s">
        <v>879</v>
      </c>
      <c r="I209" s="6"/>
      <c r="J209" s="6">
        <v>10</v>
      </c>
      <c r="K209" s="6" t="s">
        <v>19</v>
      </c>
      <c r="L209" s="10">
        <v>10.78</v>
      </c>
      <c r="M209" s="6" t="s">
        <v>33</v>
      </c>
      <c r="N209" s="10">
        <f>Tabla18[[#This Row],[Price]]*Tabla18[[#This Row],[QTY Adjusted]]</f>
        <v>107.8</v>
      </c>
      <c r="O209" s="10">
        <v>107.8</v>
      </c>
      <c r="P209" s="10" t="s">
        <v>4226</v>
      </c>
      <c r="Q209" s="6">
        <v>0</v>
      </c>
    </row>
    <row r="210" spans="1:17" ht="38.4" customHeight="1" x14ac:dyDescent="0.3">
      <c r="A210" s="6">
        <v>348</v>
      </c>
      <c r="B210" s="6" t="s">
        <v>768</v>
      </c>
      <c r="C210" s="6" t="s">
        <v>389</v>
      </c>
      <c r="D210" s="6" t="str">
        <f>Tabla18[[#This Row],[Vendor]]</f>
        <v>Maison Margaux</v>
      </c>
      <c r="E210" s="6" t="s">
        <v>769</v>
      </c>
      <c r="F210" s="6"/>
      <c r="G210" s="6"/>
      <c r="H210" s="6" t="s">
        <v>798</v>
      </c>
      <c r="I210" s="6" t="s">
        <v>783</v>
      </c>
      <c r="J210" s="6">
        <v>21</v>
      </c>
      <c r="K210" s="6" t="s">
        <v>19</v>
      </c>
      <c r="L210" s="10">
        <v>5.0999999999999996</v>
      </c>
      <c r="M210" s="6" t="s">
        <v>33</v>
      </c>
      <c r="N210" s="10">
        <f>Tabla18[[#This Row],[Price]]*Tabla18[[#This Row],[QTY Adjusted]]</f>
        <v>107.1</v>
      </c>
      <c r="O210" s="10">
        <v>107.1</v>
      </c>
      <c r="P210" s="10" t="s">
        <v>4226</v>
      </c>
      <c r="Q210" s="6">
        <v>0</v>
      </c>
    </row>
    <row r="211" spans="1:17" ht="38.4" customHeight="1" x14ac:dyDescent="0.3">
      <c r="A211" s="6">
        <v>557</v>
      </c>
      <c r="B211" s="6" t="s">
        <v>768</v>
      </c>
      <c r="C211" s="6" t="s">
        <v>237</v>
      </c>
      <c r="D211" s="6" t="s">
        <v>93</v>
      </c>
      <c r="E211" s="6" t="s">
        <v>337</v>
      </c>
      <c r="F211" s="6" t="s">
        <v>4059</v>
      </c>
      <c r="G211" s="6" t="s">
        <v>341</v>
      </c>
      <c r="H211" s="6" t="s">
        <v>342</v>
      </c>
      <c r="I211" s="6"/>
      <c r="J211" s="6">
        <v>6</v>
      </c>
      <c r="K211" s="6" t="s">
        <v>19</v>
      </c>
      <c r="L211" s="10">
        <v>16.690000000000001</v>
      </c>
      <c r="M211" s="6" t="s">
        <v>33</v>
      </c>
      <c r="N211" s="10">
        <f>Tabla18[[#This Row],[Price]]*Tabla18[[#This Row],[QTY Adjusted]]</f>
        <v>100.14000000000001</v>
      </c>
      <c r="O211" s="10">
        <v>100.14000000000001</v>
      </c>
      <c r="P211" s="10" t="s">
        <v>4225</v>
      </c>
      <c r="Q211" s="6">
        <v>0</v>
      </c>
    </row>
    <row r="212" spans="1:17" ht="38.4" customHeight="1" x14ac:dyDescent="0.3">
      <c r="A212" s="6">
        <v>537</v>
      </c>
      <c r="B212" s="6" t="s">
        <v>768</v>
      </c>
      <c r="C212" s="6" t="s">
        <v>228</v>
      </c>
      <c r="D212" s="6" t="s">
        <v>44</v>
      </c>
      <c r="E212" s="6" t="s">
        <v>277</v>
      </c>
      <c r="F212" s="6" t="s">
        <v>4059</v>
      </c>
      <c r="G212" s="6" t="s">
        <v>1161</v>
      </c>
      <c r="H212" s="6" t="s">
        <v>1162</v>
      </c>
      <c r="I212" s="6"/>
      <c r="J212" s="6">
        <v>6</v>
      </c>
      <c r="K212" s="6" t="s">
        <v>19</v>
      </c>
      <c r="L212" s="10">
        <v>14.553000000000001</v>
      </c>
      <c r="M212" s="6" t="s">
        <v>33</v>
      </c>
      <c r="N212" s="10">
        <f>Tabla18[[#This Row],[Price]]*Tabla18[[#This Row],[QTY Adjusted]]</f>
        <v>87.318000000000012</v>
      </c>
      <c r="O212" s="10">
        <v>87.318000000000012</v>
      </c>
      <c r="P212" s="22" t="s">
        <v>4225</v>
      </c>
      <c r="Q212" s="6">
        <v>0</v>
      </c>
    </row>
    <row r="213" spans="1:17" ht="38.4" customHeight="1" x14ac:dyDescent="0.3">
      <c r="A213" s="6">
        <v>551</v>
      </c>
      <c r="B213" s="6" t="s">
        <v>768</v>
      </c>
      <c r="C213" s="6" t="s">
        <v>321</v>
      </c>
      <c r="D213" s="6" t="s">
        <v>199</v>
      </c>
      <c r="E213" s="6" t="s">
        <v>323</v>
      </c>
      <c r="F213" s="6" t="s">
        <v>4059</v>
      </c>
      <c r="G213" s="6" t="s">
        <v>322</v>
      </c>
      <c r="H213" s="6" t="s">
        <v>324</v>
      </c>
      <c r="I213" s="6"/>
      <c r="J213" s="6">
        <v>4</v>
      </c>
      <c r="K213" s="6" t="s">
        <v>19</v>
      </c>
      <c r="L213" s="10">
        <v>20.500824093750008</v>
      </c>
      <c r="M213" s="6" t="s">
        <v>33</v>
      </c>
      <c r="N213" s="10">
        <f>Tabla18[[#This Row],[Price]]*Tabla18[[#This Row],[QTY Adjusted]]</f>
        <v>82.003296375000033</v>
      </c>
      <c r="O213" s="10">
        <v>82.003296375000033</v>
      </c>
      <c r="P213" s="10" t="s">
        <v>4225</v>
      </c>
      <c r="Q213" s="6">
        <v>0</v>
      </c>
    </row>
    <row r="214" spans="1:17" ht="38.4" customHeight="1" x14ac:dyDescent="0.3">
      <c r="A214" s="6">
        <v>543</v>
      </c>
      <c r="B214" s="6" t="s">
        <v>768</v>
      </c>
      <c r="C214" s="6" t="s">
        <v>228</v>
      </c>
      <c r="D214" s="6" t="s">
        <v>44</v>
      </c>
      <c r="E214" s="6" t="s">
        <v>295</v>
      </c>
      <c r="F214" s="6" t="s">
        <v>4059</v>
      </c>
      <c r="G214" s="6" t="s">
        <v>1173</v>
      </c>
      <c r="H214" s="6" t="s">
        <v>1174</v>
      </c>
      <c r="I214" s="6"/>
      <c r="J214" s="6">
        <v>8</v>
      </c>
      <c r="K214" s="6" t="s">
        <v>19</v>
      </c>
      <c r="L214" s="10">
        <v>9.9450000000000003</v>
      </c>
      <c r="M214" s="6" t="s">
        <v>33</v>
      </c>
      <c r="N214" s="10">
        <f>Tabla18[[#This Row],[Price]]*Tabla18[[#This Row],[QTY Adjusted]]</f>
        <v>79.56</v>
      </c>
      <c r="O214" s="10">
        <v>79.56</v>
      </c>
      <c r="P214" s="22" t="s">
        <v>4225</v>
      </c>
      <c r="Q214" s="6">
        <v>0</v>
      </c>
    </row>
    <row r="215" spans="1:17" ht="38.4" customHeight="1" x14ac:dyDescent="0.3">
      <c r="A215" s="6">
        <v>562</v>
      </c>
      <c r="B215" s="6" t="s">
        <v>768</v>
      </c>
      <c r="C215" s="6" t="s">
        <v>272</v>
      </c>
      <c r="D215" s="6" t="str">
        <f>Tabla18[[#This Row],[Vendor]]</f>
        <v>Spill-Stop</v>
      </c>
      <c r="E215" s="6" t="s">
        <v>347</v>
      </c>
      <c r="F215" s="6" t="s">
        <v>4059</v>
      </c>
      <c r="G215" s="6" t="s">
        <v>355</v>
      </c>
      <c r="H215" s="6" t="s">
        <v>356</v>
      </c>
      <c r="I215" s="6"/>
      <c r="J215" s="6">
        <v>8</v>
      </c>
      <c r="K215" s="6" t="s">
        <v>19</v>
      </c>
      <c r="L215" s="10">
        <v>9.08</v>
      </c>
      <c r="M215" s="6" t="s">
        <v>33</v>
      </c>
      <c r="N215" s="10">
        <f>Tabla18[[#This Row],[Price]]*Tabla18[[#This Row],[QTY Adjusted]]</f>
        <v>72.64</v>
      </c>
      <c r="O215" s="10">
        <v>72.64</v>
      </c>
      <c r="P215" s="10" t="s">
        <v>4230</v>
      </c>
      <c r="Q215" s="6">
        <v>0</v>
      </c>
    </row>
    <row r="216" spans="1:17" ht="38.4" customHeight="1" x14ac:dyDescent="0.3">
      <c r="A216" s="6">
        <v>555</v>
      </c>
      <c r="B216" s="6" t="s">
        <v>768</v>
      </c>
      <c r="C216" s="6" t="s">
        <v>237</v>
      </c>
      <c r="D216" s="6" t="s">
        <v>93</v>
      </c>
      <c r="E216" s="6" t="s">
        <v>337</v>
      </c>
      <c r="F216" s="6" t="s">
        <v>4059</v>
      </c>
      <c r="G216" s="6" t="s">
        <v>336</v>
      </c>
      <c r="H216" s="6" t="s">
        <v>338</v>
      </c>
      <c r="I216" s="6"/>
      <c r="J216" s="6">
        <v>6</v>
      </c>
      <c r="K216" s="6" t="s">
        <v>19</v>
      </c>
      <c r="L216" s="10">
        <v>11.86</v>
      </c>
      <c r="M216" s="6" t="s">
        <v>33</v>
      </c>
      <c r="N216" s="10">
        <f>Tabla18[[#This Row],[Price]]*Tabla18[[#This Row],[QTY Adjusted]]</f>
        <v>71.16</v>
      </c>
      <c r="O216" s="10">
        <v>71.16</v>
      </c>
      <c r="P216" s="10" t="s">
        <v>4225</v>
      </c>
      <c r="Q216" s="6">
        <v>0</v>
      </c>
    </row>
    <row r="217" spans="1:17" ht="38.4" customHeight="1" x14ac:dyDescent="0.3">
      <c r="A217" s="6">
        <v>538</v>
      </c>
      <c r="B217" s="6" t="s">
        <v>768</v>
      </c>
      <c r="C217" s="6" t="s">
        <v>228</v>
      </c>
      <c r="D217" s="6" t="s">
        <v>44</v>
      </c>
      <c r="E217" s="6" t="s">
        <v>280</v>
      </c>
      <c r="F217" s="6" t="s">
        <v>4059</v>
      </c>
      <c r="G217" s="6" t="s">
        <v>1163</v>
      </c>
      <c r="H217" s="6" t="s">
        <v>1164</v>
      </c>
      <c r="I217" s="6"/>
      <c r="J217" s="6">
        <v>4</v>
      </c>
      <c r="K217" s="6" t="s">
        <v>19</v>
      </c>
      <c r="L217" s="10">
        <v>17.388000000000002</v>
      </c>
      <c r="M217" s="6" t="s">
        <v>33</v>
      </c>
      <c r="N217" s="10">
        <f>Tabla18[[#This Row],[Price]]*Tabla18[[#This Row],[QTY Adjusted]]</f>
        <v>69.552000000000007</v>
      </c>
      <c r="O217" s="10">
        <v>69.552000000000007</v>
      </c>
      <c r="P217" s="22" t="s">
        <v>4225</v>
      </c>
      <c r="Q217" s="6">
        <v>0</v>
      </c>
    </row>
    <row r="218" spans="1:17" ht="38.4" customHeight="1" x14ac:dyDescent="0.3">
      <c r="A218" s="6">
        <v>540</v>
      </c>
      <c r="B218" s="6" t="s">
        <v>768</v>
      </c>
      <c r="C218" s="6" t="s">
        <v>228</v>
      </c>
      <c r="D218" s="6" t="s">
        <v>44</v>
      </c>
      <c r="E218" s="6" t="s">
        <v>286</v>
      </c>
      <c r="F218" s="6" t="s">
        <v>4059</v>
      </c>
      <c r="G218" s="6" t="s">
        <v>1167</v>
      </c>
      <c r="H218" s="6" t="s">
        <v>1168</v>
      </c>
      <c r="I218" s="6"/>
      <c r="J218" s="6">
        <v>4</v>
      </c>
      <c r="K218" s="6" t="s">
        <v>19</v>
      </c>
      <c r="L218" s="10">
        <v>16.038</v>
      </c>
      <c r="M218" s="6" t="s">
        <v>33</v>
      </c>
      <c r="N218" s="10">
        <f>Tabla18[[#This Row],[Price]]*Tabla18[[#This Row],[QTY Adjusted]]</f>
        <v>64.152000000000001</v>
      </c>
      <c r="O218" s="10">
        <v>64.152000000000001</v>
      </c>
      <c r="P218" s="22" t="s">
        <v>4225</v>
      </c>
      <c r="Q218" s="6">
        <v>0</v>
      </c>
    </row>
    <row r="219" spans="1:17" ht="38.4" customHeight="1" x14ac:dyDescent="0.3">
      <c r="A219" s="6">
        <v>539</v>
      </c>
      <c r="B219" s="6" t="s">
        <v>768</v>
      </c>
      <c r="C219" s="6" t="s">
        <v>228</v>
      </c>
      <c r="D219" s="6" t="s">
        <v>44</v>
      </c>
      <c r="E219" s="6" t="s">
        <v>283</v>
      </c>
      <c r="F219" s="6" t="s">
        <v>4059</v>
      </c>
      <c r="G219" s="6" t="s">
        <v>1165</v>
      </c>
      <c r="H219" s="6" t="s">
        <v>1166</v>
      </c>
      <c r="I219" s="6"/>
      <c r="J219" s="6">
        <v>4</v>
      </c>
      <c r="K219" s="6" t="s">
        <v>19</v>
      </c>
      <c r="L219" s="10">
        <v>15.723000000000001</v>
      </c>
      <c r="M219" s="6" t="s">
        <v>33</v>
      </c>
      <c r="N219" s="10">
        <f>Tabla18[[#This Row],[Price]]*Tabla18[[#This Row],[QTY Adjusted]]</f>
        <v>62.892000000000003</v>
      </c>
      <c r="O219" s="10">
        <v>62.892000000000003</v>
      </c>
      <c r="P219" s="22" t="s">
        <v>4225</v>
      </c>
      <c r="Q219" s="6">
        <v>0</v>
      </c>
    </row>
    <row r="220" spans="1:17" ht="38.4" customHeight="1" x14ac:dyDescent="0.3">
      <c r="A220" s="6">
        <v>534</v>
      </c>
      <c r="B220" s="6" t="s">
        <v>768</v>
      </c>
      <c r="C220" s="6" t="s">
        <v>266</v>
      </c>
      <c r="D220" s="6" t="s">
        <v>44</v>
      </c>
      <c r="E220" s="6" t="s">
        <v>268</v>
      </c>
      <c r="F220" s="6" t="s">
        <v>4059</v>
      </c>
      <c r="G220" s="6" t="s">
        <v>267</v>
      </c>
      <c r="H220" s="6" t="s">
        <v>269</v>
      </c>
      <c r="I220" s="6"/>
      <c r="J220" s="6">
        <v>6</v>
      </c>
      <c r="K220" s="6" t="s">
        <v>19</v>
      </c>
      <c r="L220" s="10">
        <v>9.984</v>
      </c>
      <c r="M220" s="6" t="s">
        <v>33</v>
      </c>
      <c r="N220" s="10">
        <f>Tabla18[[#This Row],[Price]]*Tabla18[[#This Row],[QTY Adjusted]]</f>
        <v>59.903999999999996</v>
      </c>
      <c r="O220" s="10">
        <v>59.903999999999996</v>
      </c>
      <c r="P220" s="10" t="s">
        <v>4225</v>
      </c>
      <c r="Q220" s="6">
        <v>0</v>
      </c>
    </row>
    <row r="221" spans="1:17" ht="38.4" customHeight="1" x14ac:dyDescent="0.3">
      <c r="A221" s="6">
        <v>535</v>
      </c>
      <c r="B221" s="6" t="s">
        <v>768</v>
      </c>
      <c r="C221" s="6" t="s">
        <v>266</v>
      </c>
      <c r="D221" s="6" t="s">
        <v>44</v>
      </c>
      <c r="E221" s="6" t="s">
        <v>268</v>
      </c>
      <c r="F221" s="6" t="s">
        <v>4059</v>
      </c>
      <c r="G221" s="6" t="s">
        <v>270</v>
      </c>
      <c r="H221" s="6" t="s">
        <v>271</v>
      </c>
      <c r="I221" s="6"/>
      <c r="J221" s="6">
        <v>6</v>
      </c>
      <c r="K221" s="6" t="s">
        <v>19</v>
      </c>
      <c r="L221" s="10">
        <v>9.984</v>
      </c>
      <c r="M221" s="6" t="s">
        <v>33</v>
      </c>
      <c r="N221" s="10">
        <f>Tabla18[[#This Row],[Price]]*Tabla18[[#This Row],[QTY Adjusted]]</f>
        <v>59.903999999999996</v>
      </c>
      <c r="O221" s="10">
        <v>59.903999999999996</v>
      </c>
      <c r="P221" s="10" t="s">
        <v>4225</v>
      </c>
      <c r="Q221" s="6">
        <v>0</v>
      </c>
    </row>
    <row r="222" spans="1:17" ht="38.4" customHeight="1" x14ac:dyDescent="0.3">
      <c r="A222" s="6">
        <v>536</v>
      </c>
      <c r="B222" s="6" t="s">
        <v>768</v>
      </c>
      <c r="C222" s="6" t="s">
        <v>272</v>
      </c>
      <c r="D222" s="6" t="str">
        <f>Tabla18[[#This Row],[Vendor]]</f>
        <v>Spill-Stop</v>
      </c>
      <c r="E222" s="6" t="s">
        <v>274</v>
      </c>
      <c r="F222" s="6" t="s">
        <v>4059</v>
      </c>
      <c r="G222" s="6" t="s">
        <v>273</v>
      </c>
      <c r="H222" s="6" t="s">
        <v>275</v>
      </c>
      <c r="I222" s="6"/>
      <c r="J222" s="6">
        <v>2</v>
      </c>
      <c r="K222" s="6" t="s">
        <v>19</v>
      </c>
      <c r="L222" s="10">
        <v>28.8</v>
      </c>
      <c r="M222" s="6" t="s">
        <v>33</v>
      </c>
      <c r="N222" s="10">
        <f>Tabla18[[#This Row],[Price]]*Tabla18[[#This Row],[QTY Adjusted]]</f>
        <v>57.6</v>
      </c>
      <c r="O222" s="10">
        <v>57.6</v>
      </c>
      <c r="P222" s="10" t="s">
        <v>4230</v>
      </c>
      <c r="Q222" s="6">
        <v>0</v>
      </c>
    </row>
    <row r="223" spans="1:17" ht="38.4" customHeight="1" x14ac:dyDescent="0.3">
      <c r="A223" s="6">
        <v>558</v>
      </c>
      <c r="B223" s="6" t="s">
        <v>768</v>
      </c>
      <c r="C223" s="6" t="s">
        <v>321</v>
      </c>
      <c r="D223" s="6" t="s">
        <v>199</v>
      </c>
      <c r="E223" s="6" t="s">
        <v>344</v>
      </c>
      <c r="F223" s="6" t="s">
        <v>4059</v>
      </c>
      <c r="G223" s="6" t="s">
        <v>343</v>
      </c>
      <c r="H223" s="6" t="s">
        <v>345</v>
      </c>
      <c r="I223" s="6"/>
      <c r="J223" s="6">
        <v>2</v>
      </c>
      <c r="K223" s="6" t="s">
        <v>19</v>
      </c>
      <c r="L223" s="10">
        <v>24.180459187500002</v>
      </c>
      <c r="M223" s="6" t="s">
        <v>33</v>
      </c>
      <c r="N223" s="10">
        <f>Tabla18[[#This Row],[Price]]*Tabla18[[#This Row],[QTY Adjusted]]</f>
        <v>48.360918375000004</v>
      </c>
      <c r="O223" s="10">
        <v>48.360918375000004</v>
      </c>
      <c r="P223" s="10" t="s">
        <v>4225</v>
      </c>
      <c r="Q223" s="6">
        <v>0</v>
      </c>
    </row>
    <row r="224" spans="1:17" ht="38.4" customHeight="1" x14ac:dyDescent="0.3">
      <c r="A224" s="6">
        <v>571</v>
      </c>
      <c r="B224" s="6" t="s">
        <v>768</v>
      </c>
      <c r="C224" s="6" t="s">
        <v>329</v>
      </c>
      <c r="D224" s="6" t="s">
        <v>199</v>
      </c>
      <c r="E224" s="6" t="s">
        <v>383</v>
      </c>
      <c r="F224" s="6" t="s">
        <v>4059</v>
      </c>
      <c r="G224" s="6" t="s">
        <v>382</v>
      </c>
      <c r="H224" s="6" t="s">
        <v>384</v>
      </c>
      <c r="I224" s="6"/>
      <c r="J224" s="6">
        <v>2</v>
      </c>
      <c r="K224" s="6" t="s">
        <v>19</v>
      </c>
      <c r="L224" s="10">
        <v>22.307670000000002</v>
      </c>
      <c r="M224" s="6" t="s">
        <v>33</v>
      </c>
      <c r="N224" s="10">
        <f>Tabla18[[#This Row],[Price]]*Tabla18[[#This Row],[QTY Adjusted]]</f>
        <v>44.615340000000003</v>
      </c>
      <c r="O224" s="10">
        <v>44.615340000000003</v>
      </c>
      <c r="P224" s="10" t="s">
        <v>4225</v>
      </c>
      <c r="Q224" s="6">
        <v>0</v>
      </c>
    </row>
    <row r="225" spans="1:17" ht="38.4" customHeight="1" x14ac:dyDescent="0.3">
      <c r="A225" s="6">
        <v>565</v>
      </c>
      <c r="B225" s="6" t="s">
        <v>768</v>
      </c>
      <c r="C225" s="6" t="s">
        <v>329</v>
      </c>
      <c r="D225" s="6" t="s">
        <v>199</v>
      </c>
      <c r="E225" s="6" t="s">
        <v>367</v>
      </c>
      <c r="F225" s="6" t="s">
        <v>4059</v>
      </c>
      <c r="G225" s="6" t="s">
        <v>366</v>
      </c>
      <c r="H225" s="6" t="s">
        <v>368</v>
      </c>
      <c r="I225" s="6"/>
      <c r="J225" s="6">
        <v>6</v>
      </c>
      <c r="K225" s="6" t="s">
        <v>19</v>
      </c>
      <c r="L225" s="10">
        <v>7.3993499999999992</v>
      </c>
      <c r="M225" s="6" t="s">
        <v>33</v>
      </c>
      <c r="N225" s="10">
        <f>Tabla18[[#This Row],[Price]]*Tabla18[[#This Row],[QTY Adjusted]]</f>
        <v>44.396099999999997</v>
      </c>
      <c r="O225" s="10">
        <v>44.396099999999997</v>
      </c>
      <c r="P225" s="10" t="s">
        <v>4225</v>
      </c>
      <c r="Q225" s="6">
        <v>0</v>
      </c>
    </row>
    <row r="226" spans="1:17" ht="38.4" customHeight="1" x14ac:dyDescent="0.3">
      <c r="A226" s="6">
        <v>542</v>
      </c>
      <c r="B226" s="6" t="s">
        <v>768</v>
      </c>
      <c r="C226" s="6" t="s">
        <v>228</v>
      </c>
      <c r="D226" s="6" t="s">
        <v>44</v>
      </c>
      <c r="E226" s="6" t="s">
        <v>292</v>
      </c>
      <c r="F226" s="6" t="s">
        <v>4059</v>
      </c>
      <c r="G226" s="6" t="s">
        <v>1171</v>
      </c>
      <c r="H226" s="6" t="s">
        <v>1172</v>
      </c>
      <c r="I226" s="6"/>
      <c r="J226" s="6">
        <v>4</v>
      </c>
      <c r="K226" s="6" t="s">
        <v>19</v>
      </c>
      <c r="L226" s="10">
        <v>10.656000000000001</v>
      </c>
      <c r="M226" s="6" t="s">
        <v>33</v>
      </c>
      <c r="N226" s="10">
        <f>Tabla18[[#This Row],[Price]]*Tabla18[[#This Row],[QTY Adjusted]]</f>
        <v>42.624000000000002</v>
      </c>
      <c r="O226" s="10">
        <v>42.624000000000002</v>
      </c>
      <c r="P226" s="22" t="s">
        <v>4225</v>
      </c>
      <c r="Q226" s="6">
        <v>0</v>
      </c>
    </row>
    <row r="227" spans="1:17" ht="38.4" customHeight="1" x14ac:dyDescent="0.3">
      <c r="A227" s="6">
        <v>541</v>
      </c>
      <c r="B227" s="6" t="s">
        <v>768</v>
      </c>
      <c r="C227" s="6" t="s">
        <v>228</v>
      </c>
      <c r="D227" s="6" t="s">
        <v>44</v>
      </c>
      <c r="E227" s="6" t="s">
        <v>289</v>
      </c>
      <c r="F227" s="6" t="s">
        <v>4059</v>
      </c>
      <c r="G227" s="6" t="s">
        <v>1169</v>
      </c>
      <c r="H227" s="6" t="s">
        <v>1170</v>
      </c>
      <c r="I227" s="6"/>
      <c r="J227" s="6">
        <v>4</v>
      </c>
      <c r="K227" s="6" t="s">
        <v>19</v>
      </c>
      <c r="L227" s="10">
        <v>9.9629999999999992</v>
      </c>
      <c r="M227" s="6" t="s">
        <v>33</v>
      </c>
      <c r="N227" s="10">
        <f>Tabla18[[#This Row],[Price]]*Tabla18[[#This Row],[QTY Adjusted]]</f>
        <v>39.851999999999997</v>
      </c>
      <c r="O227" s="10">
        <v>39.851999999999997</v>
      </c>
      <c r="P227" s="22" t="s">
        <v>4225</v>
      </c>
      <c r="Q227" s="6">
        <v>0</v>
      </c>
    </row>
    <row r="228" spans="1:17" ht="38.4" customHeight="1" x14ac:dyDescent="0.3">
      <c r="A228" s="6">
        <v>560</v>
      </c>
      <c r="B228" s="6" t="s">
        <v>768</v>
      </c>
      <c r="C228" s="6" t="s">
        <v>228</v>
      </c>
      <c r="D228" s="6" t="s">
        <v>44</v>
      </c>
      <c r="E228" s="6" t="s">
        <v>350</v>
      </c>
      <c r="F228" s="6" t="s">
        <v>4059</v>
      </c>
      <c r="G228" s="6" t="s">
        <v>349</v>
      </c>
      <c r="H228" s="6" t="s">
        <v>351</v>
      </c>
      <c r="I228" s="6"/>
      <c r="J228" s="6">
        <v>4</v>
      </c>
      <c r="K228" s="6" t="s">
        <v>19</v>
      </c>
      <c r="L228" s="10">
        <v>9.8800000000000008</v>
      </c>
      <c r="M228" s="6" t="s">
        <v>33</v>
      </c>
      <c r="N228" s="10">
        <f>Tabla18[[#This Row],[Price]]*Tabla18[[#This Row],[QTY Adjusted]]</f>
        <v>39.520000000000003</v>
      </c>
      <c r="O228" s="10">
        <v>39.520000000000003</v>
      </c>
      <c r="P228" s="10" t="s">
        <v>4218</v>
      </c>
      <c r="Q228" s="6" t="s">
        <v>4245</v>
      </c>
    </row>
    <row r="229" spans="1:17" ht="38.4" customHeight="1" x14ac:dyDescent="0.3">
      <c r="A229" s="6">
        <v>569</v>
      </c>
      <c r="B229" s="6" t="s">
        <v>768</v>
      </c>
      <c r="C229" s="6" t="s">
        <v>92</v>
      </c>
      <c r="D229" s="6" t="s">
        <v>93</v>
      </c>
      <c r="E229" s="6" t="s">
        <v>373</v>
      </c>
      <c r="F229" s="6" t="s">
        <v>4059</v>
      </c>
      <c r="G229" s="6" t="s">
        <v>377</v>
      </c>
      <c r="H229" s="6" t="s">
        <v>378</v>
      </c>
      <c r="I229" s="6"/>
      <c r="J229" s="6">
        <v>4</v>
      </c>
      <c r="K229" s="6" t="s">
        <v>19</v>
      </c>
      <c r="L229" s="10">
        <v>9.2200000000000006</v>
      </c>
      <c r="M229" s="6" t="s">
        <v>33</v>
      </c>
      <c r="N229" s="10">
        <f>Tabla18[[#This Row],[Price]]*Tabla18[[#This Row],[QTY Adjusted]]</f>
        <v>36.880000000000003</v>
      </c>
      <c r="O229" s="10">
        <v>36.880000000000003</v>
      </c>
      <c r="P229" s="10" t="s">
        <v>4228</v>
      </c>
      <c r="Q229" s="6" t="s">
        <v>4245</v>
      </c>
    </row>
    <row r="230" spans="1:17" ht="38.4" customHeight="1" x14ac:dyDescent="0.3">
      <c r="A230" s="6">
        <v>544</v>
      </c>
      <c r="B230" s="6" t="s">
        <v>768</v>
      </c>
      <c r="C230" s="6" t="s">
        <v>228</v>
      </c>
      <c r="D230" s="6" t="s">
        <v>44</v>
      </c>
      <c r="E230" s="6" t="s">
        <v>298</v>
      </c>
      <c r="F230" s="6" t="s">
        <v>4059</v>
      </c>
      <c r="G230" s="6" t="s">
        <v>297</v>
      </c>
      <c r="H230" s="6" t="s">
        <v>299</v>
      </c>
      <c r="I230" s="6"/>
      <c r="J230" s="6">
        <v>4</v>
      </c>
      <c r="K230" s="6" t="s">
        <v>19</v>
      </c>
      <c r="L230" s="10">
        <v>9.07</v>
      </c>
      <c r="M230" s="6" t="s">
        <v>33</v>
      </c>
      <c r="N230" s="10">
        <f>Tabla18[[#This Row],[Price]]*Tabla18[[#This Row],[QTY Adjusted]]</f>
        <v>36.28</v>
      </c>
      <c r="O230" s="10">
        <v>36.28</v>
      </c>
      <c r="P230" s="22" t="s">
        <v>4225</v>
      </c>
      <c r="Q230" s="6">
        <v>0</v>
      </c>
    </row>
    <row r="231" spans="1:17" ht="38.4" customHeight="1" x14ac:dyDescent="0.3">
      <c r="A231" s="6">
        <v>545</v>
      </c>
      <c r="B231" s="6" t="s">
        <v>768</v>
      </c>
      <c r="C231" s="6" t="s">
        <v>228</v>
      </c>
      <c r="D231" s="6" t="s">
        <v>44</v>
      </c>
      <c r="E231" s="6" t="s">
        <v>301</v>
      </c>
      <c r="F231" s="6" t="s">
        <v>4059</v>
      </c>
      <c r="G231" s="6" t="s">
        <v>300</v>
      </c>
      <c r="H231" s="6" t="s">
        <v>302</v>
      </c>
      <c r="I231" s="6"/>
      <c r="J231" s="6">
        <v>8</v>
      </c>
      <c r="K231" s="6" t="s">
        <v>19</v>
      </c>
      <c r="L231" s="10">
        <v>3.99</v>
      </c>
      <c r="M231" s="6" t="s">
        <v>33</v>
      </c>
      <c r="N231" s="10">
        <f>Tabla18[[#This Row],[Price]]*Tabla18[[#This Row],[QTY Adjusted]]</f>
        <v>31.92</v>
      </c>
      <c r="O231" s="10">
        <v>31.92</v>
      </c>
      <c r="P231" s="22" t="s">
        <v>4225</v>
      </c>
      <c r="Q231" s="6">
        <v>0</v>
      </c>
    </row>
    <row r="232" spans="1:17" ht="38.4" customHeight="1" x14ac:dyDescent="0.3">
      <c r="A232" s="6">
        <v>561</v>
      </c>
      <c r="B232" s="6" t="s">
        <v>768</v>
      </c>
      <c r="C232" s="6" t="s">
        <v>329</v>
      </c>
      <c r="D232" s="6" t="s">
        <v>199</v>
      </c>
      <c r="E232" s="6" t="s">
        <v>353</v>
      </c>
      <c r="F232" s="6" t="s">
        <v>4059</v>
      </c>
      <c r="G232" s="6" t="s">
        <v>352</v>
      </c>
      <c r="H232" s="6" t="s">
        <v>354</v>
      </c>
      <c r="I232" s="6"/>
      <c r="J232" s="6">
        <v>2</v>
      </c>
      <c r="K232" s="6" t="s">
        <v>19</v>
      </c>
      <c r="L232" s="10">
        <v>14.935724999999998</v>
      </c>
      <c r="M232" s="6" t="s">
        <v>33</v>
      </c>
      <c r="N232" s="10">
        <f>Tabla18[[#This Row],[Price]]*Tabla18[[#This Row],[QTY Adjusted]]</f>
        <v>29.871449999999996</v>
      </c>
      <c r="O232" s="10">
        <v>29.871449999999996</v>
      </c>
      <c r="P232" s="10" t="s">
        <v>4225</v>
      </c>
      <c r="Q232" s="6">
        <v>0</v>
      </c>
    </row>
    <row r="233" spans="1:17" ht="38.4" customHeight="1" x14ac:dyDescent="0.3">
      <c r="A233" s="6">
        <v>567</v>
      </c>
      <c r="B233" s="6" t="s">
        <v>768</v>
      </c>
      <c r="C233" s="6" t="s">
        <v>371</v>
      </c>
      <c r="D233" s="6" t="str">
        <f>Tabla18[[#This Row],[Vendor]]</f>
        <v>Franmara</v>
      </c>
      <c r="E233" s="6" t="s">
        <v>373</v>
      </c>
      <c r="F233" s="6" t="s">
        <v>4059</v>
      </c>
      <c r="G233" s="6" t="s">
        <v>372</v>
      </c>
      <c r="H233" s="6" t="s">
        <v>374</v>
      </c>
      <c r="I233" s="6"/>
      <c r="J233" s="6">
        <v>4</v>
      </c>
      <c r="K233" s="6" t="s">
        <v>19</v>
      </c>
      <c r="L233" s="10">
        <v>6.5</v>
      </c>
      <c r="M233" s="6" t="s">
        <v>33</v>
      </c>
      <c r="N233" s="10">
        <f>Tabla18[[#This Row],[Price]]*Tabla18[[#This Row],[QTY Adjusted]]</f>
        <v>26</v>
      </c>
      <c r="O233" s="10">
        <v>26</v>
      </c>
      <c r="P233" s="10" t="s">
        <v>4239</v>
      </c>
      <c r="Q233" s="6">
        <v>0</v>
      </c>
    </row>
    <row r="234" spans="1:17" ht="38.4" customHeight="1" x14ac:dyDescent="0.3">
      <c r="A234" s="6">
        <v>563</v>
      </c>
      <c r="B234" s="6" t="s">
        <v>768</v>
      </c>
      <c r="C234" s="6" t="s">
        <v>357</v>
      </c>
      <c r="D234" s="6" t="s">
        <v>93</v>
      </c>
      <c r="E234" s="6" t="s">
        <v>359</v>
      </c>
      <c r="F234" s="6" t="s">
        <v>4059</v>
      </c>
      <c r="G234" s="6" t="s">
        <v>358</v>
      </c>
      <c r="H234" s="6" t="s">
        <v>360</v>
      </c>
      <c r="I234" s="6"/>
      <c r="J234" s="6">
        <v>2</v>
      </c>
      <c r="K234" s="6" t="s">
        <v>19</v>
      </c>
      <c r="L234" s="10">
        <v>9.5299999999999994</v>
      </c>
      <c r="M234" s="6" t="s">
        <v>33</v>
      </c>
      <c r="N234" s="10">
        <f>Tabla18[[#This Row],[Price]]*Tabla18[[#This Row],[QTY Adjusted]]</f>
        <v>19.059999999999999</v>
      </c>
      <c r="O234" s="10">
        <v>19.059999999999999</v>
      </c>
      <c r="P234" s="10" t="s">
        <v>4225</v>
      </c>
      <c r="Q234" s="6">
        <v>0</v>
      </c>
    </row>
    <row r="235" spans="1:17" ht="38.4" customHeight="1" x14ac:dyDescent="0.3">
      <c r="A235" s="6">
        <v>521</v>
      </c>
      <c r="B235" s="6" t="s">
        <v>768</v>
      </c>
      <c r="C235" s="6" t="s">
        <v>232</v>
      </c>
      <c r="D235" s="6" t="s">
        <v>233</v>
      </c>
      <c r="E235" s="6" t="s">
        <v>742</v>
      </c>
      <c r="F235" s="6" t="s">
        <v>4059</v>
      </c>
      <c r="G235" s="6" t="s">
        <v>234</v>
      </c>
      <c r="H235" s="6" t="s">
        <v>236</v>
      </c>
      <c r="I235" s="6"/>
      <c r="J235" s="6">
        <v>4</v>
      </c>
      <c r="K235" s="6" t="s">
        <v>19</v>
      </c>
      <c r="L235" s="10">
        <v>4.71</v>
      </c>
      <c r="M235" s="6" t="s">
        <v>33</v>
      </c>
      <c r="N235" s="10">
        <f>Tabla18[[#This Row],[Price]]*Tabla18[[#This Row],[QTY Adjusted]]</f>
        <v>18.84</v>
      </c>
      <c r="O235" s="10">
        <v>18.84</v>
      </c>
      <c r="P235" s="10" t="s">
        <v>4218</v>
      </c>
      <c r="Q235" s="6" t="s">
        <v>4246</v>
      </c>
    </row>
    <row r="236" spans="1:17" ht="38.4" customHeight="1" x14ac:dyDescent="0.3">
      <c r="A236" s="6">
        <v>570</v>
      </c>
      <c r="B236" s="6" t="s">
        <v>768</v>
      </c>
      <c r="C236" s="6" t="s">
        <v>314</v>
      </c>
      <c r="D236" s="6" t="s">
        <v>93</v>
      </c>
      <c r="E236" s="6" t="s">
        <v>380</v>
      </c>
      <c r="F236" s="6" t="s">
        <v>4059</v>
      </c>
      <c r="G236" s="6" t="s">
        <v>379</v>
      </c>
      <c r="H236" s="6" t="s">
        <v>381</v>
      </c>
      <c r="I236" s="6"/>
      <c r="J236" s="6">
        <v>4</v>
      </c>
      <c r="K236" s="6" t="s">
        <v>19</v>
      </c>
      <c r="L236" s="10">
        <v>4.4000000000000004</v>
      </c>
      <c r="M236" s="6" t="s">
        <v>33</v>
      </c>
      <c r="N236" s="10">
        <f>Tabla18[[#This Row],[Price]]*Tabla18[[#This Row],[QTY Adjusted]]</f>
        <v>17.600000000000001</v>
      </c>
      <c r="O236" s="10">
        <v>17.600000000000001</v>
      </c>
      <c r="P236" s="10" t="s">
        <v>4228</v>
      </c>
      <c r="Q236" s="6" t="s">
        <v>4245</v>
      </c>
    </row>
    <row r="237" spans="1:17" ht="38.4" customHeight="1" x14ac:dyDescent="0.3">
      <c r="A237" s="6">
        <v>546</v>
      </c>
      <c r="B237" s="6" t="s">
        <v>768</v>
      </c>
      <c r="C237" s="6" t="s">
        <v>321</v>
      </c>
      <c r="D237" s="6" t="s">
        <v>199</v>
      </c>
      <c r="E237" s="6" t="s">
        <v>304</v>
      </c>
      <c r="F237" s="6" t="s">
        <v>4059</v>
      </c>
      <c r="G237" s="6" t="s">
        <v>766</v>
      </c>
      <c r="H237" s="6" t="s">
        <v>767</v>
      </c>
      <c r="I237" s="6"/>
      <c r="J237" s="6">
        <v>2</v>
      </c>
      <c r="K237" s="6" t="s">
        <v>19</v>
      </c>
      <c r="L237" s="10">
        <v>6.3079458750000006</v>
      </c>
      <c r="M237" s="6" t="s">
        <v>33</v>
      </c>
      <c r="N237" s="10">
        <f>Tabla18[[#This Row],[Price]]*Tabla18[[#This Row],[QTY Adjusted]]</f>
        <v>12.615891750000001</v>
      </c>
      <c r="O237" s="10">
        <v>12.615891750000001</v>
      </c>
      <c r="P237" s="10" t="s">
        <v>4225</v>
      </c>
      <c r="Q237" s="6">
        <v>0</v>
      </c>
    </row>
    <row r="238" spans="1:17" ht="38.4" customHeight="1" x14ac:dyDescent="0.3">
      <c r="A238" s="6">
        <v>568</v>
      </c>
      <c r="B238" s="6" t="s">
        <v>768</v>
      </c>
      <c r="C238" s="6" t="s">
        <v>371</v>
      </c>
      <c r="D238" s="6" t="str">
        <f>Tabla18[[#This Row],[Vendor]]</f>
        <v>Franmara</v>
      </c>
      <c r="E238" s="6" t="s">
        <v>373</v>
      </c>
      <c r="F238" s="6" t="s">
        <v>4059</v>
      </c>
      <c r="G238" s="6" t="s">
        <v>375</v>
      </c>
      <c r="H238" s="6" t="s">
        <v>376</v>
      </c>
      <c r="I238" s="6"/>
      <c r="J238" s="6">
        <v>4</v>
      </c>
      <c r="K238" s="6" t="s">
        <v>19</v>
      </c>
      <c r="L238" s="10">
        <v>3</v>
      </c>
      <c r="M238" s="6" t="s">
        <v>33</v>
      </c>
      <c r="N238" s="10">
        <f>Tabla18[[#This Row],[Price]]*Tabla18[[#This Row],[QTY Adjusted]]</f>
        <v>12</v>
      </c>
      <c r="O238" s="10">
        <v>12</v>
      </c>
      <c r="P238" s="10" t="s">
        <v>4239</v>
      </c>
      <c r="Q238" s="6">
        <v>0</v>
      </c>
    </row>
    <row r="239" spans="1:17" ht="38.4" customHeight="1" x14ac:dyDescent="0.3">
      <c r="A239" s="6">
        <v>572</v>
      </c>
      <c r="B239" s="6" t="s">
        <v>768</v>
      </c>
      <c r="C239" s="6" t="s">
        <v>92</v>
      </c>
      <c r="D239" s="6" t="s">
        <v>93</v>
      </c>
      <c r="E239" s="6" t="s">
        <v>386</v>
      </c>
      <c r="F239" s="6" t="s">
        <v>4059</v>
      </c>
      <c r="G239" s="6" t="s">
        <v>385</v>
      </c>
      <c r="H239" s="6" t="s">
        <v>387</v>
      </c>
      <c r="I239" s="6"/>
      <c r="J239" s="6">
        <v>4</v>
      </c>
      <c r="K239" s="6" t="s">
        <v>19</v>
      </c>
      <c r="L239" s="10">
        <v>2.85</v>
      </c>
      <c r="M239" s="6" t="s">
        <v>33</v>
      </c>
      <c r="N239" s="10">
        <f>Tabla18[[#This Row],[Price]]*Tabla18[[#This Row],[QTY Adjusted]]</f>
        <v>11.4</v>
      </c>
      <c r="O239" s="10">
        <v>11.4</v>
      </c>
      <c r="P239" s="10" t="s">
        <v>4228</v>
      </c>
      <c r="Q239" s="6" t="s">
        <v>4245</v>
      </c>
    </row>
    <row r="240" spans="1:17" ht="38.4" customHeight="1" x14ac:dyDescent="0.3">
      <c r="A240" s="6">
        <v>550</v>
      </c>
      <c r="B240" s="6" t="s">
        <v>768</v>
      </c>
      <c r="C240" s="6" t="s">
        <v>314</v>
      </c>
      <c r="D240" s="6" t="s">
        <v>93</v>
      </c>
      <c r="E240" s="6" t="s">
        <v>319</v>
      </c>
      <c r="F240" s="6" t="s">
        <v>4059</v>
      </c>
      <c r="G240" s="6" t="s">
        <v>318</v>
      </c>
      <c r="H240" s="6" t="s">
        <v>320</v>
      </c>
      <c r="I240" s="6"/>
      <c r="J240" s="6">
        <v>6</v>
      </c>
      <c r="K240" s="6" t="s">
        <v>19</v>
      </c>
      <c r="L240" s="10">
        <v>1.63</v>
      </c>
      <c r="M240" s="6" t="s">
        <v>33</v>
      </c>
      <c r="N240" s="10">
        <f>Tabla18[[#This Row],[Price]]*Tabla18[[#This Row],[QTY Adjusted]]</f>
        <v>9.7799999999999994</v>
      </c>
      <c r="O240" s="10">
        <v>9.7799999999999994</v>
      </c>
      <c r="P240" s="10" t="s">
        <v>4228</v>
      </c>
      <c r="Q240" s="6" t="s">
        <v>4245</v>
      </c>
    </row>
    <row r="241" spans="1:17" ht="38.4" customHeight="1" x14ac:dyDescent="0.3">
      <c r="A241" s="6">
        <v>553</v>
      </c>
      <c r="B241" s="6" t="s">
        <v>768</v>
      </c>
      <c r="C241" s="6" t="s">
        <v>329</v>
      </c>
      <c r="D241" s="6" t="s">
        <v>199</v>
      </c>
      <c r="E241" s="6" t="s">
        <v>331</v>
      </c>
      <c r="F241" s="6" t="s">
        <v>4059</v>
      </c>
      <c r="G241" s="6" t="s">
        <v>330</v>
      </c>
      <c r="H241" s="6" t="s">
        <v>332</v>
      </c>
      <c r="I241" s="6"/>
      <c r="J241" s="6">
        <v>2</v>
      </c>
      <c r="K241" s="6" t="s">
        <v>19</v>
      </c>
      <c r="L241" s="10">
        <v>3.34341</v>
      </c>
      <c r="M241" s="6" t="s">
        <v>33</v>
      </c>
      <c r="N241" s="10">
        <f>Tabla18[[#This Row],[Price]]*Tabla18[[#This Row],[QTY Adjusted]]</f>
        <v>6.68682</v>
      </c>
      <c r="O241" s="10">
        <v>6.68682</v>
      </c>
      <c r="P241" s="10" t="s">
        <v>4225</v>
      </c>
      <c r="Q241" s="6">
        <v>0</v>
      </c>
    </row>
    <row r="242" spans="1:17" ht="38.4" customHeight="1" x14ac:dyDescent="0.3">
      <c r="A242" s="6">
        <v>466</v>
      </c>
      <c r="B242" s="6" t="s">
        <v>768</v>
      </c>
      <c r="C242" s="6" t="s">
        <v>1005</v>
      </c>
      <c r="D242" s="6" t="str">
        <f>Tabla18[[#This Row],[Vendor]]</f>
        <v>Backyard Hive</v>
      </c>
      <c r="E242" s="6" t="s">
        <v>1006</v>
      </c>
      <c r="F242" s="6" t="s">
        <v>4059</v>
      </c>
      <c r="G242" s="6" t="s">
        <v>205</v>
      </c>
      <c r="H242" s="6" t="s">
        <v>1007</v>
      </c>
      <c r="I242" s="6"/>
      <c r="J242" s="6">
        <v>1</v>
      </c>
      <c r="K242" s="6" t="s">
        <v>19</v>
      </c>
      <c r="L242" s="10"/>
      <c r="M242" s="6"/>
      <c r="N242" s="10">
        <f>Tabla18[[#This Row],[Price]]*Tabla18[[#This Row],[QTY Adjusted]]</f>
        <v>0</v>
      </c>
      <c r="O242" s="10">
        <v>0</v>
      </c>
      <c r="P242" s="10" t="s">
        <v>4225</v>
      </c>
      <c r="Q242" s="6">
        <v>0</v>
      </c>
    </row>
    <row r="243" spans="1:17" ht="38.4" customHeight="1" x14ac:dyDescent="0.3">
      <c r="A243" s="6">
        <v>573</v>
      </c>
      <c r="B243" s="6" t="s">
        <v>768</v>
      </c>
      <c r="C243" s="6" t="s">
        <v>1175</v>
      </c>
      <c r="D243" s="6" t="str">
        <f>Tabla18[[#This Row],[Vendor]]</f>
        <v>Koala Care</v>
      </c>
      <c r="E243" s="6" t="s">
        <v>1176</v>
      </c>
      <c r="F243" s="6" t="s">
        <v>4059</v>
      </c>
      <c r="G243" s="6" t="s">
        <v>1177</v>
      </c>
      <c r="H243" s="6" t="s">
        <v>1178</v>
      </c>
      <c r="I243" s="6"/>
      <c r="J243" s="6">
        <v>12</v>
      </c>
      <c r="K243" s="6" t="s">
        <v>19</v>
      </c>
      <c r="L243" s="10"/>
      <c r="M243" s="6"/>
      <c r="N243" s="10">
        <f>Tabla18[[#This Row],[Price]]*Tabla18[[#This Row],[QTY Adjusted]]</f>
        <v>0</v>
      </c>
      <c r="O243" s="10">
        <v>0</v>
      </c>
      <c r="P243" s="10" t="s">
        <v>4230</v>
      </c>
      <c r="Q243" s="6">
        <v>0</v>
      </c>
    </row>
    <row r="244" spans="1:17" ht="38.4" customHeight="1" x14ac:dyDescent="0.3">
      <c r="A244" s="6">
        <v>574</v>
      </c>
      <c r="B244" s="6" t="s">
        <v>768</v>
      </c>
      <c r="C244" s="6" t="s">
        <v>1179</v>
      </c>
      <c r="D244" s="6" t="str">
        <f>Tabla18[[#This Row],[Vendor]]</f>
        <v>Stokke</v>
      </c>
      <c r="E244" s="6" t="s">
        <v>1180</v>
      </c>
      <c r="F244" s="6" t="s">
        <v>4059</v>
      </c>
      <c r="G244" s="6" t="s">
        <v>205</v>
      </c>
      <c r="H244" s="6" t="s">
        <v>1181</v>
      </c>
      <c r="I244" s="6"/>
      <c r="J244" s="6">
        <v>12</v>
      </c>
      <c r="K244" s="6" t="s">
        <v>19</v>
      </c>
      <c r="L244" s="10"/>
      <c r="M244" s="6"/>
      <c r="N244" s="10">
        <f>Tabla18[[#This Row],[Price]]*Tabla18[[#This Row],[QTY Adjusted]]</f>
        <v>0</v>
      </c>
      <c r="O244" s="10">
        <v>0</v>
      </c>
      <c r="P244" s="10" t="s">
        <v>4218</v>
      </c>
      <c r="Q244" s="6" t="s">
        <v>4245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5th Resident Lounge</vt:lpstr>
      <vt:lpstr>Banquet</vt:lpstr>
      <vt:lpstr>Beach Bar</vt:lpstr>
      <vt:lpstr>Cevicheria (2)</vt:lpstr>
      <vt:lpstr>Coffee Shop</vt:lpstr>
      <vt:lpstr>Drawing Room</vt:lpstr>
      <vt:lpstr>Employee Dinning</vt:lpstr>
      <vt:lpstr>In Room Dinning</vt:lpstr>
      <vt:lpstr>Lobby Lounge</vt:lpstr>
      <vt:lpstr>Main Kitchen</vt:lpstr>
      <vt:lpstr>Mexican Izakaya</vt:lpstr>
      <vt:lpstr>Owners Lounge</vt:lpstr>
      <vt:lpstr>Pool&amp;Beach</vt:lpstr>
      <vt:lpstr>SpeakEasy</vt:lpstr>
      <vt:lpstr>Specialty Italian</vt:lpstr>
      <vt:lpstr>SR BAR</vt:lpstr>
      <vt:lpstr>Three Meal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Ramirez</dc:creator>
  <cp:lastModifiedBy>Pavel Ramirez</cp:lastModifiedBy>
  <dcterms:created xsi:type="dcterms:W3CDTF">2025-10-04T15:21:36Z</dcterms:created>
  <dcterms:modified xsi:type="dcterms:W3CDTF">2026-03-10T22:05:02Z</dcterms:modified>
</cp:coreProperties>
</file>